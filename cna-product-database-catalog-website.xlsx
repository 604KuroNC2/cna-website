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CNA Catalog\2026 CNA Catalog Data\2026 CNA Catalog Database Files\01 - CNA Catalog Builder\"/>
    </mc:Choice>
  </mc:AlternateContent>
  <xr:revisionPtr revIDLastSave="0" documentId="13_ncr:1_{1601FFDA-1B38-4DC6-A0A3-2F3B5AB234E1}" xr6:coauthVersionLast="47" xr6:coauthVersionMax="47" xr10:uidLastSave="{00000000-0000-0000-0000-000000000000}"/>
  <bookViews>
    <workbookView xWindow="29415" yWindow="15" windowWidth="22815" windowHeight="14160" tabRatio="531" xr2:uid="{387DAFA1-11C4-4259-BEE1-B530E20B6277}"/>
  </bookViews>
  <sheets>
    <sheet name="cna-product-database-catalog-we" sheetId="2" r:id="rId1"/>
  </sheets>
  <definedNames>
    <definedName name="ExternalData_1" localSheetId="0" hidden="1">'cna-product-database-catalog-we'!$A$1:$CJ$343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" i="2" l="1"/>
  <c r="M5" i="2"/>
  <c r="M4" i="2"/>
  <c r="M66" i="2"/>
  <c r="M120" i="2"/>
  <c r="D120" i="2"/>
  <c r="BC120" i="2"/>
  <c r="BD120" i="2" s="1"/>
  <c r="BI120" i="2"/>
  <c r="BJ120" i="2" s="1"/>
  <c r="M6" i="2"/>
  <c r="M7" i="2"/>
  <c r="M8" i="2"/>
  <c r="M9" i="2"/>
  <c r="M10" i="2"/>
  <c r="M18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7" i="2"/>
  <c r="M38" i="2"/>
  <c r="M39" i="2"/>
  <c r="M40" i="2"/>
  <c r="M41" i="2"/>
  <c r="M42" i="2"/>
  <c r="M43" i="2"/>
  <c r="M44" i="2"/>
  <c r="M45" i="2"/>
  <c r="M3" i="2"/>
  <c r="M11" i="2"/>
  <c r="M12" i="2"/>
  <c r="M13" i="2"/>
  <c r="M14" i="2"/>
  <c r="M15" i="2"/>
  <c r="M16" i="2"/>
  <c r="M17" i="2"/>
  <c r="M19" i="2"/>
  <c r="M20" i="2"/>
  <c r="M21" i="2"/>
  <c r="M22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61" i="2"/>
  <c r="M62" i="2"/>
  <c r="M63" i="2"/>
  <c r="M64" i="2"/>
  <c r="M65" i="2"/>
  <c r="M67" i="2"/>
  <c r="M68" i="2"/>
  <c r="M69" i="2"/>
  <c r="M70" i="2"/>
  <c r="M71" i="2"/>
  <c r="M72" i="2"/>
  <c r="M73" i="2"/>
  <c r="M74" i="2"/>
  <c r="M75" i="2"/>
  <c r="M76" i="2"/>
  <c r="M101" i="2"/>
  <c r="M77" i="2"/>
  <c r="M78" i="2"/>
  <c r="M102" i="2"/>
  <c r="M79" i="2"/>
  <c r="M80" i="2"/>
  <c r="M103" i="2"/>
  <c r="M104" i="2"/>
  <c r="M105" i="2"/>
  <c r="M81" i="2"/>
  <c r="M82" i="2"/>
  <c r="M83" i="2"/>
  <c r="M84" i="2"/>
  <c r="M88" i="2"/>
  <c r="M90" i="2"/>
  <c r="M91" i="2"/>
  <c r="M85" i="2"/>
  <c r="M86" i="2"/>
  <c r="M87" i="2"/>
  <c r="M96" i="2"/>
  <c r="M97" i="2"/>
  <c r="M98" i="2"/>
  <c r="M99" i="2"/>
  <c r="M100" i="2"/>
  <c r="M92" i="2"/>
  <c r="M93" i="2"/>
  <c r="M94" i="2"/>
  <c r="M129" i="2"/>
  <c r="M130" i="2"/>
  <c r="M121" i="2"/>
  <c r="M122" i="2"/>
  <c r="M123" i="2"/>
  <c r="M124" i="2"/>
  <c r="M125" i="2"/>
  <c r="M126" i="2"/>
  <c r="M127" i="2"/>
  <c r="M128" i="2"/>
  <c r="M106" i="2"/>
  <c r="M133" i="2"/>
  <c r="M134" i="2"/>
  <c r="M135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31" i="2"/>
  <c r="M132" i="2"/>
  <c r="M206" i="2"/>
  <c r="M207" i="2"/>
  <c r="M208" i="2"/>
  <c r="M209" i="2"/>
  <c r="M210" i="2"/>
  <c r="M211" i="2"/>
  <c r="M214" i="2"/>
  <c r="M215" i="2"/>
  <c r="M216" i="2"/>
  <c r="M212" i="2"/>
  <c r="M213" i="2"/>
  <c r="M217" i="2"/>
  <c r="M218" i="2"/>
  <c r="M219" i="2"/>
  <c r="M205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38" i="2"/>
  <c r="M139" i="2"/>
  <c r="M140" i="2"/>
  <c r="M141" i="2"/>
  <c r="M142" i="2"/>
  <c r="M143" i="2"/>
  <c r="M144" i="2"/>
  <c r="M145" i="2"/>
  <c r="M146" i="2"/>
  <c r="M147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4" i="2"/>
  <c r="M195" i="2"/>
  <c r="M196" i="2"/>
  <c r="M197" i="2"/>
  <c r="M198" i="2"/>
  <c r="M199" i="2"/>
  <c r="M200" i="2"/>
  <c r="M201" i="2"/>
  <c r="M202" i="2"/>
  <c r="M203" i="2"/>
  <c r="M204" i="2"/>
  <c r="M220" i="2"/>
  <c r="M221" i="2"/>
  <c r="M222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320" i="2"/>
  <c r="M321" i="2"/>
  <c r="M322" i="2"/>
  <c r="BI223" i="2"/>
  <c r="BJ223" i="2" s="1"/>
  <c r="BC223" i="2"/>
  <c r="BD223" i="2" s="1"/>
  <c r="D4" i="2"/>
  <c r="D2" i="2"/>
  <c r="D5" i="2"/>
  <c r="D6" i="2"/>
  <c r="D7" i="2"/>
  <c r="D8" i="2"/>
  <c r="D9" i="2"/>
  <c r="D10" i="2"/>
  <c r="D18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3" i="2"/>
  <c r="D11" i="2"/>
  <c r="D12" i="2"/>
  <c r="D13" i="2"/>
  <c r="D14" i="2"/>
  <c r="D15" i="2"/>
  <c r="D16" i="2"/>
  <c r="D17" i="2"/>
  <c r="D19" i="2"/>
  <c r="D20" i="2"/>
  <c r="D21" i="2"/>
  <c r="D22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7" i="2"/>
  <c r="D66" i="2"/>
  <c r="D68" i="2"/>
  <c r="D69" i="2"/>
  <c r="D70" i="2"/>
  <c r="D71" i="2"/>
  <c r="D72" i="2"/>
  <c r="D73" i="2"/>
  <c r="D74" i="2"/>
  <c r="D75" i="2"/>
  <c r="D76" i="2"/>
  <c r="D101" i="2"/>
  <c r="D77" i="2"/>
  <c r="D78" i="2"/>
  <c r="D102" i="2"/>
  <c r="D79" i="2"/>
  <c r="D80" i="2"/>
  <c r="D103" i="2"/>
  <c r="D104" i="2"/>
  <c r="D105" i="2"/>
  <c r="D81" i="2"/>
  <c r="D82" i="2"/>
  <c r="D83" i="2"/>
  <c r="D84" i="2"/>
  <c r="D88" i="2"/>
  <c r="D89" i="2"/>
  <c r="D90" i="2"/>
  <c r="D91" i="2"/>
  <c r="D85" i="2"/>
  <c r="D86" i="2"/>
  <c r="D87" i="2"/>
  <c r="D96" i="2"/>
  <c r="D97" i="2"/>
  <c r="D98" i="2"/>
  <c r="D99" i="2"/>
  <c r="D100" i="2"/>
  <c r="D92" i="2"/>
  <c r="D93" i="2"/>
  <c r="D94" i="2"/>
  <c r="D95" i="2"/>
  <c r="D129" i="2"/>
  <c r="D130" i="2"/>
  <c r="D121" i="2"/>
  <c r="D122" i="2"/>
  <c r="D123" i="2"/>
  <c r="D124" i="2"/>
  <c r="D125" i="2"/>
  <c r="D126" i="2"/>
  <c r="D127" i="2"/>
  <c r="D128" i="2"/>
  <c r="D106" i="2"/>
  <c r="D133" i="2"/>
  <c r="D134" i="2"/>
  <c r="D135" i="2"/>
  <c r="D107" i="2"/>
  <c r="D136" i="2"/>
  <c r="D13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31" i="2"/>
  <c r="D132" i="2"/>
  <c r="D206" i="2"/>
  <c r="D207" i="2"/>
  <c r="D208" i="2"/>
  <c r="D209" i="2"/>
  <c r="D210" i="2"/>
  <c r="D211" i="2"/>
  <c r="D214" i="2"/>
  <c r="D215" i="2"/>
  <c r="D216" i="2"/>
  <c r="D212" i="2"/>
  <c r="D213" i="2"/>
  <c r="D217" i="2"/>
  <c r="D218" i="2"/>
  <c r="D219" i="2"/>
  <c r="D205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38" i="2"/>
  <c r="D139" i="2"/>
  <c r="D140" i="2"/>
  <c r="D141" i="2"/>
  <c r="D142" i="2"/>
  <c r="D143" i="2"/>
  <c r="D144" i="2"/>
  <c r="D145" i="2"/>
  <c r="D146" i="2"/>
  <c r="D147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BC128" i="2"/>
  <c r="BD128" i="2" s="1"/>
  <c r="BI128" i="2"/>
  <c r="BJ128" i="2" s="1"/>
  <c r="BC127" i="2"/>
  <c r="BD127" i="2" s="1"/>
  <c r="BI127" i="2"/>
  <c r="BJ127" i="2" s="1"/>
  <c r="BC126" i="2"/>
  <c r="BD126" i="2" s="1"/>
  <c r="BI126" i="2"/>
  <c r="BJ126" i="2" s="1"/>
  <c r="BI201" i="2"/>
  <c r="BJ201" i="2" s="1"/>
  <c r="BC201" i="2"/>
  <c r="BD201" i="2" s="1"/>
  <c r="BC139" i="2"/>
  <c r="BD139" i="2" s="1"/>
  <c r="BC140" i="2"/>
  <c r="BD140" i="2" s="1"/>
  <c r="BC141" i="2"/>
  <c r="BD141" i="2" s="1"/>
  <c r="BC142" i="2"/>
  <c r="BD142" i="2" s="1"/>
  <c r="BC143" i="2"/>
  <c r="BD143" i="2" s="1"/>
  <c r="BC144" i="2"/>
  <c r="BD144" i="2" s="1"/>
  <c r="BI139" i="2"/>
  <c r="BJ139" i="2" s="1"/>
  <c r="BI140" i="2"/>
  <c r="BJ140" i="2" s="1"/>
  <c r="BI141" i="2"/>
  <c r="BJ141" i="2" s="1"/>
  <c r="BI142" i="2"/>
  <c r="BJ142" i="2" s="1"/>
  <c r="BI143" i="2"/>
  <c r="BJ143" i="2" s="1"/>
  <c r="BI144" i="2"/>
  <c r="BJ144" i="2" s="1"/>
  <c r="BI87" i="2"/>
  <c r="BJ87" i="2" s="1"/>
  <c r="BC87" i="2"/>
  <c r="BD87" i="2" s="1"/>
  <c r="BI59" i="2"/>
  <c r="BJ59" i="2" s="1"/>
  <c r="BI60" i="2"/>
  <c r="BJ60" i="2" s="1"/>
  <c r="BI2" i="2"/>
  <c r="BJ2" i="2" s="1"/>
  <c r="BI4" i="2"/>
  <c r="BJ4" i="2" s="1"/>
  <c r="BI5" i="2"/>
  <c r="BJ5" i="2" s="1"/>
  <c r="BI6" i="2"/>
  <c r="BJ6" i="2" s="1"/>
  <c r="BI7" i="2"/>
  <c r="BJ7" i="2" s="1"/>
  <c r="BI8" i="2"/>
  <c r="BJ8" i="2" s="1"/>
  <c r="BI9" i="2"/>
  <c r="BJ9" i="2" s="1"/>
  <c r="BI10" i="2"/>
  <c r="BJ10" i="2" s="1"/>
  <c r="BI18" i="2"/>
  <c r="BJ18" i="2" s="1"/>
  <c r="BI23" i="2"/>
  <c r="BJ23" i="2" s="1"/>
  <c r="BI24" i="2"/>
  <c r="BJ24" i="2" s="1"/>
  <c r="BI25" i="2"/>
  <c r="BJ25" i="2" s="1"/>
  <c r="BI26" i="2"/>
  <c r="BJ26" i="2" s="1"/>
  <c r="BI27" i="2"/>
  <c r="BJ27" i="2" s="1"/>
  <c r="BI28" i="2"/>
  <c r="BJ28" i="2" s="1"/>
  <c r="BI29" i="2"/>
  <c r="BJ29" i="2" s="1"/>
  <c r="BI30" i="2"/>
  <c r="BJ30" i="2" s="1"/>
  <c r="BI31" i="2"/>
  <c r="BJ31" i="2" s="1"/>
  <c r="BI32" i="2"/>
  <c r="BJ32" i="2" s="1"/>
  <c r="BI33" i="2"/>
  <c r="BJ33" i="2" s="1"/>
  <c r="BI34" i="2"/>
  <c r="BJ34" i="2" s="1"/>
  <c r="BI35" i="2"/>
  <c r="BJ35" i="2" s="1"/>
  <c r="BI36" i="2"/>
  <c r="BJ36" i="2" s="1"/>
  <c r="BI37" i="2"/>
  <c r="BJ37" i="2" s="1"/>
  <c r="BI38" i="2"/>
  <c r="BJ38" i="2" s="1"/>
  <c r="BI39" i="2"/>
  <c r="BJ39" i="2" s="1"/>
  <c r="BI40" i="2"/>
  <c r="BJ40" i="2" s="1"/>
  <c r="BI41" i="2"/>
  <c r="BJ41" i="2" s="1"/>
  <c r="BI42" i="2"/>
  <c r="BJ42" i="2" s="1"/>
  <c r="BI43" i="2"/>
  <c r="BJ43" i="2" s="1"/>
  <c r="BI44" i="2"/>
  <c r="BJ44" i="2" s="1"/>
  <c r="BI45" i="2"/>
  <c r="BJ45" i="2" s="1"/>
  <c r="BI3" i="2"/>
  <c r="BJ3" i="2" s="1"/>
  <c r="BI11" i="2"/>
  <c r="BJ11" i="2" s="1"/>
  <c r="BI12" i="2"/>
  <c r="BJ12" i="2" s="1"/>
  <c r="BI13" i="2"/>
  <c r="BJ13" i="2" s="1"/>
  <c r="BI14" i="2"/>
  <c r="BJ14" i="2" s="1"/>
  <c r="BI15" i="2"/>
  <c r="BJ15" i="2" s="1"/>
  <c r="BI16" i="2"/>
  <c r="BJ16" i="2" s="1"/>
  <c r="BI17" i="2"/>
  <c r="BJ17" i="2" s="1"/>
  <c r="BI19" i="2"/>
  <c r="BJ19" i="2" s="1"/>
  <c r="BI20" i="2"/>
  <c r="BJ20" i="2" s="1"/>
  <c r="BI21" i="2"/>
  <c r="BJ21" i="2" s="1"/>
  <c r="BI22" i="2"/>
  <c r="BJ22" i="2" s="1"/>
  <c r="BI46" i="2"/>
  <c r="BJ46" i="2" s="1"/>
  <c r="BI47" i="2"/>
  <c r="BJ47" i="2" s="1"/>
  <c r="BI48" i="2"/>
  <c r="BJ48" i="2" s="1"/>
  <c r="BI49" i="2"/>
  <c r="BJ49" i="2" s="1"/>
  <c r="BI50" i="2"/>
  <c r="BJ50" i="2" s="1"/>
  <c r="BI51" i="2"/>
  <c r="BJ51" i="2" s="1"/>
  <c r="BI52" i="2"/>
  <c r="BJ52" i="2" s="1"/>
  <c r="BI53" i="2"/>
  <c r="BJ53" i="2" s="1"/>
  <c r="BI54" i="2"/>
  <c r="BJ54" i="2" s="1"/>
  <c r="BI55" i="2"/>
  <c r="BJ55" i="2" s="1"/>
  <c r="BI56" i="2"/>
  <c r="BJ56" i="2" s="1"/>
  <c r="BI57" i="2"/>
  <c r="BJ57" i="2" s="1"/>
  <c r="BI58" i="2"/>
  <c r="BJ58" i="2" s="1"/>
  <c r="BI61" i="2"/>
  <c r="BJ61" i="2" s="1"/>
  <c r="BI62" i="2"/>
  <c r="BJ62" i="2" s="1"/>
  <c r="BI63" i="2"/>
  <c r="BJ63" i="2" s="1"/>
  <c r="BI68" i="2"/>
  <c r="BJ68" i="2" s="1"/>
  <c r="BI69" i="2"/>
  <c r="BJ69" i="2" s="1"/>
  <c r="BI70" i="2"/>
  <c r="BJ70" i="2" s="1"/>
  <c r="BI71" i="2"/>
  <c r="BJ71" i="2" s="1"/>
  <c r="BI72" i="2"/>
  <c r="BJ72" i="2" s="1"/>
  <c r="BI73" i="2"/>
  <c r="BJ73" i="2" s="1"/>
  <c r="BI74" i="2"/>
  <c r="BJ74" i="2" s="1"/>
  <c r="BI75" i="2"/>
  <c r="BJ75" i="2" s="1"/>
  <c r="BI64" i="2"/>
  <c r="BJ64" i="2" s="1"/>
  <c r="BI65" i="2"/>
  <c r="BJ65" i="2" s="1"/>
  <c r="BI67" i="2"/>
  <c r="BJ67" i="2" s="1"/>
  <c r="BI66" i="2"/>
  <c r="BJ66" i="2" s="1"/>
  <c r="BI80" i="2"/>
  <c r="BJ80" i="2" s="1"/>
  <c r="BI103" i="2"/>
  <c r="BJ103" i="2" s="1"/>
  <c r="BI104" i="2"/>
  <c r="BJ104" i="2" s="1"/>
  <c r="BI105" i="2"/>
  <c r="BJ105" i="2" s="1"/>
  <c r="BI76" i="2"/>
  <c r="BJ76" i="2" s="1"/>
  <c r="BI101" i="2"/>
  <c r="BJ101" i="2" s="1"/>
  <c r="BI77" i="2"/>
  <c r="BJ77" i="2" s="1"/>
  <c r="BI78" i="2"/>
  <c r="BJ78" i="2" s="1"/>
  <c r="BI102" i="2"/>
  <c r="BJ102" i="2" s="1"/>
  <c r="BI79" i="2"/>
  <c r="BJ79" i="2" s="1"/>
  <c r="BI84" i="2"/>
  <c r="BJ84" i="2" s="1"/>
  <c r="BI88" i="2"/>
  <c r="BJ88" i="2" s="1"/>
  <c r="BI89" i="2"/>
  <c r="BJ89" i="2" s="1"/>
  <c r="BI90" i="2"/>
  <c r="BJ90" i="2" s="1"/>
  <c r="BI91" i="2"/>
  <c r="BJ91" i="2" s="1"/>
  <c r="BI81" i="2"/>
  <c r="BJ81" i="2" s="1"/>
  <c r="BI82" i="2"/>
  <c r="BJ82" i="2" s="1"/>
  <c r="BI83" i="2"/>
  <c r="BJ83" i="2" s="1"/>
  <c r="BI86" i="2"/>
  <c r="BJ86" i="2" s="1"/>
  <c r="BI85" i="2"/>
  <c r="BJ85" i="2" s="1"/>
  <c r="BI96" i="2"/>
  <c r="BJ96" i="2" s="1"/>
  <c r="BI97" i="2"/>
  <c r="BJ97" i="2" s="1"/>
  <c r="BI98" i="2"/>
  <c r="BJ98" i="2" s="1"/>
  <c r="BI99" i="2"/>
  <c r="BJ99" i="2" s="1"/>
  <c r="BI100" i="2"/>
  <c r="BJ100" i="2" s="1"/>
  <c r="BI92" i="2"/>
  <c r="BJ92" i="2" s="1"/>
  <c r="BI93" i="2"/>
  <c r="BJ93" i="2" s="1"/>
  <c r="BI94" i="2"/>
  <c r="BJ94" i="2" s="1"/>
  <c r="BI95" i="2"/>
  <c r="BJ95" i="2" s="1"/>
  <c r="BI129" i="2"/>
  <c r="BJ129" i="2" s="1"/>
  <c r="BI130" i="2"/>
  <c r="BJ130" i="2" s="1"/>
  <c r="BI121" i="2"/>
  <c r="BJ121" i="2" s="1"/>
  <c r="BI122" i="2"/>
  <c r="BJ122" i="2" s="1"/>
  <c r="BI123" i="2"/>
  <c r="BJ123" i="2" s="1"/>
  <c r="BI124" i="2"/>
  <c r="BJ124" i="2" s="1"/>
  <c r="BI125" i="2"/>
  <c r="BJ125" i="2" s="1"/>
  <c r="BI106" i="2"/>
  <c r="BJ106" i="2" s="1"/>
  <c r="BI133" i="2"/>
  <c r="BJ133" i="2" s="1"/>
  <c r="BI134" i="2"/>
  <c r="BJ134" i="2" s="1"/>
  <c r="BI135" i="2"/>
  <c r="BJ135" i="2" s="1"/>
  <c r="BI107" i="2"/>
  <c r="BJ107" i="2" s="1"/>
  <c r="BI136" i="2"/>
  <c r="BJ136" i="2" s="1"/>
  <c r="BI137" i="2"/>
  <c r="BJ137" i="2" s="1"/>
  <c r="BI108" i="2"/>
  <c r="BJ108" i="2" s="1"/>
  <c r="BI109" i="2"/>
  <c r="BJ109" i="2" s="1"/>
  <c r="BI110" i="2"/>
  <c r="BJ110" i="2" s="1"/>
  <c r="BI111" i="2"/>
  <c r="BJ111" i="2" s="1"/>
  <c r="BI112" i="2"/>
  <c r="BJ112" i="2" s="1"/>
  <c r="BI113" i="2"/>
  <c r="BJ113" i="2" s="1"/>
  <c r="BI114" i="2"/>
  <c r="BJ114" i="2" s="1"/>
  <c r="BI115" i="2"/>
  <c r="BJ115" i="2" s="1"/>
  <c r="BI116" i="2"/>
  <c r="BJ116" i="2" s="1"/>
  <c r="BI117" i="2"/>
  <c r="BJ117" i="2" s="1"/>
  <c r="BI118" i="2"/>
  <c r="BJ118" i="2" s="1"/>
  <c r="BI119" i="2"/>
  <c r="BJ119" i="2" s="1"/>
  <c r="BI131" i="2"/>
  <c r="BJ131" i="2" s="1"/>
  <c r="BI132" i="2"/>
  <c r="BJ132" i="2" s="1"/>
  <c r="BI206" i="2"/>
  <c r="BJ206" i="2" s="1"/>
  <c r="BI207" i="2"/>
  <c r="BJ207" i="2" s="1"/>
  <c r="BI208" i="2"/>
  <c r="BJ208" i="2" s="1"/>
  <c r="BI209" i="2"/>
  <c r="BJ209" i="2" s="1"/>
  <c r="BI210" i="2"/>
  <c r="BJ210" i="2" s="1"/>
  <c r="BI211" i="2"/>
  <c r="BJ211" i="2" s="1"/>
  <c r="BI214" i="2"/>
  <c r="BJ214" i="2" s="1"/>
  <c r="BI215" i="2"/>
  <c r="BJ215" i="2" s="1"/>
  <c r="BI216" i="2"/>
  <c r="BJ216" i="2" s="1"/>
  <c r="BI212" i="2"/>
  <c r="BJ212" i="2" s="1"/>
  <c r="BI213" i="2"/>
  <c r="BJ213" i="2" s="1"/>
  <c r="BI217" i="2"/>
  <c r="BJ217" i="2" s="1"/>
  <c r="BI218" i="2"/>
  <c r="BJ218" i="2" s="1"/>
  <c r="BI219" i="2"/>
  <c r="BJ219" i="2" s="1"/>
  <c r="BI205" i="2"/>
  <c r="BJ205" i="2" s="1"/>
  <c r="BI148" i="2"/>
  <c r="BJ148" i="2" s="1"/>
  <c r="BI149" i="2"/>
  <c r="BJ149" i="2" s="1"/>
  <c r="BI150" i="2"/>
  <c r="BJ150" i="2" s="1"/>
  <c r="BI151" i="2"/>
  <c r="BJ151" i="2" s="1"/>
  <c r="BI152" i="2"/>
  <c r="BJ152" i="2" s="1"/>
  <c r="BI153" i="2"/>
  <c r="BJ153" i="2" s="1"/>
  <c r="BI154" i="2"/>
  <c r="BJ154" i="2" s="1"/>
  <c r="BI155" i="2"/>
  <c r="BJ155" i="2" s="1"/>
  <c r="BI156" i="2"/>
  <c r="BJ156" i="2" s="1"/>
  <c r="BI157" i="2"/>
  <c r="BJ157" i="2" s="1"/>
  <c r="BI158" i="2"/>
  <c r="BJ158" i="2" s="1"/>
  <c r="BI159" i="2"/>
  <c r="BJ159" i="2" s="1"/>
  <c r="BI160" i="2"/>
  <c r="BJ160" i="2" s="1"/>
  <c r="BI161" i="2"/>
  <c r="BJ161" i="2" s="1"/>
  <c r="BI162" i="2"/>
  <c r="BJ162" i="2" s="1"/>
  <c r="BI163" i="2"/>
  <c r="BJ163" i="2" s="1"/>
  <c r="BI164" i="2"/>
  <c r="BJ164" i="2" s="1"/>
  <c r="BI165" i="2"/>
  <c r="BJ165" i="2" s="1"/>
  <c r="BI138" i="2"/>
  <c r="BJ138" i="2" s="1"/>
  <c r="BI145" i="2"/>
  <c r="BJ145" i="2" s="1"/>
  <c r="BI146" i="2"/>
  <c r="BJ146" i="2" s="1"/>
  <c r="BI147" i="2"/>
  <c r="BJ147" i="2" s="1"/>
  <c r="BI166" i="2"/>
  <c r="BJ166" i="2" s="1"/>
  <c r="BI167" i="2"/>
  <c r="BJ167" i="2" s="1"/>
  <c r="BI168" i="2"/>
  <c r="BJ168" i="2" s="1"/>
  <c r="BI169" i="2"/>
  <c r="BJ169" i="2" s="1"/>
  <c r="BI170" i="2"/>
  <c r="BJ170" i="2" s="1"/>
  <c r="BI171" i="2"/>
  <c r="BJ171" i="2" s="1"/>
  <c r="BI172" i="2"/>
  <c r="BJ172" i="2" s="1"/>
  <c r="BI173" i="2"/>
  <c r="BJ173" i="2" s="1"/>
  <c r="BI174" i="2"/>
  <c r="BJ174" i="2" s="1"/>
  <c r="BI175" i="2"/>
  <c r="BJ175" i="2" s="1"/>
  <c r="BI176" i="2"/>
  <c r="BJ176" i="2" s="1"/>
  <c r="BI177" i="2"/>
  <c r="BJ177" i="2" s="1"/>
  <c r="BI178" i="2"/>
  <c r="BJ178" i="2" s="1"/>
  <c r="BI179" i="2"/>
  <c r="BJ179" i="2" s="1"/>
  <c r="BI180" i="2"/>
  <c r="BJ180" i="2" s="1"/>
  <c r="BI181" i="2"/>
  <c r="BJ181" i="2" s="1"/>
  <c r="BI182" i="2"/>
  <c r="BJ182" i="2" s="1"/>
  <c r="BI183" i="2"/>
  <c r="BJ183" i="2" s="1"/>
  <c r="BI184" i="2"/>
  <c r="BJ184" i="2" s="1"/>
  <c r="BI185" i="2"/>
  <c r="BJ185" i="2" s="1"/>
  <c r="BI186" i="2"/>
  <c r="BJ186" i="2" s="1"/>
  <c r="BI187" i="2"/>
  <c r="BJ187" i="2" s="1"/>
  <c r="BI188" i="2"/>
  <c r="BJ188" i="2" s="1"/>
  <c r="BI189" i="2"/>
  <c r="BJ189" i="2" s="1"/>
  <c r="BI190" i="2"/>
  <c r="BJ190" i="2" s="1"/>
  <c r="BI191" i="2"/>
  <c r="BJ191" i="2" s="1"/>
  <c r="BI192" i="2"/>
  <c r="BJ192" i="2" s="1"/>
  <c r="BI193" i="2"/>
  <c r="BJ193" i="2" s="1"/>
  <c r="BI194" i="2"/>
  <c r="BJ194" i="2" s="1"/>
  <c r="BI195" i="2"/>
  <c r="BJ195" i="2" s="1"/>
  <c r="BI196" i="2"/>
  <c r="BJ196" i="2" s="1"/>
  <c r="BI197" i="2"/>
  <c r="BJ197" i="2" s="1"/>
  <c r="BI198" i="2"/>
  <c r="BJ198" i="2" s="1"/>
  <c r="BI199" i="2"/>
  <c r="BJ199" i="2" s="1"/>
  <c r="BI200" i="2"/>
  <c r="BJ200" i="2" s="1"/>
  <c r="BI202" i="2"/>
  <c r="BJ202" i="2" s="1"/>
  <c r="BI203" i="2"/>
  <c r="BJ203" i="2" s="1"/>
  <c r="BI204" i="2"/>
  <c r="BJ204" i="2" s="1"/>
  <c r="BI220" i="2"/>
  <c r="BJ220" i="2" s="1"/>
  <c r="BI221" i="2"/>
  <c r="BJ221" i="2" s="1"/>
  <c r="BI222" i="2"/>
  <c r="BJ222" i="2" s="1"/>
  <c r="BI224" i="2"/>
  <c r="BJ224" i="2" s="1"/>
  <c r="BI225" i="2"/>
  <c r="BJ225" i="2" s="1"/>
  <c r="BI226" i="2"/>
  <c r="BJ226" i="2" s="1"/>
  <c r="BI227" i="2"/>
  <c r="BJ227" i="2" s="1"/>
  <c r="BI228" i="2"/>
  <c r="BJ228" i="2" s="1"/>
  <c r="BI229" i="2"/>
  <c r="BJ229" i="2" s="1"/>
  <c r="BI230" i="2"/>
  <c r="BJ230" i="2" s="1"/>
  <c r="BI231" i="2"/>
  <c r="BJ231" i="2" s="1"/>
  <c r="BI232" i="2"/>
  <c r="BJ232" i="2" s="1"/>
  <c r="BI233" i="2"/>
  <c r="BJ233" i="2" s="1"/>
  <c r="BI234" i="2"/>
  <c r="BJ234" i="2" s="1"/>
  <c r="BI235" i="2"/>
  <c r="BJ235" i="2" s="1"/>
  <c r="BI236" i="2"/>
  <c r="BJ236" i="2" s="1"/>
  <c r="BI237" i="2"/>
  <c r="BJ237" i="2" s="1"/>
  <c r="BI238" i="2"/>
  <c r="BJ238" i="2" s="1"/>
  <c r="BI239" i="2"/>
  <c r="BJ239" i="2" s="1"/>
  <c r="BI240" i="2"/>
  <c r="BJ240" i="2" s="1"/>
  <c r="BI241" i="2"/>
  <c r="BJ241" i="2" s="1"/>
  <c r="BI242" i="2"/>
  <c r="BJ242" i="2" s="1"/>
  <c r="BI243" i="2"/>
  <c r="BJ243" i="2" s="1"/>
  <c r="BI244" i="2"/>
  <c r="BJ244" i="2" s="1"/>
  <c r="BI245" i="2"/>
  <c r="BJ245" i="2" s="1"/>
  <c r="BI246" i="2"/>
  <c r="BJ246" i="2" s="1"/>
  <c r="BI247" i="2"/>
  <c r="BJ247" i="2" s="1"/>
  <c r="BI248" i="2"/>
  <c r="BJ248" i="2" s="1"/>
  <c r="BI249" i="2"/>
  <c r="BJ249" i="2" s="1"/>
  <c r="BI250" i="2"/>
  <c r="BJ250" i="2" s="1"/>
  <c r="BI251" i="2"/>
  <c r="BJ251" i="2" s="1"/>
  <c r="BI252" i="2"/>
  <c r="BJ252" i="2" s="1"/>
  <c r="BI253" i="2"/>
  <c r="BJ253" i="2" s="1"/>
  <c r="BI254" i="2"/>
  <c r="BJ254" i="2" s="1"/>
  <c r="BI255" i="2"/>
  <c r="BJ255" i="2" s="1"/>
  <c r="BI256" i="2"/>
  <c r="BJ256" i="2" s="1"/>
  <c r="BI257" i="2"/>
  <c r="BJ257" i="2" s="1"/>
  <c r="BI258" i="2"/>
  <c r="BJ258" i="2" s="1"/>
  <c r="BI259" i="2"/>
  <c r="BJ259" i="2" s="1"/>
  <c r="BI260" i="2"/>
  <c r="BJ260" i="2" s="1"/>
  <c r="BI261" i="2"/>
  <c r="BJ261" i="2" s="1"/>
  <c r="BI262" i="2"/>
  <c r="BJ262" i="2" s="1"/>
  <c r="BI263" i="2"/>
  <c r="BJ263" i="2" s="1"/>
  <c r="BI264" i="2"/>
  <c r="BJ264" i="2" s="1"/>
  <c r="BI265" i="2"/>
  <c r="BJ265" i="2" s="1"/>
  <c r="BI266" i="2"/>
  <c r="BJ266" i="2" s="1"/>
  <c r="BI267" i="2"/>
  <c r="BJ267" i="2" s="1"/>
  <c r="BI268" i="2"/>
  <c r="BJ268" i="2" s="1"/>
  <c r="BI269" i="2"/>
  <c r="BJ269" i="2" s="1"/>
  <c r="BI270" i="2"/>
  <c r="BJ270" i="2" s="1"/>
  <c r="BI271" i="2"/>
  <c r="BJ271" i="2" s="1"/>
  <c r="BI272" i="2"/>
  <c r="BJ272" i="2" s="1"/>
  <c r="BI273" i="2"/>
  <c r="BJ273" i="2" s="1"/>
  <c r="BI274" i="2"/>
  <c r="BJ274" i="2" s="1"/>
  <c r="BI275" i="2"/>
  <c r="BJ275" i="2" s="1"/>
  <c r="BI276" i="2"/>
  <c r="BJ276" i="2" s="1"/>
  <c r="BI277" i="2"/>
  <c r="BJ277" i="2" s="1"/>
  <c r="BI278" i="2"/>
  <c r="BJ278" i="2" s="1"/>
  <c r="BI279" i="2"/>
  <c r="BJ279" i="2" s="1"/>
  <c r="BI280" i="2"/>
  <c r="BJ280" i="2" s="1"/>
  <c r="BI281" i="2"/>
  <c r="BJ281" i="2" s="1"/>
  <c r="BI282" i="2"/>
  <c r="BJ282" i="2" s="1"/>
  <c r="BI283" i="2"/>
  <c r="BJ283" i="2" s="1"/>
  <c r="BI284" i="2"/>
  <c r="BJ284" i="2" s="1"/>
  <c r="BI285" i="2"/>
  <c r="BJ285" i="2" s="1"/>
  <c r="BI286" i="2"/>
  <c r="BJ286" i="2" s="1"/>
  <c r="BI287" i="2"/>
  <c r="BJ287" i="2" s="1"/>
  <c r="BI288" i="2"/>
  <c r="BJ288" i="2" s="1"/>
  <c r="BI289" i="2"/>
  <c r="BJ289" i="2" s="1"/>
  <c r="BI290" i="2"/>
  <c r="BJ290" i="2" s="1"/>
  <c r="BI291" i="2"/>
  <c r="BJ291" i="2" s="1"/>
  <c r="BI292" i="2"/>
  <c r="BJ292" i="2" s="1"/>
  <c r="BI293" i="2"/>
  <c r="BJ293" i="2" s="1"/>
  <c r="BI294" i="2"/>
  <c r="BJ294" i="2" s="1"/>
  <c r="BI295" i="2"/>
  <c r="BJ295" i="2" s="1"/>
  <c r="BI296" i="2"/>
  <c r="BJ296" i="2" s="1"/>
  <c r="BI297" i="2"/>
  <c r="BJ297" i="2" s="1"/>
  <c r="BI298" i="2"/>
  <c r="BJ298" i="2" s="1"/>
  <c r="BI299" i="2"/>
  <c r="BJ299" i="2" s="1"/>
  <c r="BI300" i="2"/>
  <c r="BJ300" i="2" s="1"/>
  <c r="BI301" i="2"/>
  <c r="BJ301" i="2" s="1"/>
  <c r="BI302" i="2"/>
  <c r="BJ302" i="2" s="1"/>
  <c r="BI303" i="2"/>
  <c r="BJ303" i="2" s="1"/>
  <c r="BI304" i="2"/>
  <c r="BJ304" i="2" s="1"/>
  <c r="BI305" i="2"/>
  <c r="BJ305" i="2" s="1"/>
  <c r="BI306" i="2"/>
  <c r="BJ306" i="2" s="1"/>
  <c r="BI307" i="2"/>
  <c r="BJ307" i="2" s="1"/>
  <c r="BI308" i="2"/>
  <c r="BJ308" i="2" s="1"/>
  <c r="BI309" i="2"/>
  <c r="BJ309" i="2" s="1"/>
  <c r="BI310" i="2"/>
  <c r="BJ310" i="2" s="1"/>
  <c r="BI311" i="2"/>
  <c r="BJ311" i="2" s="1"/>
  <c r="BI312" i="2"/>
  <c r="BJ312" i="2" s="1"/>
  <c r="BI313" i="2"/>
  <c r="BJ313" i="2" s="1"/>
  <c r="BI314" i="2"/>
  <c r="BJ314" i="2" s="1"/>
  <c r="BI315" i="2"/>
  <c r="BJ315" i="2" s="1"/>
  <c r="BI316" i="2"/>
  <c r="BJ316" i="2" s="1"/>
  <c r="BI317" i="2"/>
  <c r="BJ317" i="2" s="1"/>
  <c r="BI318" i="2"/>
  <c r="BJ318" i="2" s="1"/>
  <c r="BI319" i="2"/>
  <c r="BJ319" i="2" s="1"/>
  <c r="BI320" i="2"/>
  <c r="BJ320" i="2" s="1"/>
  <c r="BI321" i="2"/>
  <c r="BJ321" i="2" s="1"/>
  <c r="BI322" i="2"/>
  <c r="BJ322" i="2" s="1"/>
  <c r="BI323" i="2"/>
  <c r="BJ323" i="2" s="1"/>
  <c r="BI324" i="2"/>
  <c r="BJ324" i="2" s="1"/>
  <c r="BI325" i="2"/>
  <c r="BJ325" i="2" s="1"/>
  <c r="BI326" i="2"/>
  <c r="BJ326" i="2" s="1"/>
  <c r="BI327" i="2"/>
  <c r="BJ327" i="2" s="1"/>
  <c r="BI328" i="2"/>
  <c r="BJ328" i="2" s="1"/>
  <c r="BI329" i="2"/>
  <c r="BJ329" i="2" s="1"/>
  <c r="BI330" i="2"/>
  <c r="BJ330" i="2" s="1"/>
  <c r="BI331" i="2"/>
  <c r="BJ331" i="2" s="1"/>
  <c r="BI332" i="2"/>
  <c r="BJ332" i="2" s="1"/>
  <c r="BI333" i="2"/>
  <c r="BJ333" i="2" s="1"/>
  <c r="BI334" i="2"/>
  <c r="BJ334" i="2" s="1"/>
  <c r="BI335" i="2"/>
  <c r="BJ335" i="2" s="1"/>
  <c r="BI336" i="2"/>
  <c r="BJ336" i="2" s="1"/>
  <c r="BI337" i="2"/>
  <c r="BJ337" i="2" s="1"/>
  <c r="BI338" i="2"/>
  <c r="BJ338" i="2" s="1"/>
  <c r="BI339" i="2"/>
  <c r="BJ339" i="2" s="1"/>
  <c r="BI340" i="2"/>
  <c r="BJ340" i="2" s="1"/>
  <c r="BI341" i="2"/>
  <c r="BJ341" i="2" s="1"/>
  <c r="BI342" i="2"/>
  <c r="BJ342" i="2" s="1"/>
  <c r="BI343" i="2"/>
  <c r="BJ343" i="2" s="1"/>
  <c r="BC59" i="2"/>
  <c r="BD59" i="2" s="1"/>
  <c r="BC60" i="2"/>
  <c r="BD60" i="2" s="1"/>
  <c r="BC2" i="2"/>
  <c r="BD2" i="2" s="1"/>
  <c r="BC4" i="2"/>
  <c r="BD4" i="2" s="1"/>
  <c r="BC5" i="2"/>
  <c r="BD5" i="2" s="1"/>
  <c r="BC6" i="2"/>
  <c r="BD6" i="2" s="1"/>
  <c r="BC7" i="2"/>
  <c r="BD7" i="2" s="1"/>
  <c r="BC8" i="2"/>
  <c r="BD8" i="2" s="1"/>
  <c r="BC9" i="2"/>
  <c r="BD9" i="2" s="1"/>
  <c r="BC10" i="2"/>
  <c r="BD10" i="2" s="1"/>
  <c r="BC18" i="2"/>
  <c r="BD18" i="2" s="1"/>
  <c r="BC23" i="2"/>
  <c r="BD23" i="2" s="1"/>
  <c r="BC24" i="2"/>
  <c r="BD24" i="2" s="1"/>
  <c r="BC25" i="2"/>
  <c r="BD25" i="2" s="1"/>
  <c r="BC26" i="2"/>
  <c r="BD26" i="2" s="1"/>
  <c r="BC27" i="2"/>
  <c r="BD27" i="2" s="1"/>
  <c r="BC28" i="2"/>
  <c r="BD28" i="2" s="1"/>
  <c r="BC29" i="2"/>
  <c r="BD29" i="2" s="1"/>
  <c r="BC30" i="2"/>
  <c r="BD30" i="2" s="1"/>
  <c r="BC31" i="2"/>
  <c r="BD31" i="2" s="1"/>
  <c r="BC32" i="2"/>
  <c r="BD32" i="2" s="1"/>
  <c r="BC33" i="2"/>
  <c r="BD33" i="2" s="1"/>
  <c r="BC34" i="2"/>
  <c r="BD34" i="2" s="1"/>
  <c r="BC35" i="2"/>
  <c r="BD35" i="2" s="1"/>
  <c r="BC36" i="2"/>
  <c r="BD36" i="2" s="1"/>
  <c r="BC37" i="2"/>
  <c r="BD37" i="2" s="1"/>
  <c r="BC38" i="2"/>
  <c r="BD38" i="2" s="1"/>
  <c r="BC39" i="2"/>
  <c r="BD39" i="2" s="1"/>
  <c r="BC40" i="2"/>
  <c r="BD40" i="2" s="1"/>
  <c r="BC41" i="2"/>
  <c r="BD41" i="2" s="1"/>
  <c r="BC42" i="2"/>
  <c r="BD42" i="2" s="1"/>
  <c r="BC43" i="2"/>
  <c r="BD43" i="2" s="1"/>
  <c r="BC44" i="2"/>
  <c r="BD44" i="2" s="1"/>
  <c r="BC45" i="2"/>
  <c r="BD45" i="2" s="1"/>
  <c r="BC3" i="2"/>
  <c r="BD3" i="2" s="1"/>
  <c r="BC11" i="2"/>
  <c r="BD11" i="2" s="1"/>
  <c r="BC12" i="2"/>
  <c r="BD12" i="2" s="1"/>
  <c r="BC13" i="2"/>
  <c r="BD13" i="2" s="1"/>
  <c r="BC14" i="2"/>
  <c r="BD14" i="2" s="1"/>
  <c r="BC15" i="2"/>
  <c r="BD15" i="2" s="1"/>
  <c r="BC16" i="2"/>
  <c r="BD16" i="2" s="1"/>
  <c r="BC17" i="2"/>
  <c r="BD17" i="2" s="1"/>
  <c r="BC19" i="2"/>
  <c r="BD19" i="2" s="1"/>
  <c r="BC20" i="2"/>
  <c r="BD20" i="2" s="1"/>
  <c r="BC21" i="2"/>
  <c r="BD21" i="2" s="1"/>
  <c r="BC22" i="2"/>
  <c r="BD22" i="2" s="1"/>
  <c r="BC46" i="2"/>
  <c r="BD46" i="2" s="1"/>
  <c r="BC47" i="2"/>
  <c r="BD47" i="2" s="1"/>
  <c r="BC48" i="2"/>
  <c r="BD48" i="2" s="1"/>
  <c r="BC49" i="2"/>
  <c r="BD49" i="2" s="1"/>
  <c r="BC50" i="2"/>
  <c r="BD50" i="2" s="1"/>
  <c r="BC51" i="2"/>
  <c r="BD51" i="2" s="1"/>
  <c r="BC52" i="2"/>
  <c r="BD52" i="2" s="1"/>
  <c r="BC53" i="2"/>
  <c r="BD53" i="2" s="1"/>
  <c r="BC54" i="2"/>
  <c r="BD54" i="2" s="1"/>
  <c r="BC55" i="2"/>
  <c r="BD55" i="2" s="1"/>
  <c r="BC56" i="2"/>
  <c r="BD56" i="2" s="1"/>
  <c r="BC57" i="2"/>
  <c r="BD57" i="2" s="1"/>
  <c r="BC58" i="2"/>
  <c r="BD58" i="2" s="1"/>
  <c r="BC61" i="2"/>
  <c r="BD61" i="2" s="1"/>
  <c r="BC62" i="2"/>
  <c r="BD62" i="2" s="1"/>
  <c r="BC63" i="2"/>
  <c r="BD63" i="2" s="1"/>
  <c r="BC68" i="2"/>
  <c r="BD68" i="2" s="1"/>
  <c r="BC69" i="2"/>
  <c r="BD69" i="2" s="1"/>
  <c r="BC70" i="2"/>
  <c r="BD70" i="2" s="1"/>
  <c r="BC71" i="2"/>
  <c r="BD71" i="2" s="1"/>
  <c r="BC72" i="2"/>
  <c r="BD72" i="2" s="1"/>
  <c r="BC73" i="2"/>
  <c r="BD73" i="2" s="1"/>
  <c r="BC74" i="2"/>
  <c r="BD74" i="2" s="1"/>
  <c r="BC75" i="2"/>
  <c r="BD75" i="2" s="1"/>
  <c r="BC64" i="2"/>
  <c r="BD64" i="2" s="1"/>
  <c r="BC65" i="2"/>
  <c r="BD65" i="2" s="1"/>
  <c r="BC67" i="2"/>
  <c r="BD67" i="2" s="1"/>
  <c r="BC66" i="2"/>
  <c r="BD66" i="2" s="1"/>
  <c r="BC80" i="2"/>
  <c r="BD80" i="2" s="1"/>
  <c r="BC103" i="2"/>
  <c r="BD103" i="2" s="1"/>
  <c r="BC104" i="2"/>
  <c r="BD104" i="2" s="1"/>
  <c r="BC105" i="2"/>
  <c r="BD105" i="2" s="1"/>
  <c r="BC76" i="2"/>
  <c r="BD76" i="2" s="1"/>
  <c r="BC101" i="2"/>
  <c r="BD101" i="2" s="1"/>
  <c r="BC77" i="2"/>
  <c r="BD77" i="2" s="1"/>
  <c r="BC78" i="2"/>
  <c r="BD78" i="2" s="1"/>
  <c r="BC102" i="2"/>
  <c r="BD102" i="2" s="1"/>
  <c r="BC79" i="2"/>
  <c r="BD79" i="2" s="1"/>
  <c r="BC84" i="2"/>
  <c r="BD84" i="2" s="1"/>
  <c r="BC88" i="2"/>
  <c r="BD88" i="2" s="1"/>
  <c r="BC89" i="2"/>
  <c r="BD89" i="2" s="1"/>
  <c r="BC90" i="2"/>
  <c r="BD90" i="2" s="1"/>
  <c r="BC91" i="2"/>
  <c r="BD91" i="2" s="1"/>
  <c r="BC81" i="2"/>
  <c r="BD81" i="2" s="1"/>
  <c r="BC82" i="2"/>
  <c r="BD82" i="2" s="1"/>
  <c r="BC83" i="2"/>
  <c r="BD83" i="2" s="1"/>
  <c r="BC86" i="2"/>
  <c r="BD86" i="2" s="1"/>
  <c r="BC85" i="2"/>
  <c r="BD85" i="2" s="1"/>
  <c r="BC96" i="2"/>
  <c r="BD96" i="2" s="1"/>
  <c r="BC97" i="2"/>
  <c r="BD97" i="2" s="1"/>
  <c r="BC98" i="2"/>
  <c r="BD98" i="2" s="1"/>
  <c r="BC99" i="2"/>
  <c r="BD99" i="2" s="1"/>
  <c r="BC100" i="2"/>
  <c r="BD100" i="2" s="1"/>
  <c r="BC92" i="2"/>
  <c r="BD92" i="2" s="1"/>
  <c r="BC93" i="2"/>
  <c r="BD93" i="2" s="1"/>
  <c r="BC94" i="2"/>
  <c r="BD94" i="2" s="1"/>
  <c r="BC95" i="2"/>
  <c r="BD95" i="2" s="1"/>
  <c r="BC129" i="2"/>
  <c r="BD129" i="2" s="1"/>
  <c r="BC130" i="2"/>
  <c r="BD130" i="2" s="1"/>
  <c r="BC121" i="2"/>
  <c r="BD121" i="2" s="1"/>
  <c r="BC122" i="2"/>
  <c r="BD122" i="2" s="1"/>
  <c r="BC123" i="2"/>
  <c r="BD123" i="2" s="1"/>
  <c r="BC124" i="2"/>
  <c r="BD124" i="2" s="1"/>
  <c r="BC125" i="2"/>
  <c r="BD125" i="2" s="1"/>
  <c r="BC106" i="2"/>
  <c r="BD106" i="2" s="1"/>
  <c r="BC133" i="2"/>
  <c r="BD133" i="2" s="1"/>
  <c r="BC134" i="2"/>
  <c r="BD134" i="2" s="1"/>
  <c r="BC135" i="2"/>
  <c r="BD135" i="2" s="1"/>
  <c r="BC107" i="2"/>
  <c r="BD107" i="2" s="1"/>
  <c r="BC136" i="2"/>
  <c r="BD136" i="2" s="1"/>
  <c r="BC137" i="2"/>
  <c r="BD137" i="2" s="1"/>
  <c r="BC108" i="2"/>
  <c r="BD108" i="2" s="1"/>
  <c r="BC109" i="2"/>
  <c r="BD109" i="2" s="1"/>
  <c r="BC110" i="2"/>
  <c r="BD110" i="2" s="1"/>
  <c r="BC111" i="2"/>
  <c r="BD111" i="2" s="1"/>
  <c r="BC112" i="2"/>
  <c r="BD112" i="2" s="1"/>
  <c r="BC113" i="2"/>
  <c r="BD113" i="2" s="1"/>
  <c r="BC114" i="2"/>
  <c r="BD114" i="2" s="1"/>
  <c r="BC115" i="2"/>
  <c r="BD115" i="2" s="1"/>
  <c r="BC116" i="2"/>
  <c r="BD116" i="2" s="1"/>
  <c r="BC117" i="2"/>
  <c r="BD117" i="2" s="1"/>
  <c r="BC118" i="2"/>
  <c r="BD118" i="2" s="1"/>
  <c r="BC119" i="2"/>
  <c r="BD119" i="2" s="1"/>
  <c r="BC131" i="2"/>
  <c r="BD131" i="2" s="1"/>
  <c r="BC132" i="2"/>
  <c r="BD132" i="2" s="1"/>
  <c r="BC206" i="2"/>
  <c r="BD206" i="2" s="1"/>
  <c r="BC207" i="2"/>
  <c r="BD207" i="2" s="1"/>
  <c r="BC208" i="2"/>
  <c r="BD208" i="2" s="1"/>
  <c r="BC209" i="2"/>
  <c r="BD209" i="2" s="1"/>
  <c r="BC210" i="2"/>
  <c r="BD210" i="2" s="1"/>
  <c r="BC211" i="2"/>
  <c r="BD211" i="2" s="1"/>
  <c r="BC214" i="2"/>
  <c r="BD214" i="2" s="1"/>
  <c r="BC215" i="2"/>
  <c r="BD215" i="2" s="1"/>
  <c r="BC216" i="2"/>
  <c r="BD216" i="2" s="1"/>
  <c r="BC212" i="2"/>
  <c r="BD212" i="2" s="1"/>
  <c r="BC213" i="2"/>
  <c r="BD213" i="2" s="1"/>
  <c r="BC217" i="2"/>
  <c r="BD217" i="2" s="1"/>
  <c r="BC218" i="2"/>
  <c r="BD218" i="2" s="1"/>
  <c r="BC219" i="2"/>
  <c r="BD219" i="2" s="1"/>
  <c r="BC205" i="2"/>
  <c r="BD205" i="2" s="1"/>
  <c r="BC148" i="2"/>
  <c r="BD148" i="2" s="1"/>
  <c r="BC149" i="2"/>
  <c r="BD149" i="2" s="1"/>
  <c r="BC150" i="2"/>
  <c r="BD150" i="2" s="1"/>
  <c r="BC151" i="2"/>
  <c r="BD151" i="2" s="1"/>
  <c r="BC152" i="2"/>
  <c r="BD152" i="2" s="1"/>
  <c r="BC153" i="2"/>
  <c r="BD153" i="2" s="1"/>
  <c r="BC154" i="2"/>
  <c r="BD154" i="2" s="1"/>
  <c r="BC155" i="2"/>
  <c r="BD155" i="2" s="1"/>
  <c r="BC156" i="2"/>
  <c r="BD156" i="2" s="1"/>
  <c r="BC157" i="2"/>
  <c r="BD157" i="2" s="1"/>
  <c r="BC158" i="2"/>
  <c r="BD158" i="2" s="1"/>
  <c r="BC159" i="2"/>
  <c r="BD159" i="2" s="1"/>
  <c r="BC160" i="2"/>
  <c r="BD160" i="2" s="1"/>
  <c r="BC161" i="2"/>
  <c r="BD161" i="2" s="1"/>
  <c r="BC162" i="2"/>
  <c r="BD162" i="2" s="1"/>
  <c r="BC163" i="2"/>
  <c r="BD163" i="2" s="1"/>
  <c r="BC164" i="2"/>
  <c r="BD164" i="2" s="1"/>
  <c r="BC165" i="2"/>
  <c r="BD165" i="2" s="1"/>
  <c r="BC138" i="2"/>
  <c r="BD138" i="2" s="1"/>
  <c r="BC145" i="2"/>
  <c r="BD145" i="2" s="1"/>
  <c r="BC146" i="2"/>
  <c r="BD146" i="2" s="1"/>
  <c r="BC147" i="2"/>
  <c r="BD147" i="2" s="1"/>
  <c r="BC166" i="2"/>
  <c r="BD166" i="2" s="1"/>
  <c r="BC167" i="2"/>
  <c r="BD167" i="2" s="1"/>
  <c r="BC168" i="2"/>
  <c r="BD168" i="2" s="1"/>
  <c r="BC169" i="2"/>
  <c r="BD169" i="2" s="1"/>
  <c r="BC170" i="2"/>
  <c r="BD170" i="2" s="1"/>
  <c r="BC171" i="2"/>
  <c r="BD171" i="2" s="1"/>
  <c r="BC172" i="2"/>
  <c r="BD172" i="2" s="1"/>
  <c r="BC173" i="2"/>
  <c r="BD173" i="2" s="1"/>
  <c r="BC174" i="2"/>
  <c r="BD174" i="2" s="1"/>
  <c r="BC175" i="2"/>
  <c r="BD175" i="2" s="1"/>
  <c r="BC176" i="2"/>
  <c r="BD176" i="2" s="1"/>
  <c r="BC177" i="2"/>
  <c r="BD177" i="2" s="1"/>
  <c r="BC178" i="2"/>
  <c r="BD178" i="2" s="1"/>
  <c r="BC179" i="2"/>
  <c r="BD179" i="2" s="1"/>
  <c r="BC180" i="2"/>
  <c r="BD180" i="2" s="1"/>
  <c r="BC181" i="2"/>
  <c r="BD181" i="2" s="1"/>
  <c r="BC182" i="2"/>
  <c r="BD182" i="2" s="1"/>
  <c r="BC183" i="2"/>
  <c r="BD183" i="2" s="1"/>
  <c r="BC184" i="2"/>
  <c r="BD184" i="2" s="1"/>
  <c r="BC185" i="2"/>
  <c r="BD185" i="2" s="1"/>
  <c r="BC186" i="2"/>
  <c r="BD186" i="2" s="1"/>
  <c r="BC187" i="2"/>
  <c r="BD187" i="2" s="1"/>
  <c r="BC188" i="2"/>
  <c r="BD188" i="2" s="1"/>
  <c r="BC189" i="2"/>
  <c r="BD189" i="2" s="1"/>
  <c r="BC190" i="2"/>
  <c r="BD190" i="2" s="1"/>
  <c r="BC191" i="2"/>
  <c r="BD191" i="2" s="1"/>
  <c r="BC192" i="2"/>
  <c r="BD192" i="2" s="1"/>
  <c r="BC193" i="2"/>
  <c r="BD193" i="2" s="1"/>
  <c r="BC194" i="2"/>
  <c r="BD194" i="2" s="1"/>
  <c r="BC195" i="2"/>
  <c r="BD195" i="2" s="1"/>
  <c r="BC196" i="2"/>
  <c r="BD196" i="2" s="1"/>
  <c r="BC197" i="2"/>
  <c r="BD197" i="2" s="1"/>
  <c r="BC198" i="2"/>
  <c r="BD198" i="2" s="1"/>
  <c r="BC199" i="2"/>
  <c r="BD199" i="2" s="1"/>
  <c r="BC200" i="2"/>
  <c r="BD200" i="2" s="1"/>
  <c r="BC202" i="2"/>
  <c r="BD202" i="2" s="1"/>
  <c r="BC203" i="2"/>
  <c r="BD203" i="2" s="1"/>
  <c r="BC204" i="2"/>
  <c r="BD204" i="2" s="1"/>
  <c r="BC220" i="2"/>
  <c r="BD220" i="2" s="1"/>
  <c r="BC221" i="2"/>
  <c r="BD221" i="2" s="1"/>
  <c r="BC222" i="2"/>
  <c r="BD222" i="2" s="1"/>
  <c r="BC224" i="2"/>
  <c r="BD224" i="2" s="1"/>
  <c r="BC225" i="2"/>
  <c r="BD225" i="2" s="1"/>
  <c r="BC226" i="2"/>
  <c r="BD226" i="2" s="1"/>
  <c r="BC227" i="2"/>
  <c r="BD227" i="2" s="1"/>
  <c r="BC228" i="2"/>
  <c r="BD228" i="2" s="1"/>
  <c r="BC229" i="2"/>
  <c r="BD229" i="2" s="1"/>
  <c r="BC230" i="2"/>
  <c r="BD230" i="2" s="1"/>
  <c r="BC231" i="2"/>
  <c r="BD231" i="2" s="1"/>
  <c r="BC232" i="2"/>
  <c r="BD232" i="2" s="1"/>
  <c r="BC233" i="2"/>
  <c r="BD233" i="2" s="1"/>
  <c r="BC234" i="2"/>
  <c r="BD234" i="2" s="1"/>
  <c r="BC235" i="2"/>
  <c r="BD235" i="2" s="1"/>
  <c r="BC236" i="2"/>
  <c r="BD236" i="2" s="1"/>
  <c r="BC237" i="2"/>
  <c r="BD237" i="2" s="1"/>
  <c r="BC238" i="2"/>
  <c r="BD238" i="2" s="1"/>
  <c r="BC239" i="2"/>
  <c r="BD239" i="2" s="1"/>
  <c r="BC240" i="2"/>
  <c r="BD240" i="2" s="1"/>
  <c r="BC241" i="2"/>
  <c r="BD241" i="2" s="1"/>
  <c r="BC242" i="2"/>
  <c r="BD242" i="2" s="1"/>
  <c r="BC243" i="2"/>
  <c r="BD243" i="2" s="1"/>
  <c r="BC244" i="2"/>
  <c r="BD244" i="2" s="1"/>
  <c r="BC245" i="2"/>
  <c r="BD245" i="2" s="1"/>
  <c r="BC246" i="2"/>
  <c r="BD246" i="2" s="1"/>
  <c r="BC247" i="2"/>
  <c r="BD247" i="2" s="1"/>
  <c r="BC248" i="2"/>
  <c r="BD248" i="2" s="1"/>
  <c r="BC249" i="2"/>
  <c r="BD249" i="2" s="1"/>
  <c r="BC250" i="2"/>
  <c r="BD250" i="2" s="1"/>
  <c r="BC251" i="2"/>
  <c r="BD251" i="2" s="1"/>
  <c r="BC252" i="2"/>
  <c r="BD252" i="2" s="1"/>
  <c r="BC253" i="2"/>
  <c r="BD253" i="2" s="1"/>
  <c r="BC254" i="2"/>
  <c r="BD254" i="2" s="1"/>
  <c r="BC255" i="2"/>
  <c r="BD255" i="2" s="1"/>
  <c r="BC256" i="2"/>
  <c r="BD256" i="2" s="1"/>
  <c r="BC257" i="2"/>
  <c r="BD257" i="2" s="1"/>
  <c r="BC258" i="2"/>
  <c r="BD258" i="2" s="1"/>
  <c r="BC259" i="2"/>
  <c r="BD259" i="2" s="1"/>
  <c r="BC260" i="2"/>
  <c r="BD260" i="2" s="1"/>
  <c r="BC261" i="2"/>
  <c r="BD261" i="2" s="1"/>
  <c r="BC262" i="2"/>
  <c r="BD262" i="2" s="1"/>
  <c r="BC263" i="2"/>
  <c r="BD263" i="2" s="1"/>
  <c r="BC264" i="2"/>
  <c r="BD264" i="2" s="1"/>
  <c r="BC265" i="2"/>
  <c r="BD265" i="2" s="1"/>
  <c r="BC266" i="2"/>
  <c r="BD266" i="2" s="1"/>
  <c r="BC267" i="2"/>
  <c r="BD267" i="2" s="1"/>
  <c r="BC268" i="2"/>
  <c r="BD268" i="2" s="1"/>
  <c r="BC269" i="2"/>
  <c r="BD269" i="2" s="1"/>
  <c r="BC270" i="2"/>
  <c r="BD270" i="2" s="1"/>
  <c r="BC271" i="2"/>
  <c r="BD271" i="2" s="1"/>
  <c r="BC272" i="2"/>
  <c r="BD272" i="2" s="1"/>
  <c r="BC273" i="2"/>
  <c r="BD273" i="2" s="1"/>
  <c r="BC274" i="2"/>
  <c r="BD274" i="2" s="1"/>
  <c r="BC275" i="2"/>
  <c r="BD275" i="2" s="1"/>
  <c r="BC276" i="2"/>
  <c r="BD276" i="2" s="1"/>
  <c r="BC277" i="2"/>
  <c r="BD277" i="2" s="1"/>
  <c r="BC278" i="2"/>
  <c r="BD278" i="2" s="1"/>
  <c r="BC279" i="2"/>
  <c r="BD279" i="2" s="1"/>
  <c r="BC280" i="2"/>
  <c r="BD280" i="2" s="1"/>
  <c r="BC281" i="2"/>
  <c r="BD281" i="2" s="1"/>
  <c r="BC282" i="2"/>
  <c r="BD282" i="2" s="1"/>
  <c r="BC283" i="2"/>
  <c r="BD283" i="2" s="1"/>
  <c r="BC284" i="2"/>
  <c r="BD284" i="2" s="1"/>
  <c r="BC285" i="2"/>
  <c r="BD285" i="2" s="1"/>
  <c r="BC286" i="2"/>
  <c r="BD286" i="2" s="1"/>
  <c r="BC287" i="2"/>
  <c r="BD287" i="2" s="1"/>
  <c r="BC288" i="2"/>
  <c r="BD288" i="2" s="1"/>
  <c r="BC289" i="2"/>
  <c r="BD289" i="2" s="1"/>
  <c r="BC290" i="2"/>
  <c r="BD290" i="2" s="1"/>
  <c r="BC291" i="2"/>
  <c r="BD291" i="2" s="1"/>
  <c r="BC292" i="2"/>
  <c r="BD292" i="2" s="1"/>
  <c r="BC293" i="2"/>
  <c r="BD293" i="2" s="1"/>
  <c r="BC294" i="2"/>
  <c r="BD294" i="2" s="1"/>
  <c r="BC295" i="2"/>
  <c r="BD295" i="2" s="1"/>
  <c r="BC296" i="2"/>
  <c r="BD296" i="2" s="1"/>
  <c r="BC297" i="2"/>
  <c r="BD297" i="2" s="1"/>
  <c r="BC298" i="2"/>
  <c r="BD298" i="2" s="1"/>
  <c r="BC299" i="2"/>
  <c r="BD299" i="2" s="1"/>
  <c r="BC300" i="2"/>
  <c r="BD300" i="2" s="1"/>
  <c r="BC301" i="2"/>
  <c r="BD301" i="2" s="1"/>
  <c r="BC302" i="2"/>
  <c r="BD302" i="2" s="1"/>
  <c r="BC303" i="2"/>
  <c r="BD303" i="2" s="1"/>
  <c r="BC304" i="2"/>
  <c r="BD304" i="2" s="1"/>
  <c r="BC305" i="2"/>
  <c r="BD305" i="2" s="1"/>
  <c r="BC306" i="2"/>
  <c r="BD306" i="2" s="1"/>
  <c r="BC307" i="2"/>
  <c r="BD307" i="2" s="1"/>
  <c r="BC308" i="2"/>
  <c r="BD308" i="2" s="1"/>
  <c r="BC309" i="2"/>
  <c r="BD309" i="2" s="1"/>
  <c r="BC310" i="2"/>
  <c r="BD310" i="2" s="1"/>
  <c r="BC311" i="2"/>
  <c r="BD311" i="2" s="1"/>
  <c r="BC312" i="2"/>
  <c r="BD312" i="2" s="1"/>
  <c r="BC313" i="2"/>
  <c r="BD313" i="2" s="1"/>
  <c r="BC314" i="2"/>
  <c r="BD314" i="2" s="1"/>
  <c r="BC315" i="2"/>
  <c r="BD315" i="2" s="1"/>
  <c r="BC316" i="2"/>
  <c r="BD316" i="2" s="1"/>
  <c r="BC317" i="2"/>
  <c r="BD317" i="2" s="1"/>
  <c r="BC318" i="2"/>
  <c r="BD318" i="2" s="1"/>
  <c r="BC319" i="2"/>
  <c r="BD319" i="2" s="1"/>
  <c r="BC320" i="2"/>
  <c r="BD320" i="2" s="1"/>
  <c r="BC321" i="2"/>
  <c r="BD321" i="2" s="1"/>
  <c r="BC322" i="2"/>
  <c r="BD322" i="2" s="1"/>
  <c r="BC323" i="2"/>
  <c r="BD323" i="2" s="1"/>
  <c r="BC324" i="2"/>
  <c r="BD324" i="2" s="1"/>
  <c r="BC325" i="2"/>
  <c r="BD325" i="2" s="1"/>
  <c r="BC326" i="2"/>
  <c r="BD326" i="2" s="1"/>
  <c r="BC327" i="2"/>
  <c r="BD327" i="2" s="1"/>
  <c r="BC328" i="2"/>
  <c r="BD328" i="2" s="1"/>
  <c r="BC329" i="2"/>
  <c r="BD329" i="2" s="1"/>
  <c r="BC330" i="2"/>
  <c r="BD330" i="2" s="1"/>
  <c r="BC331" i="2"/>
  <c r="BD331" i="2" s="1"/>
  <c r="BC332" i="2"/>
  <c r="BD332" i="2" s="1"/>
  <c r="BC333" i="2"/>
  <c r="BD333" i="2" s="1"/>
  <c r="BC334" i="2"/>
  <c r="BD334" i="2" s="1"/>
  <c r="BC335" i="2"/>
  <c r="BD335" i="2" s="1"/>
  <c r="BC336" i="2"/>
  <c r="BD336" i="2" s="1"/>
  <c r="BC337" i="2"/>
  <c r="BD337" i="2" s="1"/>
  <c r="BC338" i="2"/>
  <c r="BD338" i="2" s="1"/>
  <c r="BC339" i="2"/>
  <c r="BD339" i="2" s="1"/>
  <c r="BC340" i="2"/>
  <c r="BD340" i="2" s="1"/>
  <c r="BC341" i="2"/>
  <c r="BD341" i="2" s="1"/>
  <c r="BC342" i="2"/>
  <c r="BD342" i="2" s="1"/>
  <c r="BC343" i="2"/>
  <c r="BD343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4EC8B4C-FE41-4572-BCAB-A06EF7727E15}" keepAlive="1" name="Query - cna-product-database-catalog-website" description="Connection to the 'cna-product-database-catalog-website' query in the workbook." type="5" refreshedVersion="8" background="1" saveData="1">
    <dbPr connection="Provider=Microsoft.Mashup.OleDb.1;Data Source=$Workbook$;Location=cna-product-database-catalog-website;Extended Properties=&quot;&quot;" command="SELECT * FROM [cna-product-database-catalog-website]"/>
  </connection>
</connections>
</file>

<file path=xl/sharedStrings.xml><?xml version="1.0" encoding="utf-8"?>
<sst xmlns="http://schemas.openxmlformats.org/spreadsheetml/2006/main" count="18956" uniqueCount="2179">
  <si>
    <t>Wattage (W)</t>
  </si>
  <si>
    <t>Voltage (V)</t>
  </si>
  <si>
    <t>Lumens (lm)</t>
  </si>
  <si>
    <t>Efficiency</t>
  </si>
  <si>
    <t>Bulb Equivalent</t>
  </si>
  <si>
    <t>Base</t>
  </si>
  <si>
    <t>Colour Temperature</t>
  </si>
  <si>
    <t>Beam Angle</t>
  </si>
  <si>
    <t>CRI</t>
  </si>
  <si>
    <t>Dimmable</t>
  </si>
  <si>
    <t>Operating Temperature</t>
  </si>
  <si>
    <t>Environmental Rating</t>
  </si>
  <si>
    <t>Certifications</t>
  </si>
  <si>
    <t>Nominal Length</t>
  </si>
  <si>
    <t>Length (mm)</t>
  </si>
  <si>
    <t>Length (inches)</t>
  </si>
  <si>
    <t>Diameter (mm)</t>
  </si>
  <si>
    <t>Diameter (inches)</t>
  </si>
  <si>
    <t>Weight (g)</t>
  </si>
  <si>
    <t>Weight (lbs)</t>
  </si>
  <si>
    <t>Shape</t>
  </si>
  <si>
    <t>Warranty</t>
  </si>
  <si>
    <t>Dimmer Compatibility</t>
  </si>
  <si>
    <t>Finish</t>
  </si>
  <si>
    <t>Direct Replacement For</t>
  </si>
  <si>
    <t>Use</t>
  </si>
  <si>
    <t>Diffuser Type</t>
  </si>
  <si>
    <t>Diffuser Material</t>
  </si>
  <si>
    <t>Optional Accessory</t>
  </si>
  <si>
    <t>Flange Dimensions</t>
  </si>
  <si>
    <t>Recess Dimensions</t>
  </si>
  <si>
    <t>Rib-reinforced</t>
  </si>
  <si>
    <t>PIR Sensor</t>
  </si>
  <si>
    <t>Auto Shut-off</t>
  </si>
  <si>
    <t>Waterproofing</t>
  </si>
  <si>
    <t>LED Quantity</t>
  </si>
  <si>
    <t>LED Type</t>
  </si>
  <si>
    <t>Input Voltage (VAC)</t>
  </si>
  <si>
    <t>Current Draw</t>
  </si>
  <si>
    <t>Output Voltage (VDC)</t>
  </si>
  <si>
    <t>Dimensions (without tabs)</t>
  </si>
  <si>
    <t>Maximum Linkable Length</t>
  </si>
  <si>
    <t>Hole Size Cutout</t>
  </si>
  <si>
    <t>Classification Type</t>
  </si>
  <si>
    <t>GU24 to E26 Adapter - 886</t>
  </si>
  <si>
    <t>https://www.cnalighting.com/wp-content/uploads/2016/10/CNA-GU24-E26-Adapter-300x300.png</t>
  </si>
  <si>
    <t xml:space="preserve"> </t>
  </si>
  <si>
    <t>simple</t>
  </si>
  <si>
    <t xml:space="preserve">  </t>
  </si>
  <si>
    <t>1</t>
  </si>
  <si>
    <t>E26 to E12 Adapter - 887</t>
  </si>
  <si>
    <t>https://www.cnalighting.com/wp-content/uploads/2016/10/CNA-E26-E12-Adapter-300x300.png</t>
  </si>
  <si>
    <t>3.5W</t>
  </si>
  <si>
    <t>120VAC</t>
  </si>
  <si>
    <t>350 lm</t>
  </si>
  <si>
    <t>15,000 Hrs</t>
  </si>
  <si>
    <t>40W Incandescent</t>
  </si>
  <si>
    <t>E12 / Candelabra</t>
  </si>
  <si>
    <t>4000K</t>
  </si>
  <si>
    <t>cUL</t>
  </si>
  <si>
    <t>Yes</t>
  </si>
  <si>
    <t>32 mm</t>
  </si>
  <si>
    <t>1-1/4"</t>
  </si>
  <si>
    <t>100</t>
  </si>
  <si>
    <t>B10 / Chandelier / C35</t>
  </si>
  <si>
    <t>https://www.cnalighting.com/wp-content/uploads/2025/04/1162-1163-1164-1165-LED-5.2W-B10-X-xxK-600x600-1.png</t>
  </si>
  <si>
    <t>https://www.cnalighting.com/wp-content/uploads/2025/04/1162-1163-1164-1165-CNA-LED5.2WB10-X-xxK-Spec-Sheet.pdf</t>
  </si>
  <si>
    <t>5.2W</t>
  </si>
  <si>
    <t>500 lm</t>
  </si>
  <si>
    <t>60W Incandescent</t>
  </si>
  <si>
    <t>2700K</t>
  </si>
  <si>
    <t>Enclosed Fixtures, Damp Location</t>
  </si>
  <si>
    <t xml:space="preserve">99 mm </t>
  </si>
  <si>
    <t>3-7/8"</t>
  </si>
  <si>
    <t>99 mm (3-7/8")</t>
  </si>
  <si>
    <t>35 mm</t>
  </si>
  <si>
    <t>1-3/8"</t>
  </si>
  <si>
    <t>35 mm (1-3/8")</t>
  </si>
  <si>
    <t>3000K</t>
  </si>
  <si>
    <t>99 mm</t>
  </si>
  <si>
    <t>25</t>
  </si>
  <si>
    <t>LED 0.8W S14 27K - 1207</t>
  </si>
  <si>
    <t>https://www.cnalighting.com/wp-content/uploads/2024/06/1207-CNA-LED0.8WS14-27K-600x600-1.png</t>
  </si>
  <si>
    <t>https://www.cnalighting.com/wp-content/uploads/2024/06/1207-CNA-LED0.8WS14-27K-Spec-Sheet.pdf</t>
  </si>
  <si>
    <t>0.8W</t>
  </si>
  <si>
    <t>120V</t>
  </si>
  <si>
    <t>70 lm</t>
  </si>
  <si>
    <t>25,000 Hrs</t>
  </si>
  <si>
    <t>E26 / Medium</t>
  </si>
  <si>
    <t>86 mm</t>
  </si>
  <si>
    <t>3-3/8"</t>
  </si>
  <si>
    <t>86 mm (3-3/8")</t>
  </si>
  <si>
    <t xml:space="preserve">45 mm </t>
  </si>
  <si>
    <t>1-3/4"</t>
  </si>
  <si>
    <t>45 mm (1-3/4")</t>
  </si>
  <si>
    <t>S14</t>
  </si>
  <si>
    <t>No</t>
  </si>
  <si>
    <t>https://www.cnalighting.com/wp-content/uploads/2017/02/CNA-LED4.5WA15-FR-27K-500x500.png</t>
  </si>
  <si>
    <t>https://www.cnalighting.com/wp-content/uploads/2025/04/1171-CNA-LED5.5WA19-R-30K-Spec-Sheet.pdf</t>
  </si>
  <si>
    <t>4.5W</t>
  </si>
  <si>
    <t>450 lm</t>
  </si>
  <si>
    <t>Enclosed Fixtures</t>
  </si>
  <si>
    <t>87 mm</t>
  </si>
  <si>
    <t>3-7/16"</t>
  </si>
  <si>
    <t>87 mm (3-7/16")</t>
  </si>
  <si>
    <t xml:space="preserve">48 mm </t>
  </si>
  <si>
    <t>1-7/8"</t>
  </si>
  <si>
    <t>48 mm (1-7/8")</t>
  </si>
  <si>
    <t>A15 Frosted - All Glass</t>
  </si>
  <si>
    <t>https://www.cnalighting.com/wp-content/uploads/2025/04/1171-LED-5.5W-A19-R-30K-600x600-2.png</t>
  </si>
  <si>
    <t>5.5W</t>
  </si>
  <si>
    <t>E26 / Medium Base</t>
  </si>
  <si>
    <t>108 mm</t>
  </si>
  <si>
    <t>4-1/4"</t>
  </si>
  <si>
    <t>108 mm (4-1/4")</t>
  </si>
  <si>
    <t xml:space="preserve">60 mm </t>
  </si>
  <si>
    <t>2-3/8"</t>
  </si>
  <si>
    <t>60 mm (2-3/8")</t>
  </si>
  <si>
    <t>A19 - All Glass</t>
  </si>
  <si>
    <t>https://www.cnalighting.com/wp-content/uploads/2025/05/1170-1173-1174-1175-LED-7.6W-A19-X-xxK-600x600-1.png</t>
  </si>
  <si>
    <t>7.6W</t>
  </si>
  <si>
    <t>800 lm</t>
  </si>
  <si>
    <t>106 mm</t>
  </si>
  <si>
    <t>4-3/16"</t>
  </si>
  <si>
    <t>106 mm (4-3/16")</t>
  </si>
  <si>
    <t>https://www.cnalighting.com/wp-content/uploads/2023/10/1118-CNA-LED5.5WG16-CL-30K-500x500-1.png</t>
  </si>
  <si>
    <t>https://www.cnalighting.com/wp-content/uploads/2023/10/1118-CNA-LED5.5WG16-CL-30K-Spec-Sheet.pdf</t>
  </si>
  <si>
    <t>50W Incandescent</t>
  </si>
  <si>
    <t>81 mm</t>
  </si>
  <si>
    <t>3-3/16"</t>
  </si>
  <si>
    <t>81 mm (3-3/16")</t>
  </si>
  <si>
    <t>50 mm</t>
  </si>
  <si>
    <t>2"</t>
  </si>
  <si>
    <t>50 mm (2")</t>
  </si>
  <si>
    <t>G16 - All Glass</t>
  </si>
  <si>
    <t>https://www.cnalighting.com/wp-content/uploads/2023/10/1119-CNA-LED5.5WG16-ML-30K-600x600-1.png</t>
  </si>
  <si>
    <t>https://www.cnalighting.com/wp-content/uploads/2023/10/1119-CNA-LED5.5WG16-ML-30K-Spec-Sheet-0.pdf</t>
  </si>
  <si>
    <t>G16 - Frosted Glass</t>
  </si>
  <si>
    <t>https://www.cnalighting.com/wp-content/uploads/2024/10/1213-CNA-LED5.5WG16-CL-30K-E26-600x600-1.png</t>
  </si>
  <si>
    <t>https://www.cnalighting.com/wp-content/uploads/2024/10/1213-CNA-LED5.5WG16-CL-30K-E26-Spec-Sheet.pdf</t>
  </si>
  <si>
    <t xml:space="preserve">78 mm </t>
  </si>
  <si>
    <t>3-1/16"</t>
  </si>
  <si>
    <t>78 mm (3-1/16")</t>
  </si>
  <si>
    <t>https://www.cnalighting.com/wp-content/uploads/2024/01/814-CNA-LED5WG25-CL-30K-600x600-1.png</t>
  </si>
  <si>
    <t>https://www.cnalighting.com/wp-content/uploads/2024/01/814-CNA-LED5WG25-CL-30K-Spec-Sheet.pdf</t>
  </si>
  <si>
    <t>5.0W</t>
  </si>
  <si>
    <t>120 mm</t>
  </si>
  <si>
    <t>4-1/2"</t>
  </si>
  <si>
    <t>120 mm (4-1/2")</t>
  </si>
  <si>
    <t>3-3/32"</t>
  </si>
  <si>
    <t>81 mm (3-3/32")</t>
  </si>
  <si>
    <t>G25 - All Glass</t>
  </si>
  <si>
    <t>https://www.cnalighting.com/wp-content/uploads/2024/01/1120-1127-CNA-LED5WG25-ML-570x570-1.png</t>
  </si>
  <si>
    <t>https://www.cnalighting.com/wp-content/uploads/2024/01/1120-CNA-LED5WG25-ML-27K-Spec-Sheet.pdf</t>
  </si>
  <si>
    <t>5W</t>
  </si>
  <si>
    <t xml:space="preserve">81 mm </t>
  </si>
  <si>
    <t>G25 - Milky Glass</t>
  </si>
  <si>
    <t>https://www.cnalighting.com/wp-content/uploads/2024/01/1120-CNA-LED5WG25-ML-30K-Spec-Sheet.pdf</t>
  </si>
  <si>
    <t>LED 5.5W ST19 22K - 983</t>
  </si>
  <si>
    <t>https://www.cnalighting.com/wp-content/uploads/2016/05/CNA-LED-4.5W-ST19-DIM-22K-500x500.png</t>
  </si>
  <si>
    <t>https://www.cnalighting.com/wp-content/uploads/2020/01/CNA-LED5.5WST19-22K-Spec-Sheet.pdf</t>
  </si>
  <si>
    <t>400 lm</t>
  </si>
  <si>
    <t>2200K</t>
  </si>
  <si>
    <t>128 mm</t>
  </si>
  <si>
    <t>5-1/32"</t>
  </si>
  <si>
    <t>128 mm (5-1/32")</t>
  </si>
  <si>
    <t xml:space="preserve">59 mm </t>
  </si>
  <si>
    <t>2-5/16"</t>
  </si>
  <si>
    <t>59 mm (2-5/16")</t>
  </si>
  <si>
    <t>50</t>
  </si>
  <si>
    <t>ST19 (Vintage Edison Style)</t>
  </si>
  <si>
    <t>136 mm</t>
  </si>
  <si>
    <t>5-3/8"</t>
  </si>
  <si>
    <t>136 mm (5-3/8")</t>
  </si>
  <si>
    <t xml:space="preserve">64 mm </t>
  </si>
  <si>
    <t>2-1/2"</t>
  </si>
  <si>
    <t>64 mm (2-1/2")</t>
  </si>
  <si>
    <t>https://www.cnalighting.com/wp-content/uploads/2025/04/1172-CNA-LED-8.8W-ST19-R-30K-600x600-2.png</t>
  </si>
  <si>
    <t>8.8W</t>
  </si>
  <si>
    <t>134 mm</t>
  </si>
  <si>
    <t>5-1/4"</t>
  </si>
  <si>
    <t>134 mm (5-1/4")</t>
  </si>
  <si>
    <t>58 mm</t>
  </si>
  <si>
    <t>2-9/32"</t>
  </si>
  <si>
    <t>58 mm (2-9/32")</t>
  </si>
  <si>
    <t>https://www.cnalighting.com/wp-content/uploads/2018/06/CNA-LED3.5WT25-27K-476x476.png</t>
  </si>
  <si>
    <t>https://www.cnalighting.com/wp-content/uploads/2020/08/CNA-LED3.5WT25-30K-Spec-Sheet.pdf</t>
  </si>
  <si>
    <t>83 mm</t>
  </si>
  <si>
    <t>3-1/4"</t>
  </si>
  <si>
    <t>83 mm (3-1/4")</t>
  </si>
  <si>
    <t>25 mm</t>
  </si>
  <si>
    <t>1"</t>
  </si>
  <si>
    <t>25 mm (1")</t>
  </si>
  <si>
    <t>T25 - All Glass</t>
  </si>
  <si>
    <t>300 lm</t>
  </si>
  <si>
    <t>LED 4.5W T10-FL DIM 30K - 831</t>
  </si>
  <si>
    <t>https://www.cnalighting.com/wp-content/uploads/2015/09/LED-4W-T10-FL-DIM-500x500.png</t>
  </si>
  <si>
    <t>https://www.cnalighting.com/wp-content/uploads/2018/07/CNA-LED-4.5W-T10-FL-DIM-Spec-Sheet.pdf</t>
  </si>
  <si>
    <t>110V-130V</t>
  </si>
  <si>
    <t>40W - 50W Incandescen</t>
  </si>
  <si>
    <t>125 mm</t>
  </si>
  <si>
    <t>4-15/16"</t>
  </si>
  <si>
    <t>125 mm (4-15/16")</t>
  </si>
  <si>
    <t>32.5 mm</t>
  </si>
  <si>
    <t>32.5 mm (1-1/4")</t>
  </si>
  <si>
    <t>T10</t>
  </si>
  <si>
    <t>https://www.cnalighting.com/wp-content/uploads/2020/01/CNA-LED8WT30-27K-600x600-1.png</t>
  </si>
  <si>
    <t>https://www.cnalighting.com/wp-content/uploads/2020/01/CNA-LED8WT30-27K-Spec-Sheet.pdf</t>
  </si>
  <si>
    <t>8W</t>
  </si>
  <si>
    <t>750 lm</t>
  </si>
  <si>
    <t>295 mm</t>
  </si>
  <si>
    <t>11-5/8"</t>
  </si>
  <si>
    <t>295 mm (11-5/8")</t>
  </si>
  <si>
    <t xml:space="preserve">30mm </t>
  </si>
  <si>
    <t>1-3/16"</t>
  </si>
  <si>
    <t>30mm (1-3/16")</t>
  </si>
  <si>
    <t>T30</t>
  </si>
  <si>
    <t>LED6WA15NDS-30K</t>
  </si>
  <si>
    <t>https://www.cnalighting.com/wp-content/uploads/2023/05/1117-CNA-LED6WA15NDS-30K-600x600-1.png</t>
  </si>
  <si>
    <t>https://www.cnalighting.com/wp-content/uploads/2023/05/1117-CNA-LED6WA15NDS-30K-Spec-Sheet.pdf</t>
  </si>
  <si>
    <t>6W</t>
  </si>
  <si>
    <t>82 mm</t>
  </si>
  <si>
    <t>3-2/8"</t>
  </si>
  <si>
    <t>82 mm (3-2/8")</t>
  </si>
  <si>
    <t xml:space="preserve">50 mm </t>
  </si>
  <si>
    <t>1-15/16"</t>
  </si>
  <si>
    <t>50 mm (1-15/16")</t>
  </si>
  <si>
    <t>A15</t>
  </si>
  <si>
    <t>6.5W</t>
  </si>
  <si>
    <t>10</t>
  </si>
  <si>
    <t>LED9WA19NDS-30K-5pk - 959</t>
  </si>
  <si>
    <t>https://www.cnalighting.com/wp-content/uploads/2018/02/CNA-LED9WA19NDS-5PK-500X500.png</t>
  </si>
  <si>
    <t>https://www.cnalighting.com/wp-content/uploads/2018/10/CNA-LED9WA19NDS-XXK-5PK-Spec-Sheet.pdf</t>
  </si>
  <si>
    <t>60W  Incandescent</t>
  </si>
  <si>
    <t>5/pk</t>
  </si>
  <si>
    <t>20 packs (100 Bulbs)</t>
  </si>
  <si>
    <t>A19</t>
  </si>
  <si>
    <t>LED9WA19NDS-40K-5pk - 900</t>
  </si>
  <si>
    <t>https://www.cnalighting.com/wp-content/uploads/2017/01/CNA-LED9WA19ND-30K-5pk-500x500.png</t>
  </si>
  <si>
    <t>9W</t>
  </si>
  <si>
    <t>Not for Enclosed Fixtures</t>
  </si>
  <si>
    <t>LED9WA19-5CCT (NEW)</t>
  </si>
  <si>
    <t>https://www.cnalighting.com/wp-content/uploads/2024/12/1216-CNA-LED9WA19-5CCT-622x622-1.png</t>
  </si>
  <si>
    <t>https://www.cnalighting.com/wp-content/uploads/2024/12/1216-CNA-LED9WA19-5CCT-Spec-Sheet.pdf</t>
  </si>
  <si>
    <t>5CCT - 2700K / 3000K / 3500K / 4000K / 5000K</t>
  </si>
  <si>
    <t>LED9WA19-EC 27K - 947</t>
  </si>
  <si>
    <t>https://www.cnalighting.com/wp-content/uploads/2018/01/CNA-LED9WA19-EC_500x500.png</t>
  </si>
  <si>
    <t>https://www.cnalighting.com/wp-content/uploads/2018/01/CNA-LED9WA19-EC-Spec-Sheet.pdf</t>
  </si>
  <si>
    <t>LED9WA19-EC 40K - 949</t>
  </si>
  <si>
    <t>LED9WA19-EC 50K - 1072</t>
  </si>
  <si>
    <t>LED14WA19 27K - 1034</t>
  </si>
  <si>
    <t>https://www.cnalighting.com/wp-content/uploads/2019/12/CNA-LED14WA19-652x652.png</t>
  </si>
  <si>
    <t>https://www.cnalighting.com/wp-content/uploads/2019/12/CNA-LED14WA19-Spec-Sheet.pdf</t>
  </si>
  <si>
    <t>14W</t>
  </si>
  <si>
    <t>1600 lm</t>
  </si>
  <si>
    <t>100W  Incandescent</t>
  </si>
  <si>
    <t>60</t>
  </si>
  <si>
    <t>https://www.cnalighting.com/wp-content/uploads/2025/03/1161-CNA-LED20WA21-EC-XXK-Spec-Sheet.pdf</t>
  </si>
  <si>
    <t>16W</t>
  </si>
  <si>
    <t>A21</t>
  </si>
  <si>
    <t>LED20WA21-EC 40K (NEW)</t>
  </si>
  <si>
    <t>https://www.cnalighting.com/wp-content/uploads/2025/03/1161-CNA-LED20WA21-EC-40K-640x640-1.png</t>
  </si>
  <si>
    <t>20W</t>
  </si>
  <si>
    <t>110VAC-277VAC</t>
  </si>
  <si>
    <t>2600 lm</t>
  </si>
  <si>
    <t>200W  Incandescent</t>
  </si>
  <si>
    <t>LED24WA21-EC 30K - 1058</t>
  </si>
  <si>
    <t>https://www.cnalighting.com/wp-content/uploads/2020/07/CNA-LED24WA21-EC-XXK-600x600-1.png</t>
  </si>
  <si>
    <t>https://www.cnalighting.com/wp-content/uploads/2020/07/CNA-LED24WA21-EC-XXK-Spec-Sheet.pdf</t>
  </si>
  <si>
    <t>24W</t>
  </si>
  <si>
    <t>LED3WE11-DIM 3000K - 899</t>
  </si>
  <si>
    <t>https://www.cnalighting.com/wp-content/uploads/2016/12/CNA-LED3WE11-DIM-30K-500x500.png</t>
  </si>
  <si>
    <t>https://www.cnalighting.com/wp-content/uploads/2016/12/CNA-LED3WE11-DIM-30K-Spec-Sheet.pdf</t>
  </si>
  <si>
    <t>3W</t>
  </si>
  <si>
    <t>50W Halogen</t>
  </si>
  <si>
    <t>E11 / Minican</t>
  </si>
  <si>
    <t>49.5 mm</t>
  </si>
  <si>
    <t>17.5 mm</t>
  </si>
  <si>
    <t xml:space="preserve"> 11/16"</t>
  </si>
  <si>
    <t>200</t>
  </si>
  <si>
    <t>JD / Peanut</t>
  </si>
  <si>
    <t>LED1.5WG4SM 30K - 929</t>
  </si>
  <si>
    <t>1.5W</t>
  </si>
  <si>
    <t>12VAC / 12VDC</t>
  </si>
  <si>
    <t>20W Halogen</t>
  </si>
  <si>
    <t>G4</t>
  </si>
  <si>
    <t>JC / Peanut</t>
  </si>
  <si>
    <t>LED3WG9-DIM 3000K - 878</t>
  </si>
  <si>
    <t>G9</t>
  </si>
  <si>
    <t>1.75 cm (11/16")</t>
  </si>
  <si>
    <t>JCD / Peanut</t>
  </si>
  <si>
    <t>LED3WG9-DIM 4100K - 879</t>
  </si>
  <si>
    <t>https://www.cnalighting.com/wp-content/uploads/2025/06/1179-1180-CNA-LED-4.5W-G9-DIM-xxK-600x600-1.png</t>
  </si>
  <si>
    <t>https://www.cnalighting.com/wp-content/uploads/2025/06/1179-1180-CNA-LED-4.5W-G9-DIM-xxK-Spec-Sheet.pdf</t>
  </si>
  <si>
    <t>55 mm</t>
  </si>
  <si>
    <t>2-3/16"</t>
  </si>
  <si>
    <t>55 mm (2-3/16")</t>
  </si>
  <si>
    <t>19 mm</t>
  </si>
  <si>
    <t>3/4"</t>
  </si>
  <si>
    <t>19 mm (3/4")</t>
  </si>
  <si>
    <t>54 mm</t>
  </si>
  <si>
    <t>2-1/8"</t>
  </si>
  <si>
    <t>https://www.cnalighting.com/wp-content/uploads/2023/09/1130-1131-CNA-LED6WJ78SM-DIM-30K-40K-350x350-1.png</t>
  </si>
  <si>
    <t>https://www.cnalighting.com/wp-content/uploads/2023/09/1130-1131-CNA-LED6WJ78SM-DIM-30K-40K-Spec-Sheet.pdf</t>
  </si>
  <si>
    <t>600 lm</t>
  </si>
  <si>
    <t>R7s</t>
  </si>
  <si>
    <t>78 mm</t>
  </si>
  <si>
    <t>29/32"</t>
  </si>
  <si>
    <t>23 mm (29/32")</t>
  </si>
  <si>
    <t>J Type Linear 78mm (Q100T3/CL/78m)</t>
  </si>
  <si>
    <t>Yes - with Lutron DVELV-300P / DVCL-153P</t>
  </si>
  <si>
    <t>23 mm</t>
  </si>
  <si>
    <t>LED 6W J78 3000K - 956</t>
  </si>
  <si>
    <t>https://www.cnalighting.com/wp-content/uploads/2018/01/CNA-LED-6W-J78-688x688-Vertical.png</t>
  </si>
  <si>
    <t>https://www.cnalighting.com/wp-content/uploads/2023/09/956-957-CNA-LED-6W-J78-Spec-Sheet.pdf</t>
  </si>
  <si>
    <t>R7s - Offset</t>
  </si>
  <si>
    <t xml:space="preserve">30 mm </t>
  </si>
  <si>
    <t>30 mm (1-3/16")</t>
  </si>
  <si>
    <t>LED 6W J78 4100K - 957</t>
  </si>
  <si>
    <t>Yes - with Lutron DVELV-</t>
  </si>
  <si>
    <t>J Type Linear 78mm</t>
  </si>
  <si>
    <t>LED 14W J118 30K - 981</t>
  </si>
  <si>
    <t>https://www.cnalighting.com/wp-content/uploads/2019/01/CNA-LED14WJ118-787x787-Horizontal.png</t>
  </si>
  <si>
    <t>https://www.cnalighting.com/wp-content/uploads/2023/08/981-1132-CNA-LED-14W-J118-30K-40K-Spec-Sheet.pdf</t>
  </si>
  <si>
    <t>1400 lm</t>
  </si>
  <si>
    <t>118 mm</t>
  </si>
  <si>
    <t>4-5/8"</t>
  </si>
  <si>
    <t>118 mm (4-5/8")</t>
  </si>
  <si>
    <t>1-5/32"</t>
  </si>
  <si>
    <t>30 mm (1-5/32")</t>
  </si>
  <si>
    <t>J-Type Linear 118</t>
  </si>
  <si>
    <t>J Type Linear 118mm (Q150T3/CL/118m) (Q200T3/CL/118m)</t>
  </si>
  <si>
    <t>LED6WPar16-SRT 30K - 1028</t>
  </si>
  <si>
    <t>https://www.cnalighting.com/wp-content/uploads/2019/12/CNA-LED6WPar16-SRT-400x400.png</t>
  </si>
  <si>
    <t>https://www.cnalighting.com/wp-content/uploads/2019/12/CNA-LED6WPar16-SRT-Spec-Sheet.pdf</t>
  </si>
  <si>
    <t>57 mm</t>
  </si>
  <si>
    <t>2-1/4"</t>
  </si>
  <si>
    <t>1-31/32"</t>
  </si>
  <si>
    <t>50 mm (1-31/32")</t>
  </si>
  <si>
    <t>Par16 / MR16 / HR16 / JDR</t>
  </si>
  <si>
    <t>LED6WPar16-SRT 40K - 1029</t>
  </si>
  <si>
    <t>https://www.cnalighting.com/wp-content/uploads/2015/09/LED-6.5W-Par16-500x668.png</t>
  </si>
  <si>
    <t>https://www.cnalighting.com/wp-content/uploads/2019/02/CNA-LED7WMR16-CB-XXK-Spec-Sheet.pdf</t>
  </si>
  <si>
    <t>72 mm</t>
  </si>
  <si>
    <t>2-13/16"</t>
  </si>
  <si>
    <t xml:space="preserve">1-31/32" </t>
  </si>
  <si>
    <t>https://www.cnalighting.com/wp-content/uploads/2024/12/1217-CNA-LED5WPar20-5CCT-600x600-2-Centered.png</t>
  </si>
  <si>
    <t>https://www.cnalighting.com/wp-content/uploads/2024/12/1217-CNA-LED5WPar20-5CCT-Spec-Sheet.pdf</t>
  </si>
  <si>
    <t>5CCT - 2700K / 3000K / 3500K  / 4000K / 5000K</t>
  </si>
  <si>
    <t>63 mm</t>
  </si>
  <si>
    <t>Par20 Shape</t>
  </si>
  <si>
    <t>7W</t>
  </si>
  <si>
    <t>80 mm</t>
  </si>
  <si>
    <t>https://www.cnalighting.com/wp-content/uploads/2024/12/1218-CNA-LED9WPar30L-5CCT-600x600-1.png</t>
  </si>
  <si>
    <t>https://www.cnalighting.com/wp-content/uploads/2024/12/1218-CNA-LED9WPar30L-5CCT-Spec-Sheet.pdf</t>
  </si>
  <si>
    <t>116 mm</t>
  </si>
  <si>
    <t>4-9/16"</t>
  </si>
  <si>
    <t>95 mm</t>
  </si>
  <si>
    <t>3-6/8"</t>
  </si>
  <si>
    <t>Par30L Shape</t>
  </si>
  <si>
    <t>https://www.cnalighting.com/wp-content/uploads/2024/12/1219-CNA-LED9WPar30S-CCT-600x600-1.png</t>
  </si>
  <si>
    <t>https://www.cnalighting.com/wp-content/uploads/2024/12/1219-CNA-LED9WPar30S-5CCT-Spec-Sheet.pdf</t>
  </si>
  <si>
    <t>3-11/16"</t>
  </si>
  <si>
    <t>Par30S Shape</t>
  </si>
  <si>
    <t>10W</t>
  </si>
  <si>
    <t>20</t>
  </si>
  <si>
    <t>1200 lm</t>
  </si>
  <si>
    <t>80</t>
  </si>
  <si>
    <t>5"</t>
  </si>
  <si>
    <t>Par38 Shape</t>
  </si>
  <si>
    <t>15W</t>
  </si>
  <si>
    <t>https://www.cnalighting.com/wp-content/uploads/2023/08/1121-LED8WBR30-5CCT-600x600-1.png</t>
  </si>
  <si>
    <t>https://www.cnalighting.com/wp-content/uploads/2023/08/1121-CNA-LED-8W-BR30-5CCT-Spec-Sheet.pdf</t>
  </si>
  <si>
    <t>131 mm</t>
  </si>
  <si>
    <t>5-3/16"</t>
  </si>
  <si>
    <t>BR30 Shape</t>
  </si>
  <si>
    <t>https://www.cnalighting.com/wp-content/uploads/2022/11/LED3WMR11-CB-30K-282x282-1.png</t>
  </si>
  <si>
    <t>200 lm</t>
  </si>
  <si>
    <t>GU4</t>
  </si>
  <si>
    <t>37 mm</t>
  </si>
  <si>
    <t>34 mm</t>
  </si>
  <si>
    <t xml:space="preserve">1-5/16" </t>
  </si>
  <si>
    <t>1-5/16" / 34 mm</t>
  </si>
  <si>
    <t>MR11</t>
  </si>
  <si>
    <t>https://www.cnalighting.com/wp-content/uploads/2019/02/CNA-LED7WMR16-CB-XXK-291x291.png</t>
  </si>
  <si>
    <t>GU5.3</t>
  </si>
  <si>
    <t>92</t>
  </si>
  <si>
    <t>48.2 mm</t>
  </si>
  <si>
    <t>1-31/32"   / 50 mm</t>
  </si>
  <si>
    <t>MR16</t>
  </si>
  <si>
    <t>LED7WMR16-CB 40K - 914</t>
  </si>
  <si>
    <t>LED6.5WGU10-CB 27K - 933</t>
  </si>
  <si>
    <t>https://www.cnalighting.com/wp-content/uploads/2018/01/CNA-LED6.5WGU10-CB-500x500.png</t>
  </si>
  <si>
    <t>GU10</t>
  </si>
  <si>
    <t>JCDR / MR16 / GU10</t>
  </si>
  <si>
    <t>LED6.5WGU10-CB 30K - 934</t>
  </si>
  <si>
    <t>LED6.5WGU10-CB 40K - 951</t>
  </si>
  <si>
    <t>https://www.cnalighting.com/wp-content/uploads/2020/11/CNA-DPS-4-30K-White-600x606-1.png</t>
  </si>
  <si>
    <t>https://www.cnalighting.com/wp-content/uploads/2023/07/1081-CNA-DPS-4-5CCT-Spec-Sheet.pdf</t>
  </si>
  <si>
    <t>700 lm</t>
  </si>
  <si>
    <t>50,000 Hrs</t>
  </si>
  <si>
    <t>77.7 lm/W</t>
  </si>
  <si>
    <t>24</t>
  </si>
  <si>
    <t>5 Years</t>
  </si>
  <si>
    <t>DPS-4-BK-TRIM - 1082</t>
  </si>
  <si>
    <t>https://www.cnalighting.com/wp-content/uploads/2020/11/CNA-DPS-4-BK-TRIM-503x503-1.png</t>
  </si>
  <si>
    <t>https://www.cnalighting.com/wp-content/uploads/2020/11/CNA-LED-DPS-4-30K-Spec-Sheet.pdf</t>
  </si>
  <si>
    <t>650 lm</t>
  </si>
  <si>
    <t>35,000 Hrs</t>
  </si>
  <si>
    <t>Hardwire (E26 Optional with Accessory Kit)</t>
  </si>
  <si>
    <t>DPS-4-BN-TRIM - 1083</t>
  </si>
  <si>
    <t>https://www.cnalighting.com/wp-content/uploads/2020/11/CNA-DPS-4-BN-TRIM-513x513-1.png</t>
  </si>
  <si>
    <t>DPS-ACC - 1084</t>
  </si>
  <si>
    <t>https://www.cnalighting.com/wp-content/uploads/2020/11/CNA-DPS-ACC-615x615-1.png</t>
  </si>
  <si>
    <t>https://www.cnalighting.com/wp-content/uploads/2024/04/1201-CNA-LED-DPM-4-5CCT-Spec-Sheet.pdf</t>
  </si>
  <si>
    <t>https://www.cnalighting.com/wp-content/uploads/2024/04/DPM-4-5CCT-270x853-1.png</t>
  </si>
  <si>
    <t>DP4-5CCT - 5CCT 4" LED Panel Ceiling Light</t>
  </si>
  <si>
    <t>https://www.cnalighting.com/wp-content/uploads/2021/10/CNA-LED-DP4-3CCT-600x600-1.png</t>
  </si>
  <si>
    <t>https://www.cnalighting.com/wp-content/uploads/2024/01/1100-CNA-LED-DP4-5CCT-Spec-Sheet.pdf</t>
  </si>
  <si>
    <t>50,000 Hrs.</t>
  </si>
  <si>
    <t>Hardwire</t>
  </si>
  <si>
    <t>https://www.cnalighting.com/wp-content/uploads/2020/03/CNA-LED-DP-6-BKTrim.png</t>
  </si>
  <si>
    <t>https://www.cnalighting.com/wp-content/uploads/2023/03/1123-CNA-LED-DP4-FR-5CCT-Spec-Sheet.pdf</t>
  </si>
  <si>
    <t>https://www.cnalighting.com/wp-content/uploads/2023/03/1123-CNA-LED-DP4-FR-5CCT600x600.png</t>
  </si>
  <si>
    <t>12W</t>
  </si>
  <si>
    <t>DP6-30K - 6" LED Panel Ceiling Light</t>
  </si>
  <si>
    <t>https://www.cnalighting.com/wp-content/uploads/2021/10/CNA-LED-DP6-30K-592x592-1.png</t>
  </si>
  <si>
    <t>https://www.cnalighting.com/wp-content/uploads/2023/06/1099-CNA-LED-DP6-30K-Spec-Sheet.pdf</t>
  </si>
  <si>
    <t>35,000 Hrs.</t>
  </si>
  <si>
    <t>18</t>
  </si>
  <si>
    <t>https://www.cnalighting.com/wp-content/uploads/2023/03/1124-CNA-LED-DP6-FR-5CCT-Spec-Sheet.pdf</t>
  </si>
  <si>
    <t>4-1/4" Diameter</t>
  </si>
  <si>
    <t>https://www.cnalighting.com/wp-content/uploads/2023/03/1124-CNA-LED-DP6-FR-5CCT600x600.png</t>
  </si>
  <si>
    <t>4-7/8"</t>
  </si>
  <si>
    <t>Wet Location</t>
  </si>
  <si>
    <t>4"</t>
  </si>
  <si>
    <t>https://www.cnalighting.com/wp-content/uploads/2024/12/1141-CNA-LED-TL4-5CCT-BK-560x560-1.png</t>
  </si>
  <si>
    <t>https://www.cnalighting.com/wp-content/uploads/2024/12/1140-CNA-LED-TL4-5CCT-WH-600x600-1.png</t>
  </si>
  <si>
    <t>https://www.cnalighting.com/wp-content/uploads/2021/03/CNA-LED-DGIM-4-3CCT-BK-600x600-1.png</t>
  </si>
  <si>
    <t>https://www.cnalighting.com/wp-content/uploads/2021/03/CNA-LED-DGIM-4-3CCT-BK-Spec-Sheet.pdf</t>
  </si>
  <si>
    <t>5-3/16" / 131 mm</t>
  </si>
  <si>
    <t>30</t>
  </si>
  <si>
    <t>https://www.cnalighting.com/wp-content/uploads/2024/12/1155-CNA-LED-DGIM-4-5CCT-BK-600x600-1.png</t>
  </si>
  <si>
    <t>http://www.cnalighting.com/wp-content/uploads/2024/12/1154-CNA-DGIM-4-5CCT-WH-Spec-Sheet.pdf</t>
  </si>
  <si>
    <t>132 mm</t>
  </si>
  <si>
    <t>5-3/16" / 132 mm</t>
  </si>
  <si>
    <t>https://www.cnalighting.com/wp-content/uploads/2024/12/1154-CNA-LED-DGIM-4-5CCT-WH-792x792-1.png</t>
  </si>
  <si>
    <t>https://www.cnalighting.com/wp-content/uploads/2020/11/CNA-LED-DG-4-345K-WH-600x600-2.png</t>
  </si>
  <si>
    <t>https://www.cnalighting.com/wp-content/uploads/2020/03/CNA-LED-DG4-345K-Spec-Sheet.pdf</t>
  </si>
  <si>
    <t>Wet Location, Type IC</t>
  </si>
  <si>
    <t>cETLus</t>
  </si>
  <si>
    <t>124.0 mm</t>
  </si>
  <si>
    <t>4-7/8" / 12.4 cm</t>
  </si>
  <si>
    <t>3.5" - 4" Diameter</t>
  </si>
  <si>
    <t>https://www.cnalighting.com/wp-content/uploads/2020/03/CNA-LED-RG-4-345K-WH-600x600-1.png</t>
  </si>
  <si>
    <t>https://www.cnalighting.com/wp-content/uploads/2021/11/CNA-LED-RG-4-30K-WH-Spec-Sheet.pdf</t>
  </si>
  <si>
    <t>110.0 mm</t>
  </si>
  <si>
    <t>4-11/32"</t>
  </si>
  <si>
    <t>4-11/32" / 11 cm</t>
  </si>
  <si>
    <t>https://www.cnalighting.com/wp-content/uploads/2020/03/CNA-LED-RG4-345K-Spec-Sheet.pdf</t>
  </si>
  <si>
    <t>3-3/4" Diameter</t>
  </si>
  <si>
    <t>https://www.cnalighting.com/wp-content/uploads/2024/10/1125-CNA-LED-RG-4-5CCT-WH-600x626-1.png</t>
  </si>
  <si>
    <t>https://www.cnalighting.com/wp-content/uploads/2024/10/1125-CNA-RG-4-5CCT-WH-Spec-Sheet.pdf</t>
  </si>
  <si>
    <t>90</t>
  </si>
  <si>
    <t>111.0 mm</t>
  </si>
  <si>
    <t>4-3/8"</t>
  </si>
  <si>
    <t>4-3/8" / 11.1 cm</t>
  </si>
  <si>
    <t>https://www.cnalighting.com/wp-content/uploads/2016/10/CNA-LED-RP-4-10W-Rough-In-Plate-500x500-2.png</t>
  </si>
  <si>
    <t>https://www.cnalighting.com/wp-content/uploads/2019/10/CNA-Vapour-Barrier-Spec-Sheet.pdf</t>
  </si>
  <si>
    <t>RIP-4 - 885</t>
  </si>
  <si>
    <t>RIP-6 - 888</t>
  </si>
  <si>
    <t>https://www.cnalighting.com/wp-content/uploads/2016/10/CNA-LED-RP-6-15W-Rough-In-Plate-500x500-2.png</t>
  </si>
  <si>
    <t>G-59 Vapour Barrier - 1024</t>
  </si>
  <si>
    <t>https://www.cnalighting.com/wp-content/uploads/2019/10/CNA-G-59-Vapour-Barrier-500x500.png</t>
  </si>
  <si>
    <t>For all sizes pot lights</t>
  </si>
  <si>
    <t>29" x 22-3/4"</t>
  </si>
  <si>
    <t>22-1/4" x 14" x 8-3/4"</t>
  </si>
  <si>
    <t>VB02 Vapour Barrier - 1025</t>
  </si>
  <si>
    <t>https://www.cnalighting.com/wp-content/uploads/2019/10/CNA-VB02-Vapour-Barrier-700x700-Vertical.png</t>
  </si>
  <si>
    <t>For Slim LED Lights</t>
  </si>
  <si>
    <t>24" x 20"</t>
  </si>
  <si>
    <t>20" x 8" x 3-1/2"</t>
  </si>
  <si>
    <t>LED7WRT4-5CCT  - 4"  LED Retrofit Kit Downlight</t>
  </si>
  <si>
    <t>https://www.cnalighting.com/wp-content/uploads/2022/10/CNA-1106-LED7WRT4-5CCT-Long-150x402-1.png</t>
  </si>
  <si>
    <t>https://www.cnalighting.com/wp-content/uploads/2022/10/CNA-1106-LED7WRT4-5CCT-Spec-Sheet.pdf</t>
  </si>
  <si>
    <t>5-3/64"</t>
  </si>
  <si>
    <t>Yes - TRIAC</t>
  </si>
  <si>
    <t>https://www.cnalighting.com/wp-content/uploads/2022/10/CNA-1017-LED9WRT5-6-5CCT-Spec-Sheet.pdf</t>
  </si>
  <si>
    <t>4</t>
  </si>
  <si>
    <t>Field Adjustable 6" LED Recessed Downlight</t>
  </si>
  <si>
    <t>https://www.cnalighting.com/file/2020/07/CNA-LED-RT6-3X3CCT-3Photo-600x2000-1.png</t>
  </si>
  <si>
    <t>https://www.cnalighting.com/wp-content/uploads/2023/09/1134-CNA-LED-RT6-3X3CCT-AK-Spec-Sheet.pdf</t>
  </si>
  <si>
    <t>7W / 10W / 17W</t>
  </si>
  <si>
    <t>120VAC - 347VAC</t>
  </si>
  <si>
    <t>700 lm / 1000 lm / 1500 lm</t>
  </si>
  <si>
    <t>83.3 - 100</t>
  </si>
  <si>
    <t>5-3/16"/ 131 mm</t>
  </si>
  <si>
    <t>210 mm</t>
  </si>
  <si>
    <t>8-1/4"</t>
  </si>
  <si>
    <t>8-1/4" / 210 mm</t>
  </si>
  <si>
    <t>Yes - 0-10V - down to 5%</t>
  </si>
  <si>
    <t>RT6-GOOF8 - 1057</t>
  </si>
  <si>
    <t>https://www.cnalighting.com/wp-content/uploads/2023/01/CNA-LED-RT6-GOOF8-600x600-grey-background.png</t>
  </si>
  <si>
    <t>6-1/4"</t>
  </si>
  <si>
    <t>6.25"</t>
  </si>
  <si>
    <t>10.5"</t>
  </si>
  <si>
    <t>LED RG-4-345K-BK - 1040</t>
  </si>
  <si>
    <t>60 lm/W</t>
  </si>
  <si>
    <t>Hardwire - 4" J-Box</t>
  </si>
  <si>
    <t>Yes - TRIAC / ELV</t>
  </si>
  <si>
    <t>White</t>
  </si>
  <si>
    <t>Acrylic - Low Glare</t>
  </si>
  <si>
    <t>900 lm</t>
  </si>
  <si>
    <t>2800 lm</t>
  </si>
  <si>
    <t>116.7 lm/W</t>
  </si>
  <si>
    <t>DS-12-3CCT BK   - 12" LED Flush Mount Downlight (NEW)</t>
  </si>
  <si>
    <t>https://www.cnalighting.com/wp-content/uploads/2022/07/DS-12-3CCT-BK-600x600-1.png</t>
  </si>
  <si>
    <t>https://www.cnalighting.com/wp-content/uploads/2022/07/CNA-1109-DS-12-3CCT-BK-Spec-Sheet.pdf</t>
  </si>
  <si>
    <t>https://www.cnalighting.com/wp-content/uploads/2023/07/1128-CNA-LED-DS-15-3CCT-WH-Spec-Sheet.pdf</t>
  </si>
  <si>
    <t>https://www.cnalighting.com/wp-content/uploads/2023/07/1128-CNA-DS-15-3CCT-WH-493x424-1.png</t>
  </si>
  <si>
    <t>30W</t>
  </si>
  <si>
    <t>4000 lm</t>
  </si>
  <si>
    <t>133 lm/W</t>
  </si>
  <si>
    <t>66.7 lm/W</t>
  </si>
  <si>
    <t>https://www.cnalighting.com/wp-content/uploads/2024/12/1157-CNA-LED-DS-15-5CCT-BK-450x450-1.png</t>
  </si>
  <si>
    <t>https://www.cnalighting.com/wp-content/uploads/2024/12/1157-CNA-LED-DS-15-5CCT-BK-Spec-Sheet.pdf</t>
  </si>
  <si>
    <t>133.3 lm/W</t>
  </si>
  <si>
    <t>LED DSQ-4-30K - 952</t>
  </si>
  <si>
    <t>https://www.cnalighting.com/wp-content/uploads/2018/02/CNA-LED-DSQ-4-30K-Front-500x500.png</t>
  </si>
  <si>
    <t>https://www.cnalighting.com/wp-content/uploads/2018/02/CNA-LED-DSQ-Series-Square-Flush-Mount-Downlight-Spec-Sheet.pdf</t>
  </si>
  <si>
    <t>Hardwire - 4" J-BOX</t>
  </si>
  <si>
    <t>LED DSQ-6-30K - 953</t>
  </si>
  <si>
    <t>https://www.cnalighting.com/wp-content/uploads/2018/02/CNA-LED-DSQ-6-30K-Front-500x500.png</t>
  </si>
  <si>
    <t>CL-6-PIR - 978</t>
  </si>
  <si>
    <t>https://www.cnalighting.com/wp-content/uploads/2020/07/CNA-LED-CL-6-PIR-565x565-1.png</t>
  </si>
  <si>
    <t>https://www.cnalighting.com/wp-content/uploads/2020/07/CNA-LED-CL-6-PIR-and-LED-CL-8-PIR-Closet-Light-Spec-Sheet.pdf</t>
  </si>
  <si>
    <t>1050 lm</t>
  </si>
  <si>
    <t>70 lm/W</t>
  </si>
  <si>
    <t>8</t>
  </si>
  <si>
    <t>Acrylic</t>
  </si>
  <si>
    <t>1100 lm</t>
  </si>
  <si>
    <t>73.3 lm/W</t>
  </si>
  <si>
    <t>https://www.cnalighting.com/wp-content/uploads/2024/06/1206-CNA-LED-CL-13-5CCT-500x500-1.png</t>
  </si>
  <si>
    <t>https://www.cnalighting.com/wp-content/uploads/2024/06/1206-CNA-LED-CL-13-5CCT-Spec-Sheet.pdf</t>
  </si>
  <si>
    <t>80 lm/W</t>
  </si>
  <si>
    <t>https://www.cnalighting.com/wp-content/uploads/2024/06/1204-CNA-LED-CL-2R-12-5CCT-600x600-1.png</t>
  </si>
  <si>
    <t>https://www.cnalighting.com/wp-content/uploads/2024/06/1204-CNA-LED-CL-2R-12-5CCT-Spec-Sheet.pdf</t>
  </si>
  <si>
    <t>https://www.cnalighting.com/wp-content/uploads/2024/06/1136-CNA-LED-CL-2R-12-5CCT-BK-600x600-1.png</t>
  </si>
  <si>
    <t>https://www.cnalighting.com/wp-content/uploads/2024/06/1136-CNA-LED-CL-2R-12-5CCT-BK-Spec-Sheet.pdf</t>
  </si>
  <si>
    <t>26W</t>
  </si>
  <si>
    <t>2100 lm</t>
  </si>
  <si>
    <t>Damp Location</t>
  </si>
  <si>
    <t>Brushed Nickel</t>
  </si>
  <si>
    <t>DPM-4 BK Trim - 1202</t>
  </si>
  <si>
    <t>DPM-4 BN  Trim - 1203</t>
  </si>
  <si>
    <t>Matte Black</t>
  </si>
  <si>
    <t>White Acrylic</t>
  </si>
  <si>
    <t>https://www.cnalighting.com/wp-content/uploads/2024/12/1214-CNA-LED5.5WPL13-4CCT-600x600-1.png</t>
  </si>
  <si>
    <t>https://www.cnalighting.com/wp-content/uploads/2024/12/1214-CNA-LED5.5WPL13-HY-4CCT-Spec-Sheet.pdf</t>
  </si>
  <si>
    <t>120V-277VAC (Ballast Bypass)</t>
  </si>
  <si>
    <t>620 lm</t>
  </si>
  <si>
    <t>GX23 2-PIN</t>
  </si>
  <si>
    <t>LED7WPLC13-HY-30K - 1023</t>
  </si>
  <si>
    <t>https://www.cnalighting.com/wp-content/uploads/2017/04/CNA-LED7WPLC13-500x500.png</t>
  </si>
  <si>
    <t>https://www.cnalighting.com/wp-content/uploads/2021/10/CNA-LED7WPLC13-HY-XXK-Spec-Sheet.pdf</t>
  </si>
  <si>
    <t>40,000 Hrs.</t>
  </si>
  <si>
    <t>1-7/16"</t>
  </si>
  <si>
    <t>LED7WPLC13-HY-40K - 916</t>
  </si>
  <si>
    <t>https://www.cnalighting.com/wp-content/uploads/2024/12/1215-CNA-LED9WPLC26-32-42-HY-XXK-600x600-1.png</t>
  </si>
  <si>
    <t>https://www.cnalighting.com/wp-content/uploads/2024/12/1215-CNA-LED9WPL26-32-42-HY-40K-Spec-Sheet.pdf</t>
  </si>
  <si>
    <t>1250 lm</t>
  </si>
  <si>
    <t>G24Q 4-PIN</t>
  </si>
  <si>
    <t>LED11WPL26/32/42-HY-30K - 917</t>
  </si>
  <si>
    <t>https://www.cnalighting.com/wp-content/uploads/2017/04/CNA-LED15WPLC26-500x500.png</t>
  </si>
  <si>
    <t>https://www.cnalighting.com/wp-content/uploads/2019/05/CNA-LED11WPL-26-32-42-HY-XXK-Spec-Sheet.pdf</t>
  </si>
  <si>
    <t>11W</t>
  </si>
  <si>
    <t>1300 lm</t>
  </si>
  <si>
    <t>165 mm</t>
  </si>
  <si>
    <t>6-7/16"</t>
  </si>
  <si>
    <t>https://www.cnalighting.com/wp-content/uploads/2024/12/1209-1210-1211-CNA-LED11WT8-CM-XXK-600x600-1.png</t>
  </si>
  <si>
    <t>LED 4FT T8 - Plug &amp; Play / Ballast Compatible</t>
  </si>
  <si>
    <t>LED14WT8-HY 40K (1800lm) - 1014</t>
  </si>
  <si>
    <t>https://www.cnalighting.com/wp-content/uploads/2024/12/1014-1015-CNA-LED-12WT8-HY-XXK-515x515-1.png</t>
  </si>
  <si>
    <t>LED14WT8-HY 50K (1800lm) - 1015</t>
  </si>
  <si>
    <t>4 Feet</t>
  </si>
  <si>
    <t>Glass (Non-Yellowing,</t>
  </si>
  <si>
    <t>LED25WT5 840 COMP (3500lm) - 943</t>
  </si>
  <si>
    <t>https://www.cnalighting.com/wp-content/uploads/2016/07/LED-25W-4F-T5-40K-500x500.png</t>
  </si>
  <si>
    <t>LED25WT5 850 COMP (3500lm) - 955</t>
  </si>
  <si>
    <t>DLC, NSF, cULus</t>
  </si>
  <si>
    <t>F54/T5/HO</t>
  </si>
  <si>
    <t>Glass (Non-Yellowing -</t>
  </si>
  <si>
    <t>https://www.cnalighting.com/wp-content/uploads/2015/02/LED-19W-4F-T8-50K-Cropped.png</t>
  </si>
  <si>
    <t>Glass</t>
  </si>
  <si>
    <t>https://www.cnalighting.com/wp-content/uploads/2023/02/CNA-S14-String48-600x600-1.png</t>
  </si>
  <si>
    <t>https://www.cnalighting.com/wp-content/uploads/2023/02/CNA-1122-LED-S14-String48-Spec-Sheet.pdf</t>
  </si>
  <si>
    <t>110V-120VAC (US Plug)</t>
  </si>
  <si>
    <t>E26 (medium)</t>
  </si>
  <si>
    <t>48 FT / 15 m</t>
  </si>
  <si>
    <t>https://www.cnalighting.com/wp-content/uploads/2021/05/CNA-LED-T5Bar-Photo-with-Accessores-cETLus-1586x558-1.png</t>
  </si>
  <si>
    <t>1 Foot</t>
  </si>
  <si>
    <t>5 years</t>
  </si>
  <si>
    <t>2 Feet</t>
  </si>
  <si>
    <t>3 Feet</t>
  </si>
  <si>
    <t>T5Bar-Jbox - 1095</t>
  </si>
  <si>
    <t>https://www.cnalighting.com/wp-content/uploads/2021/05/CNA-T5Bar-Jbox-original.png</t>
  </si>
  <si>
    <t>T5Bar-Link12 - 1090</t>
  </si>
  <si>
    <t>https://www.cnalighting.com/wp-content/uploads/2021/05/CNA-T5Bar-Link12-original.png</t>
  </si>
  <si>
    <t>T5Bar-Plug - 1096</t>
  </si>
  <si>
    <t>https://www.cnalighting.com/wp-content/uploads/2021/05/CNA-T5Bar-Plug-original.png</t>
  </si>
  <si>
    <t>T5Bar-Accessories - 1126</t>
  </si>
  <si>
    <t>https://www.cnalighting.com/wp-content/uploads/2024/10/1126-CNA-T5Bar-Accessories-600x600-1.png</t>
  </si>
  <si>
    <t>https://www.cnalighting.com/wp-content/uploads/2018/06/CNA-LED-DL-Light-Strip-01543x250.png</t>
  </si>
  <si>
    <t>12</t>
  </si>
  <si>
    <t>T5DL900-12W 40K - 971</t>
  </si>
  <si>
    <t>T5DL1200-15W 40K - 972</t>
  </si>
  <si>
    <t>T5DL-1M-LINK - 992</t>
  </si>
  <si>
    <t>T5DL Jbox/LSH-Box - 974</t>
  </si>
  <si>
    <t>https://www.cnalighting.com/wp-content/uploads/2015/10/CNA-LED-LSH-JBox-00.png</t>
  </si>
  <si>
    <t>T5DL-2M-Plug - 973</t>
  </si>
  <si>
    <t>https://www.cnalighting.com/wp-content/uploads/2018/06/T5DL-2M-Plug.jpg</t>
  </si>
  <si>
    <t>LSH-Plug2m - 845</t>
  </si>
  <si>
    <t>https://www.cnalighting.com/wp-content/uploads/2015/10/CNA-LED-LSH-Plug2m-00.png</t>
  </si>
  <si>
    <t>LED LS-1 - 763</t>
  </si>
  <si>
    <t>https://www.cnalighting.com/wp-content/uploads/2014/06/LED-LS-2-Cropped1.png</t>
  </si>
  <si>
    <t>LED LS-2 - 764</t>
  </si>
  <si>
    <t>LS Link-6 - 767</t>
  </si>
  <si>
    <t>LS Link-12 -768</t>
  </si>
  <si>
    <t>LED2WRD1-30K - 1129</t>
  </si>
  <si>
    <t>https://www.cnalighting.com/wp-content/uploads/2023/07/1129-CNA-LED2WRD1-3.jpg</t>
  </si>
  <si>
    <t>LED3WPuck 30K - 902</t>
  </si>
  <si>
    <t>https://www.cnalighting.com/wp-content/uploads/2017/01/CNA-LED3WPuck-Recessed-360x360.png</t>
  </si>
  <si>
    <t>62 mm</t>
  </si>
  <si>
    <t>3 Years</t>
  </si>
  <si>
    <t>Aluminum</t>
  </si>
  <si>
    <t>LED-SMRing - 905</t>
  </si>
  <si>
    <t>https://www.cnalighting.com/wp-content/uploads/2017/06/CNA-LED-SMRing-500x500.png</t>
  </si>
  <si>
    <t>LED6WPanel 30K - 904</t>
  </si>
  <si>
    <t>https://www.cnalighting.com/wp-content/uploads/2017/01/CNA-LED6WPanel-360x360.png</t>
  </si>
  <si>
    <t>192 mm</t>
  </si>
  <si>
    <t>RL-COB-30K-20FT - 1009</t>
  </si>
  <si>
    <t>https://www.cnalighting.com/wp-content/uploads/2024/09/1009-1138-CNA-RL-COB-30K-20FT-40K-20FT-640x640-1.jpg</t>
  </si>
  <si>
    <t>RL-COB-40K-20FT - 1138</t>
  </si>
  <si>
    <t>https://www.cnalighting.com/wp-content/uploads/2024/09/1145-CNA-RL-COB-6LE-1-640x640-1.jpg</t>
  </si>
  <si>
    <t>https://www.cnalighting.com/wp-content/uploads/2024/09/1146-CNA-RL-COB-12EX-1-640x640-1.jpg</t>
  </si>
  <si>
    <t>https://www.cnalighting.com/wp-content/uploads/2024/09/1144-CNA-RL-COB-RWC-3-640x640-1.jpg</t>
  </si>
  <si>
    <t>https://www.cnalighting.com/wp-content/uploads/2024/09/1147-RL-COB-20FTWires-640x640-1.png</t>
  </si>
  <si>
    <t>https://www.cnalighting.com/wp-content/uploads/2024/09/1143-CNA-RL-COB-IC-4-640x640-1.jpg</t>
  </si>
  <si>
    <t>https://www.cnalighting.com/wp-content/uploads/2024/09/1142-CNA-RL-COB-LC-4-640x640-1.jpg</t>
  </si>
  <si>
    <t>https://www.cnalighting.com/wp-content/uploads/2024/09/1139-CNA-RL-COB-TC-2-640x640-1.png</t>
  </si>
  <si>
    <t>IFP09-1M - 1153</t>
  </si>
  <si>
    <t>https://www.cnalighting.com/wp-content/uploads/2024/09/1153-CNA-IFP03-1M-2-423x423-1.png</t>
  </si>
  <si>
    <t>FP20-1M - 994</t>
  </si>
  <si>
    <t>https://www.cnalighting.com/wp-content/uploads/2019/04/CNA-FP20-1M-800x600.png</t>
  </si>
  <si>
    <t>FP20-CAPS - 995</t>
  </si>
  <si>
    <t>https://www.cnalighting.com/wp-content/uploads/2019/04/CNA-FP20-EC-640x640.png</t>
  </si>
  <si>
    <t>FP20-M-CLIPS - 998</t>
  </si>
  <si>
    <t>https://www.cnalighting.com/wp-content/uploads/2019/04/CNA-FP20-M-CLIP-SET-640x640.png</t>
  </si>
  <si>
    <t>RP20-1M - 996</t>
  </si>
  <si>
    <t>https://www.cnalighting.com/wp-content/uploads/2019/04/CNA-RP20-1M-800x600.png</t>
  </si>
  <si>
    <t>RP20-CAPS - 997</t>
  </si>
  <si>
    <t>https://www.cnalighting.com/wp-content/uploads/2019/04/CNA-RP20-EC-640x640.png</t>
  </si>
  <si>
    <t>RP20-S-CLIPS - 999</t>
  </si>
  <si>
    <t>https://www.cnalighting.com/wp-content/uploads/2019/04/CNA-RP20-S-CLIP-installed-2-640x640.png</t>
  </si>
  <si>
    <t>PS12W-ETL-RD - 1060</t>
  </si>
  <si>
    <t>https://www.cnalighting.com/wp-content/uploads/2020/08/CNA-PS12W-ETL-RD-505x505-1.png</t>
  </si>
  <si>
    <t>https://www.cnalighting.com/wp-content/uploads/2020/08/CNA-PS12W-ETL-RD-Spec-Sheet.pdf</t>
  </si>
  <si>
    <t>12VDC - Constant Voltage</t>
  </si>
  <si>
    <t>100V-130VAC</t>
  </si>
  <si>
    <t>PS20W-ETL-RD - 1061</t>
  </si>
  <si>
    <t>https://www.cnalighting.com/wp-content/uploads/2020/08/CNA-PS20W-ETL-RD-505x505-1.png</t>
  </si>
  <si>
    <t>https://www.cnalighting.com/wp-content/uploads/2020/08/CNA-PS20W-ETL-RD-Spec-Sheet.pdf</t>
  </si>
  <si>
    <t>PS40W-ETL-RD - 1062</t>
  </si>
  <si>
    <t>https://www.cnalighting.com/wp-content/uploads/2020/08/CNA-PS40W-ETL-RD-505x505-1.png</t>
  </si>
  <si>
    <t>https://www.cnalighting.com/wp-content/uploads/2020/08/CNA-PS40W-ETL-RD-Spec-Sheet.pdf</t>
  </si>
  <si>
    <t>PS60W-ETL-RD - 1063</t>
  </si>
  <si>
    <t>https://www.cnalighting.com/wp-content/uploads/2020/08/CNA-PS60W-ETL-RD-485x485-1.png</t>
  </si>
  <si>
    <t>https://www.cnalighting.com/wp-content/uploads/2020/08/CNA-PS60W-ETL-RD-Spec-Sheet.pdf</t>
  </si>
  <si>
    <t>PS100W-ETL-DIM - 1035</t>
  </si>
  <si>
    <t>https://www.cnalighting.com/wp-content/uploads/2020/01/CNA-PS100W-ETL-DIM-640x640-1.png</t>
  </si>
  <si>
    <t>https://www.cnalighting.com/wp-content/uploads/2023/05/1035-CNA-PS100W-ETL-DIM-Spec-Sheet.pdf</t>
  </si>
  <si>
    <t>100V-120VAC</t>
  </si>
  <si>
    <t>http://www.cnalighting.com/wp-content/uploads/2023/12/1135-CNA-PS120W-ETL-DIM-600x600-1.png</t>
  </si>
  <si>
    <t>https://www.cnalighting.com/wp-content/uploads/2023/12/1135-CNA-PS120W-ETL-DIM-Spec-Sheet.pdf</t>
  </si>
  <si>
    <t>PS-18W-BOXDIM - 945</t>
  </si>
  <si>
    <t>https://www.cnalighting.com/wp-content/uploads/2017/12/CNA-PS-18W-BOXDIM-2-Medium-Res.jpg</t>
  </si>
  <si>
    <t>https://www.cnalighting.com/wp-content/uploads/2017/12/CNA-PS-18W-BOXDIM-Spec-Sheet.pdf</t>
  </si>
  <si>
    <t>18W</t>
  </si>
  <si>
    <t>Yes - down to 15%</t>
  </si>
  <si>
    <t>Type IC Recessed, Damp</t>
  </si>
  <si>
    <t>90V-130VAC</t>
  </si>
  <si>
    <t>117 mm x 85 mm x 39 mm</t>
  </si>
  <si>
    <t>PS-40W-BOXDIM - 946</t>
  </si>
  <si>
    <t>https://www.cnalighting.com/wp-content/uploads/2017/12/CNA-PS-40W-BOXDIM-2-Medium-Res.jpg</t>
  </si>
  <si>
    <t>https://www.cnalighting.com/wp-content/uploads/2017/12/CNA-PS-40W-BOXDIM-Spec-Sheet.pdf</t>
  </si>
  <si>
    <t>40W</t>
  </si>
  <si>
    <t>157 mm x 85 mm x 39 mm</t>
  </si>
  <si>
    <t>PS100W-DIM - 629</t>
  </si>
  <si>
    <t>https://www.cnalighting.com/wp-content/uploads/2014/06/PS-DIM.png</t>
  </si>
  <si>
    <t>PS100W-MC - 467</t>
  </si>
  <si>
    <t>https://www.cnalighting.com/wp-content/uploads/2013/08/PS100W-DIM.png</t>
  </si>
  <si>
    <t>100VAC-240VAC</t>
  </si>
  <si>
    <t>PS150W-MC - 625</t>
  </si>
  <si>
    <t>https://www.cnalighting.com/wp-content/uploads/2013/08/PS150W-DIM.png</t>
  </si>
  <si>
    <t>PS36W-PLUG  619</t>
  </si>
  <si>
    <t>https://www.cnalighting.com/wp-content/uploads/2017/11/CNA-LED-Driver-PLUG-300x300.png</t>
  </si>
  <si>
    <t>36W</t>
  </si>
  <si>
    <t>PS72W-PLUG - 620</t>
  </si>
  <si>
    <t>https://www.cnalighting.com/wp-content/uploads/2015/05/PS72W-PLUG.png</t>
  </si>
  <si>
    <t>72W</t>
  </si>
  <si>
    <t>https://www.cnalighting.com/wp-content/uploads/2024/09/1148-CNA-PS40W-24V-600x600-1.png</t>
  </si>
  <si>
    <t>https://www.cnalighting.com/wp-content/uploads/2024/09/1148-CNA-PS40W-24V-Spec-Sheet.pdf</t>
  </si>
  <si>
    <t>24VDC - Constant Voltage</t>
  </si>
  <si>
    <t>https://www.cnalighting.com/wp-content/uploads/2024/09/1149-CNA-PS60W-24V-600x600-1.png</t>
  </si>
  <si>
    <t>https://www.cnalighting.com/wp-content/uploads/2024/09/1149-CNA-PS60W-24V-Spec-Sheet.pdf</t>
  </si>
  <si>
    <t>https://www.cnalighting.com/wp-content/uploads/2024/09/1150-CNA-PS80W-24V-600x600-1.png</t>
  </si>
  <si>
    <t>https://www.cnalighting.com/wp-content/uploads/2024/09/1150-CNA-PS80W-24V-Spec-Sheet.pdf</t>
  </si>
  <si>
    <t>https://www.cnalighting.com/wp-content/uploads/2024/09/1151-CNA-PS100W-24V-600x600-1.png</t>
  </si>
  <si>
    <t>https://www.cnalighting.com/wp-content/uploads/2024/09/1151-CNA-PS100W-24V-Spec-Sheet.pdf</t>
  </si>
  <si>
    <t>https://www.cnalighting.com/wp-content/uploads/2024/09/1152-CNA-PS150W-24V-1-600x600-1.png</t>
  </si>
  <si>
    <t>https://www.cnalighting.com/wp-content/uploads/2024/09/1152-CNA-PS150W-24V-Spec-Sheet.pdf</t>
  </si>
  <si>
    <t>300.0 mm</t>
  </si>
  <si>
    <t>16/2 Hardwire Pigtail - 30 cm / 11.5"</t>
  </si>
  <si>
    <t>https://www.cnalighting.com/wp-content/uploads/2024/09/1103-CNA-PS100W-MC-24V-551x551-1.png</t>
  </si>
  <si>
    <t>https://www.cnalighting.com/wp-content/uploads/2024/09/1103-CNA-PS100W-MC-24V-Spec-Sheet.pdf</t>
  </si>
  <si>
    <t>LED SL-BK - 1004</t>
  </si>
  <si>
    <t>https://www.cnalighting.com/wp-content/uploads/2019/06/CNA-LED-SL-BK-640x640.png</t>
  </si>
  <si>
    <t>5 Watts</t>
  </si>
  <si>
    <t>LED SL-BN - 1005</t>
  </si>
  <si>
    <t>https://www.cnalighting.com/wp-content/uploads/2019/06/CNA-LED-SL-BN-640x640.png</t>
  </si>
  <si>
    <t>LED SL-WH - 1003</t>
  </si>
  <si>
    <t>https://www.cnalighting.com/wp-content/uploads/2019/06/CNA-LED-SL-WH-650x650.png</t>
  </si>
  <si>
    <t>https://www.cnalighting.com/wp-content/uploads/2022/08/CNA-LED35WSTP-3CCT-Spec-Sheet.pdf</t>
  </si>
  <si>
    <t>LED35WSTP-3CCT - 1115</t>
  </si>
  <si>
    <t>https://www.cnalighting.com/wp-content/uploads//2019/07/CNA-LED-35W-120-347V-Strip900x1792-151x300.png</t>
  </si>
  <si>
    <t>LED STP-CP - 1113</t>
  </si>
  <si>
    <t>https://www.cnalighting.com/wp-content/uploads//2022/08/Optional-Connector-Plate-300x154.png</t>
  </si>
  <si>
    <t>https://www.cnalighting.com/wp-content/uploads/2019/01/CNA-LED-Flood-TP-FL30-G3T-R5-640x640.png</t>
  </si>
  <si>
    <t>https://www.cnalighting.com/wp-content/uploads/2016/06/CNA-LED-Wall-Pack-70W-Centered-150x150.jpg</t>
  </si>
  <si>
    <t>LED EX100-SP - 989</t>
  </si>
  <si>
    <t>https://www.cnalighting.com/wp-content/uploads/2019/02/CNA-LED-EX100-SP-520x520.png</t>
  </si>
  <si>
    <t>6</t>
  </si>
  <si>
    <t>LED EX101-CB - 990</t>
  </si>
  <si>
    <t>https://www.cnalighting.com/wp-content/uploads/2019/02/CNA-LED-EX101-CB-650x650.png</t>
  </si>
  <si>
    <t>BP-36W - 1067</t>
  </si>
  <si>
    <t>https://www.cnalighting.com/wp-content/uploads/2020/10/CNA-BP-36W-650x650-1.png</t>
  </si>
  <si>
    <t>BP-72W - 1068</t>
  </si>
  <si>
    <t>https://www.cnalighting.com/wp-content/uploads/2020/10/CNA-BP-72W-600x600-1.png</t>
  </si>
  <si>
    <t>RH-1 - 1069</t>
  </si>
  <si>
    <t>https://www.cnalighting.com/wp-content/uploads/2020/10/CNA-RH-1-631x631-1.png</t>
  </si>
  <si>
    <t>Diameter 5 inches / 128 mm</t>
  </si>
  <si>
    <t>RH-2 - 1070</t>
  </si>
  <si>
    <t>https://www.cnalighting.com/wp-content/uploads/2020/10/CNA-RH-2-850x850-1.png</t>
  </si>
  <si>
    <t>Diameter 5 inches / 127 mm</t>
  </si>
  <si>
    <t>J78-75W 120V - 419</t>
  </si>
  <si>
    <t>https://www.cnalighting.com/wp-content/uploads/2024/09/419-420-CNA-J78-75W-100W-120V-650x650-1.png</t>
  </si>
  <si>
    <t>https://www.cnalighting.com/wp-content/uploads/2024/09/2024-CNA-Halogen-Bulbs-Spec-Sheet.pdf</t>
  </si>
  <si>
    <t>J78</t>
  </si>
  <si>
    <t>75W</t>
  </si>
  <si>
    <t>1,500 Hrs</t>
  </si>
  <si>
    <t>2900K</t>
  </si>
  <si>
    <t>J78-100W 120V - 420</t>
  </si>
  <si>
    <t>100W</t>
  </si>
  <si>
    <t>1650 lm</t>
  </si>
  <si>
    <t>G9-40W 120V - 313</t>
  </si>
  <si>
    <t>https://www.cnalighting.com/wp-content/uploads/2024/09/313-197-CNA-G9-40W-50W-120V-460x460-1.png</t>
  </si>
  <si>
    <t>2,000 Hrs</t>
  </si>
  <si>
    <t>G9-50W 120V - 197</t>
  </si>
  <si>
    <t>50W</t>
  </si>
  <si>
    <t>JD 130V 50W E11 - 68</t>
  </si>
  <si>
    <t>https://www.cnalighting.com/wp-content/uploads/2024/09/68-89-49-CNA-JD-E11-50W-75W-100W-120V-585x585-1.png</t>
  </si>
  <si>
    <t>E11 - Mini Candelabra</t>
  </si>
  <si>
    <t>JD 130V 75W E11 - 89</t>
  </si>
  <si>
    <t>JD E11-100W 120V - 49</t>
  </si>
  <si>
    <t>JD E11</t>
  </si>
  <si>
    <t>1700 lm</t>
  </si>
  <si>
    <t>JCDR GU10 50W (No Cover) - 405</t>
  </si>
  <si>
    <t>https://www.cnalighting.com/wp-content/uploads/2012/07/jcdr_gu10_50w.jpg</t>
  </si>
  <si>
    <t>JCDR+C GU10 20W - 189</t>
  </si>
  <si>
    <t>35W</t>
  </si>
  <si>
    <t>JDR+C 50W - 46</t>
  </si>
  <si>
    <t>https://www.cnalighting.com/wp-content/uploads/2012/07/jdr_50w.jpg</t>
  </si>
  <si>
    <t>JDR+C 75W - 47</t>
  </si>
  <si>
    <t>JDR+C 100W - 48</t>
  </si>
  <si>
    <t>PAR16 50W FL - 105</t>
  </si>
  <si>
    <t>https://www.cnalighting.com/wp-content/uploads/2012/07/par16_50w_fl.jpg</t>
  </si>
  <si>
    <t>MR16 12V 20W ESX - 116</t>
  </si>
  <si>
    <t>https://www.cnalighting.com/wp-content/uploads/2012/07/mr16_12v_50w_exn.jpg</t>
  </si>
  <si>
    <t xml:space="preserve">12VAC </t>
  </si>
  <si>
    <t>MR16 12V 35W FMV - 150</t>
  </si>
  <si>
    <t>MR16 12V 42W EYP - 218</t>
  </si>
  <si>
    <t>42W</t>
  </si>
  <si>
    <t>MR16 12V 50W FNV - 113</t>
  </si>
  <si>
    <t>MR16 12V 50W EXZ - 199</t>
  </si>
  <si>
    <t>MR16 12V 50W EXT - 6</t>
  </si>
  <si>
    <t>MR16 12V 75W EYC - 1</t>
  </si>
  <si>
    <t>MR16 12V 50W EXN+C FROSTED - 314</t>
  </si>
  <si>
    <t>XENON MR16 20W BAB+C - 436</t>
  </si>
  <si>
    <t>https://www.cnalighting.com/wp-content/uploads/2012/07/XENON-MR16-50W-EXN+C.jpg</t>
  </si>
  <si>
    <t>IGLOO MR16 50W EXN+C (Completely Frosted) - 412</t>
  </si>
  <si>
    <t>https://www.cnalighting.com/wp-content/uploads/2012/07/igloo_mr16_50w_exn+c_completely_frosted.jpg</t>
  </si>
  <si>
    <t>https://www.cnalighting.com/wp-content/uploads/2012/07/DAYLIGHT-MR16-50W-EXZ+C.jpg</t>
  </si>
  <si>
    <t>DAYLIGHT MR16 50W EXN+C 36° - 459</t>
  </si>
  <si>
    <t>5000K</t>
  </si>
  <si>
    <t>DAYLIGHT MR16 50W EXZ+C 24° - 460</t>
  </si>
  <si>
    <t>MR11 12V 20W FTD - 88</t>
  </si>
  <si>
    <t>https://www.cnalighting.com/wp-content/uploads/2012/07/mr11_12v_20w_ftd.jpg</t>
  </si>
  <si>
    <t>MR11 12V 20W FTD+C - 134</t>
  </si>
  <si>
    <t>MR11 12V 20W FTD+C XENON - 440</t>
  </si>
  <si>
    <t>JC 12V 75W G6.35 - 392</t>
  </si>
  <si>
    <t>G6.35</t>
  </si>
  <si>
    <t>XENON JC 12V 50W G6.35 - 373</t>
  </si>
  <si>
    <t>J 120V 78mm 150W - 422</t>
  </si>
  <si>
    <t>150W</t>
  </si>
  <si>
    <t>J 120V 118mm 100W - 194</t>
  </si>
  <si>
    <t>J 120V 118mm 150W - 416</t>
  </si>
  <si>
    <t>J 120V 118mm 200W - 417</t>
  </si>
  <si>
    <t>200W</t>
  </si>
  <si>
    <t>J 120V 118mm 300W - 418</t>
  </si>
  <si>
    <t>300W</t>
  </si>
  <si>
    <t>130VAC</t>
  </si>
  <si>
    <t>J 130V 78mm 150W - 14</t>
  </si>
  <si>
    <t>J 130V 78mm 200W - 183</t>
  </si>
  <si>
    <t>J 130V 78mm 250W - 224</t>
  </si>
  <si>
    <t>250W</t>
  </si>
  <si>
    <t>J 130V 118mm 100W - 118</t>
  </si>
  <si>
    <t>J 130V 118mm 150W - 119</t>
  </si>
  <si>
    <t>J 130V 118mm 300W - 16</t>
  </si>
  <si>
    <t>500W</t>
  </si>
  <si>
    <t>J 130V 189mm 1000W - 19</t>
  </si>
  <si>
    <t>1000W</t>
  </si>
  <si>
    <t>J 130V 254mm 1000W - 21</t>
  </si>
  <si>
    <t>J 240V 118mm 500W - 18</t>
  </si>
  <si>
    <t>240VAC</t>
  </si>
  <si>
    <t>J 240V 189mm 1000W - 20</t>
  </si>
  <si>
    <t>J 230V 189mm 1000W - 20</t>
  </si>
  <si>
    <t>J 240V 254mm 1000W - 283</t>
  </si>
  <si>
    <t>J 240V 254mm 1500W - 23</t>
  </si>
  <si>
    <t>1500W</t>
  </si>
  <si>
    <t>JCD 130V 25W G9 FROSTED - 369</t>
  </si>
  <si>
    <t>https://www.cnalighting.com/wp-content/uploads/2012/07/jcd_130v_25w_g9_frosted.jpg</t>
  </si>
  <si>
    <t>25W</t>
  </si>
  <si>
    <t>https://www.cnalighting.com/wp-content/uploads/2012/07/jcd_130v_40w_g9.jpg</t>
  </si>
  <si>
    <t>JCD 130V 75W G9 - 589</t>
  </si>
  <si>
    <t>XENON JCD 120V 60W FROSTED G9 - 376</t>
  </si>
  <si>
    <t>60W</t>
  </si>
  <si>
    <t>JCD 130V 20W G8 - 610</t>
  </si>
  <si>
    <t>G8</t>
  </si>
  <si>
    <t>JCD 130V 50W G8 - 195</t>
  </si>
  <si>
    <t>JCD 130V 35W G6.35 - 35</t>
  </si>
  <si>
    <t>https://www.cnalighting.com/wp-content/uploads/2012/07/jcd_130v_35w_g6.35.jpg</t>
  </si>
  <si>
    <t>JCD 130V 50W G6.35 - 103</t>
  </si>
  <si>
    <t>G6.3.5</t>
  </si>
  <si>
    <t>JCD 130V 75W G6.35 - 212</t>
  </si>
  <si>
    <t>JCD 130V 100W G6.35 - 141</t>
  </si>
  <si>
    <t>https://www.cnalighting.com/wp-content/uploads/2012/07/jd_130v_50w_e11.jpg</t>
  </si>
  <si>
    <t>JD 130V 150W E11 - 50</t>
  </si>
  <si>
    <t>JD 130V 250W E11 - 51</t>
  </si>
  <si>
    <t>JD 130V 50W BA15d - 60</t>
  </si>
  <si>
    <t>https://www.cnalighting.com/wp-content/uploads/2012/07/jd_130v_50w_ba15d.jpg</t>
  </si>
  <si>
    <t>BA15D - Double Contact Bayonet</t>
  </si>
  <si>
    <t>JD 130V 75W BA15d - 62</t>
  </si>
  <si>
    <t>JD 130V 100W BA15d - 63</t>
  </si>
  <si>
    <t>JD 130V 150W BA15d - 64</t>
  </si>
  <si>
    <t>JD 130V 250W BA15d - 67</t>
  </si>
  <si>
    <t>https://www.cnalighting.com/wp-content/uploads/2012/07/jdd_120v_75w.jpg</t>
  </si>
  <si>
    <t>JDD - Double Envelope</t>
  </si>
  <si>
    <t>JDD 120V 200W CLEAR - 525</t>
  </si>
  <si>
    <t>3000 lm</t>
  </si>
  <si>
    <t>JDD 120V 75W FROSTED - 529</t>
  </si>
  <si>
    <t>https://www.cnalighting.com/wp-content/uploads/2012/07/jdd_130v_75w_frosted.jpg</t>
  </si>
  <si>
    <t>JDD 120V 200W FROSTED - 129</t>
  </si>
  <si>
    <t>EST-23W 2700K - 594</t>
  </si>
  <si>
    <t>https://www.cnalighting.com/wp-content/uploads/2012/07/est-23w.jpg</t>
  </si>
  <si>
    <t>23W</t>
  </si>
  <si>
    <t>110V-130VAC</t>
  </si>
  <si>
    <t>10,000 Hrs</t>
  </si>
  <si>
    <t>100W Incandescent</t>
  </si>
  <si>
    <t>115 mm</t>
  </si>
  <si>
    <t>60 mm</t>
  </si>
  <si>
    <t>CFL - Super Mini Spiral</t>
  </si>
  <si>
    <t>EST-23W 4100K - 595</t>
  </si>
  <si>
    <t>70lm/W</t>
  </si>
  <si>
    <t>4100K</t>
  </si>
  <si>
    <t>GU24-23W 4100K - 144</t>
  </si>
  <si>
    <t>https://www.cnalighting.com/wp-content/uploads/2015/08/CNA-GU24-13W-CFL-500x500.png</t>
  </si>
  <si>
    <t>GU24</t>
  </si>
  <si>
    <t>107 mm</t>
  </si>
  <si>
    <t>EP-9W PAR20 2700K - 674</t>
  </si>
  <si>
    <t/>
  </si>
  <si>
    <t>PAR20</t>
  </si>
  <si>
    <t>EP-15W PAR30L 2700K - 700</t>
  </si>
  <si>
    <t>PAR30LN</t>
  </si>
  <si>
    <t>PL-5W 2700K - 55</t>
  </si>
  <si>
    <t>https://www.cnalighting.com/wp-content/uploads/2012/07/fls-13w.jpg</t>
  </si>
  <si>
    <t>Ballast Dependent</t>
  </si>
  <si>
    <t>2-PIN CFL - PL-5W</t>
  </si>
  <si>
    <t>PL-5W 3500K - 285</t>
  </si>
  <si>
    <t>PL-7W 3500K - 154</t>
  </si>
  <si>
    <t>2-PIN CFL - PL-7W</t>
  </si>
  <si>
    <t>PL-9W 3500K - 156</t>
  </si>
  <si>
    <t>2-PIN CFL - PL-9W</t>
  </si>
  <si>
    <t>PLC-9W 2P 2700K - 138</t>
  </si>
  <si>
    <t>https://www.cnalighting.com/wp-content/uploads/2012/07/flc-13w.jpg</t>
  </si>
  <si>
    <t>2-PIN CFL - PLC-9W</t>
  </si>
  <si>
    <t>PLC-9W 2P 3500K - 161</t>
  </si>
  <si>
    <t>PLC-9W 2P 4100K - 162</t>
  </si>
  <si>
    <t>PLC-26W 2P 2700K - 226</t>
  </si>
  <si>
    <t>2-PIN CFL - PLC-26W</t>
  </si>
  <si>
    <t>PLC-26W 2P 3500K - 351</t>
  </si>
  <si>
    <t>PLC-10W 4P 2700K - 219</t>
  </si>
  <si>
    <t>https://www.cnalighting.com/wp-content/uploads/2012/07/flc-13w_4p.jpg</t>
  </si>
  <si>
    <t>4-PIN PLC-10W</t>
  </si>
  <si>
    <t>PLT-26W 2700K - 222</t>
  </si>
  <si>
    <t>https://www.cnalighting.com/wp-content/uploads/2012/07/flt-26w.jpg</t>
  </si>
  <si>
    <t>4-PIN PLT-26W</t>
  </si>
  <si>
    <t>PLT-26W 3500K - 496</t>
  </si>
  <si>
    <t>PLT-26W 4100K - 497</t>
  </si>
  <si>
    <t>PLT-32W 2700K - 223</t>
  </si>
  <si>
    <t>32W</t>
  </si>
  <si>
    <t>4-PIN PLT-32W</t>
  </si>
  <si>
    <t>PLT-32W 3500K - 498</t>
  </si>
  <si>
    <t>PLT-42W 4100K - 501</t>
  </si>
  <si>
    <t xml:space="preserve"> 4-PIN PLT-42W</t>
  </si>
  <si>
    <t>F21 T5 4100K - 545</t>
  </si>
  <si>
    <t>https://www.cnalighting.com/wp-content/uploads/2012/07/T5-Tubes.jpg</t>
  </si>
  <si>
    <t xml:space="preserve"> https://www.cnalighting.com/wp-content/uploads/2013/04/CNA-Lighting-T5-Linear-Fluorescent-Tubes-Spec-Sheet.pdf</t>
  </si>
  <si>
    <t>21W</t>
  </si>
  <si>
    <t>2900 lm</t>
  </si>
  <si>
    <t>20,000 Hrs</t>
  </si>
  <si>
    <t>G5</t>
  </si>
  <si>
    <t>3 FT</t>
  </si>
  <si>
    <t>3' T5 Fluorescent</t>
  </si>
  <si>
    <t>F28 T5 4100K - 546</t>
  </si>
  <si>
    <t>https://www.cnalighting.com/wp-content/uploads/2013/04/CNA-Lighting-T5-Linear-Fluorescent-Tubes-Spec-Sheet.pdf</t>
  </si>
  <si>
    <t>28W</t>
  </si>
  <si>
    <t>3650 lm</t>
  </si>
  <si>
    <t>4 FT</t>
  </si>
  <si>
    <t>4' T5 Fluorescent</t>
  </si>
  <si>
    <t>F32T8/28W850 - 326</t>
  </si>
  <si>
    <t>https://www.cnalighting.com/wp-content/uploads/2012/08/F32T8-28W850-Tube-Cropped-Alpha-Background-smaller-res.png</t>
  </si>
  <si>
    <t>https://www.cnalighting.com/wp-content/uploads/2013/03/F32T8-28W-Energy-Saver-T8-Spec-Sheet.pdf</t>
  </si>
  <si>
    <t>2450 lm</t>
  </si>
  <si>
    <t>30,000 Hrs</t>
  </si>
  <si>
    <t>G13</t>
  </si>
  <si>
    <t>36</t>
  </si>
  <si>
    <t>4' T8 Fluorescent</t>
  </si>
  <si>
    <t>MH 50W Medium - 133</t>
  </si>
  <si>
    <t>https://www.cnalighting.com/wp-content/uploads/2012/07/mh_175w-ps_mogul-124x300.jpg</t>
  </si>
  <si>
    <t>3800 lm</t>
  </si>
  <si>
    <t>4200K</t>
  </si>
  <si>
    <t>65</t>
  </si>
  <si>
    <t>BD17</t>
  </si>
  <si>
    <t>70W</t>
  </si>
  <si>
    <t>MH 150W Medium - 476</t>
  </si>
  <si>
    <t>11500 lm</t>
  </si>
  <si>
    <t>MH 175W Medium - 111</t>
  </si>
  <si>
    <t>175W</t>
  </si>
  <si>
    <t>13500 lm</t>
  </si>
  <si>
    <t>MH 175W COATED Medium - 366</t>
  </si>
  <si>
    <t>E39 / Mogul</t>
  </si>
  <si>
    <t>ED28</t>
  </si>
  <si>
    <t>20500 lm</t>
  </si>
  <si>
    <t>12,000 Hrs</t>
  </si>
  <si>
    <t>MH-400W E39 Mog - 289</t>
  </si>
  <si>
    <t>400W</t>
  </si>
  <si>
    <t>36000 lm</t>
  </si>
  <si>
    <t>ED37</t>
  </si>
  <si>
    <t>MH 175W-PS ED28 - 726</t>
  </si>
  <si>
    <t>14000 lm</t>
  </si>
  <si>
    <t>MH 200W-PS ED28 - 727</t>
  </si>
  <si>
    <t>21000 lm</t>
  </si>
  <si>
    <t>MH 320W-PS ED37 - 728</t>
  </si>
  <si>
    <t>320W</t>
  </si>
  <si>
    <t>31000 lm</t>
  </si>
  <si>
    <t>16,000 Hrs</t>
  </si>
  <si>
    <t>Conversion MH 250W E39 Mog - 519</t>
  </si>
  <si>
    <t>Conversion MH 400W E39 Mog - 395</t>
  </si>
  <si>
    <t>Conversion MH 600W E39 Mog - 396</t>
  </si>
  <si>
    <t>600W</t>
  </si>
  <si>
    <t>54000 lm</t>
  </si>
  <si>
    <t>T25</t>
  </si>
  <si>
    <t>LU 35W Medium - 339</t>
  </si>
  <si>
    <t>https://www.cnalighting.com/wp-content/uploads/2012/07/lu_70w_medium-107x223-custom.jpg</t>
  </si>
  <si>
    <t>2250 lm</t>
  </si>
  <si>
    <t>24,000 Hrs</t>
  </si>
  <si>
    <t>2000K</t>
  </si>
  <si>
    <t>22</t>
  </si>
  <si>
    <t>B17</t>
  </si>
  <si>
    <t>LU 50W Medium - 340</t>
  </si>
  <si>
    <t>LU 100W Medium - 344</t>
  </si>
  <si>
    <t>9500 lm</t>
  </si>
  <si>
    <t>LU 150W Medium - 346</t>
  </si>
  <si>
    <t>16000 lm</t>
  </si>
  <si>
    <t>LU 50W Mogul - 341</t>
  </si>
  <si>
    <t>E40 / Mogul</t>
  </si>
  <si>
    <t>ED23.5</t>
  </si>
  <si>
    <t>LU 70W Mogul - 343</t>
  </si>
  <si>
    <t>6300 lm</t>
  </si>
  <si>
    <t>LU 100W Mogul - 345</t>
  </si>
  <si>
    <t>LU 150W Mogul - 347</t>
  </si>
  <si>
    <t>LU 250W Mogul - 348</t>
  </si>
  <si>
    <t>28000 lm</t>
  </si>
  <si>
    <t>ED18</t>
  </si>
  <si>
    <t>LU 400W Mogul - 349</t>
  </si>
  <si>
    <t>48000 lm</t>
  </si>
  <si>
    <t>≥ 80</t>
  </si>
  <si>
    <t>≥ 90</t>
  </si>
  <si>
    <t>-20°C to 45°C</t>
  </si>
  <si>
    <t>-20°C to +45°C</t>
  </si>
  <si>
    <t>110°</t>
  </si>
  <si>
    <t>38°</t>
  </si>
  <si>
    <t>120°</t>
  </si>
  <si>
    <t>30°</t>
  </si>
  <si>
    <t>40°</t>
  </si>
  <si>
    <t>360°</t>
  </si>
  <si>
    <t>150°</t>
  </si>
  <si>
    <t>185°</t>
  </si>
  <si>
    <t>230°</t>
  </si>
  <si>
    <t>240°</t>
  </si>
  <si>
    <t>220°</t>
  </si>
  <si>
    <t>300°</t>
  </si>
  <si>
    <t>LED RT6-3x3CCT-AK - 1134</t>
  </si>
  <si>
    <t>120V-347VAC</t>
  </si>
  <si>
    <t>4585 lm</t>
  </si>
  <si>
    <t>131 lm/W</t>
  </si>
  <si>
    <t>cUL, DLC</t>
  </si>
  <si>
    <t>1202 mm</t>
  </si>
  <si>
    <t>Yes - 0-10V</t>
  </si>
  <si>
    <t>Width (inches)</t>
  </si>
  <si>
    <t>Height (mm)</t>
  </si>
  <si>
    <t>Height (inches)</t>
  </si>
  <si>
    <t>Width (mm)</t>
  </si>
  <si>
    <t>2-5/8"</t>
  </si>
  <si>
    <t>47-5/16"</t>
  </si>
  <si>
    <t>71.2 mm</t>
  </si>
  <si>
    <t>60.2 mm</t>
  </si>
  <si>
    <t xml:space="preserve">  White</t>
  </si>
  <si>
    <t>Frosted</t>
  </si>
  <si>
    <t xml:space="preserve">#1113 - LED STP CP (Connector Plate) </t>
  </si>
  <si>
    <t>Mounting</t>
  </si>
  <si>
    <t>Surface Mount or Suspension Mount</t>
  </si>
  <si>
    <t>Surge Protection</t>
  </si>
  <si>
    <t>2.5 kV</t>
  </si>
  <si>
    <t>2 Years</t>
  </si>
  <si>
    <t>96.15 lm/W</t>
  </si>
  <si>
    <t>87.5 lm/W</t>
  </si>
  <si>
    <t>-20°C to 40°C</t>
  </si>
  <si>
    <t>Carton Weight (lbs)</t>
  </si>
  <si>
    <t>Carton Length (inches)</t>
  </si>
  <si>
    <t>Carton Width (inches)</t>
  </si>
  <si>
    <t>Carton Height (inches)</t>
  </si>
  <si>
    <t>LED12WPar38-5CCT - 1031</t>
  </si>
  <si>
    <t>120W Halogen</t>
  </si>
  <si>
    <t>100 lm/W</t>
  </si>
  <si>
    <t>Wet Location, Enclosed Fixture</t>
  </si>
  <si>
    <t>127.5 mm</t>
  </si>
  <si>
    <t>4-3/4"</t>
  </si>
  <si>
    <t>35°</t>
  </si>
  <si>
    <t>Damp Location, Recessed</t>
  </si>
  <si>
    <t>71.4 llm/W</t>
  </si>
  <si>
    <t>76.9 lm/W</t>
  </si>
  <si>
    <t>LED 7.6W A19-ML 30K - 1105</t>
  </si>
  <si>
    <t>LED 12.5W A19-X 30K - 1190</t>
  </si>
  <si>
    <t>https://www.cnalighting.com/wp-content/uploads/2025/08/1190-CNA-LED12.5WA19-X-30K-600x600-1.png</t>
  </si>
  <si>
    <t>https://www.cnalighting.com/wp-content/uploads/2025/07/1105-CNA-LED7.6WA19-ML-30K-600x600-1.png</t>
  </si>
  <si>
    <t>https://www.cnalighting.com/wp-content/uploads/2025/07/1105-CNA-LED7.6WA19-ML-30K-Spec-Sheet.pdf</t>
  </si>
  <si>
    <t>https://www.cnalighting.com/wp-content/uploads/2025/08/1190-CNA-LED12.5WA19-X-30K.pdf</t>
  </si>
  <si>
    <t>12.5W</t>
  </si>
  <si>
    <t>1500 lm</t>
  </si>
  <si>
    <t>105.26 lm/W</t>
  </si>
  <si>
    <t>120 lm/W</t>
  </si>
  <si>
    <t xml:space="preserve">  cUL</t>
  </si>
  <si>
    <t>A19 - Milky Glass</t>
  </si>
  <si>
    <t>LED 4.5W A15-FR 30K - 940</t>
  </si>
  <si>
    <t>LED 5.5W G25 30K - 814</t>
  </si>
  <si>
    <t>LED 3.5W T25 30K - 1050</t>
  </si>
  <si>
    <t>LED 8W T30 27K - 1046</t>
  </si>
  <si>
    <t>LED 5.5W G16-CL 30K - 1118</t>
  </si>
  <si>
    <t>LED 5.5W G16-ML 30K - 1119</t>
  </si>
  <si>
    <t>LED 5.5W G16-CL 30K E26 - 1213</t>
  </si>
  <si>
    <t>LED 5W G25-ML 30K - 1120</t>
  </si>
  <si>
    <t>LED 5W G25-ML 27K - 1127</t>
  </si>
  <si>
    <t>LED 5.5W ST19-X 27K - 1167</t>
  </si>
  <si>
    <t>LED 5.5W ST19-X 30K - 1168</t>
  </si>
  <si>
    <t>LED 5.5W ST19-X 40K - 1169</t>
  </si>
  <si>
    <t>https://www.cnalighting.com/wp-content/uploads/2025/09/1167-1168-1169-CNA-LED-5.5W-ST19-X-XXK-600x600-1.png</t>
  </si>
  <si>
    <t>https://www.cnalighting.com/wp-content/uploads/2025/09/1167-1168-1169-CNA-LED5.5WST19-X-xxK-Spec-Sheet.pdf</t>
  </si>
  <si>
    <t>90.9 lm/W</t>
  </si>
  <si>
    <t>90 lm/W</t>
  </si>
  <si>
    <t>https://www.cnalighting.com/wp-content/uploads/2025/09/1170-1173-1174-1175-CNA-LED7.6WA19-X-xxK-Spec-Sheet.pdf</t>
  </si>
  <si>
    <t>72.7 lm/W</t>
  </si>
  <si>
    <t>93.75 lm/W</t>
  </si>
  <si>
    <t>75 lm/W</t>
  </si>
  <si>
    <t>88.9 lm/W</t>
  </si>
  <si>
    <t>114.3 lm/W</t>
  </si>
  <si>
    <t>130 lm/W</t>
  </si>
  <si>
    <t>108.3 lm/W</t>
  </si>
  <si>
    <t>125 lm/W</t>
  </si>
  <si>
    <t>83.3 lm/W</t>
  </si>
  <si>
    <t>40W Halogen</t>
  </si>
  <si>
    <t>LED3WG9-DIM 5000K - 1080</t>
  </si>
  <si>
    <t>60W Halogen</t>
  </si>
  <si>
    <t>100W Halogen</t>
  </si>
  <si>
    <t>150W-200W Halogen</t>
  </si>
  <si>
    <t>3CCT - 3000K / 4000K / 5000K</t>
  </si>
  <si>
    <t>4CCT - 2700K / 3000K / 3500K / 4000K</t>
  </si>
  <si>
    <t>3500K</t>
  </si>
  <si>
    <t>3CCT - 3000K / 3500K / 4000K</t>
  </si>
  <si>
    <t>3CCT - 3500K / 4000K / 5000K</t>
  </si>
  <si>
    <t>LED 3.5W T25-ML 30K - 1137</t>
  </si>
  <si>
    <t>https://www.cnalighting.com/wp-content/uploads/2025/09/878-879-1080-CNA-LED3WG9-DIM-xxK-Spec-Sheet.pdf</t>
  </si>
  <si>
    <t>https://www.cnalighting.com/wp-content/uploads/2025/09/878-879-1080-CNA-LED3WG9-DIM-xxK-300x300-1.png</t>
  </si>
  <si>
    <t>https://www.cnalighting.com/wp-content/uploads/2016/06/LED-3W-G9-NEW-400x400-1.png</t>
  </si>
  <si>
    <t>49 mm</t>
  </si>
  <si>
    <t>48 mm</t>
  </si>
  <si>
    <t>15 mm</t>
  </si>
  <si>
    <t>19/32"</t>
  </si>
  <si>
    <t>T5Bar-11-5CCT - 1091</t>
  </si>
  <si>
    <t>T5Bar-24-5CCT - 1092</t>
  </si>
  <si>
    <t>T5Bar-48-5CCT - 1094</t>
  </si>
  <si>
    <t>https://www.cnalighting.com/wp-content/uploads/2021/05/CNA-LED-T5Bar-Series-Light-Strip-Fixtures-Spec-Sheet.pdf</t>
  </si>
  <si>
    <t>https://www.cnalighting.com/wp-content/uploads/2015/10/CNA-LED-LSH-Light-Strip-Fixtures-Spec-Sheet.pdf</t>
  </si>
  <si>
    <t>https://www.cnalighting.com/wp-content/uploads/2018/06/CNA-LED-DL-Light-Strip-Fixtures-Spec-Sheet.pdf</t>
  </si>
  <si>
    <t>https://www.cnalighting.com/wp-content/uploads/2024/09/1009-1138-CNA-RL-COB-30K-20FT-40K-20FT-Spec-Sheet.pdf</t>
  </si>
  <si>
    <t>https://www.cnalighting.com/wp-content/uploads/2021/06/CNA-LED3WPuck-30K-Spec-Sheet.pdf</t>
  </si>
  <si>
    <t>https://www.cnalighting.com/wp-content/uploads/2017/01/CNA-LED6WPanel-Spec-Sheet.pdf</t>
  </si>
  <si>
    <t>https://www.cnalighting.com/wp-content/uploads/2023/06/1129-CNA-LED2WRD1-30K-Spec-Sheet.pdf</t>
  </si>
  <si>
    <t>420 lm</t>
  </si>
  <si>
    <t>760 lm</t>
  </si>
  <si>
    <t>1120 lm</t>
  </si>
  <si>
    <t>1530 lm</t>
  </si>
  <si>
    <t>84 lm/W</t>
  </si>
  <si>
    <t>84.4 lm/W</t>
  </si>
  <si>
    <t>85 lm/W</t>
  </si>
  <si>
    <t>50, 000 Hrs</t>
  </si>
  <si>
    <t>48"</t>
  </si>
  <si>
    <t>5/8"</t>
  </si>
  <si>
    <t>1/2"</t>
  </si>
  <si>
    <t>-20°C to +40°C</t>
  </si>
  <si>
    <t>Damp Location, Not for Enclosed Fixtures</t>
  </si>
  <si>
    <t>cUL Classified</t>
  </si>
  <si>
    <t>112 lm/W (@4000K)</t>
  </si>
  <si>
    <t>92.86 lm/W</t>
  </si>
  <si>
    <t>139 lm/W</t>
  </si>
  <si>
    <t>118.2 lm/W</t>
  </si>
  <si>
    <t>178 mm</t>
  </si>
  <si>
    <t>18 mm</t>
  </si>
  <si>
    <t>7"</t>
  </si>
  <si>
    <t>173 mm</t>
  </si>
  <si>
    <t>6-7/8"</t>
  </si>
  <si>
    <t>G24Q Universal 4-Pin</t>
  </si>
  <si>
    <t>G24Q / GX24Q Universal 4-Pin</t>
  </si>
  <si>
    <t>13W</t>
  </si>
  <si>
    <t>1800 lm</t>
  </si>
  <si>
    <t>2200 lm</t>
  </si>
  <si>
    <t>138 lm/W</t>
  </si>
  <si>
    <t>G13 Shunted</t>
  </si>
  <si>
    <t>180°</t>
  </si>
  <si>
    <t>cUL / DLC 5.1</t>
  </si>
  <si>
    <t>DLC &amp; cUL Type A</t>
  </si>
  <si>
    <t>48 Feet / 15 m</t>
  </si>
  <si>
    <t>https://www.cnalighting.com/wp-content/uploads/2024/12/1209-1210-1211-CNA-LED11WT8-CM-XXK-Spec-Sheet.pdf</t>
  </si>
  <si>
    <t xml:space="preserve"> https://www.cnalighting.com/wp-content/uploads/2024/12/1014-1015-CNA-LED12WT8-HY-XXK-Spec-Sheet.pdf</t>
  </si>
  <si>
    <t>https://www.cnalighting.com/wp-content/uploads/2024/12/1014-1015-CNA-LED12WT8-HY-XXK-Spec-Sheet.pdf</t>
  </si>
  <si>
    <t>120V-277VAC (Type B Installation)</t>
  </si>
  <si>
    <t>128 lm/W</t>
  </si>
  <si>
    <t>G13 Shunted &amp; Non Shunted</t>
  </si>
  <si>
    <t>cUL / cUL Classified / NSF / DLC 5.1</t>
  </si>
  <si>
    <t>DLC &amp; cUL Type A &amp; Type B</t>
  </si>
  <si>
    <t>https://www.cnalighting.com/wp-content/uploads/2018/02/CNA-LED25WT5-8XX-COMP-Spec-Sheet.pdf</t>
  </si>
  <si>
    <t>347VAC - Type B</t>
  </si>
  <si>
    <t>3500 lm</t>
  </si>
  <si>
    <t>DLC &amp; cUL Type B</t>
  </si>
  <si>
    <t>128.6 lm/W</t>
  </si>
  <si>
    <t>https://www.cnalighting.com/wp-content/uploads/2021/06/CNA-LED14WT8-347V-40K-Spec-Sheet.pdf</t>
  </si>
  <si>
    <t>LED14WT8-347V 40K (1800lm) - 1073</t>
  </si>
  <si>
    <t>Double Ended</t>
  </si>
  <si>
    <t>cUL / cUL Classified / NSF</t>
  </si>
  <si>
    <t>cUL Classified Type B</t>
  </si>
  <si>
    <t>DP4-FR-5CCT (4-Inch Fire-Rated Downlight)</t>
  </si>
  <si>
    <t>DP-4-BK Trim - 1042</t>
  </si>
  <si>
    <t>DP-6-BK-Trim - 1043</t>
  </si>
  <si>
    <t>DP6-FR-5CCT (6-Inch Fire-Rated Downlight)</t>
  </si>
  <si>
    <t>DGIM-4-3CCT-BK - 1089</t>
  </si>
  <si>
    <t>DG-4-345K-WH - 1038</t>
  </si>
  <si>
    <t>RG-4-345K-WH - 1041</t>
  </si>
  <si>
    <t>DPS-4-5CCT - 1081</t>
  </si>
  <si>
    <t>E26 Accessory Kit</t>
  </si>
  <si>
    <t xml:space="preserve">cETLus, Type IC Rated </t>
  </si>
  <si>
    <t>28 mm</t>
  </si>
  <si>
    <t>Black Trim</t>
  </si>
  <si>
    <t>DPS-4-BK-TRIM - 1082 - Black Trim</t>
  </si>
  <si>
    <t>DPS-4-BN-TRIM - 1083 - Brushed Nickel Trim</t>
  </si>
  <si>
    <t>White Trim</t>
  </si>
  <si>
    <t>String Lights</t>
  </si>
  <si>
    <t>Step Lights</t>
  </si>
  <si>
    <t>Commercial Fixtures</t>
  </si>
  <si>
    <t>12V LED Drivers</t>
  </si>
  <si>
    <t>24V LED Drivers</t>
  </si>
  <si>
    <t>2024 Halogen Bulbs</t>
  </si>
  <si>
    <t>JDR</t>
  </si>
  <si>
    <t>PAR 16</t>
  </si>
  <si>
    <t>JC Type 12V</t>
  </si>
  <si>
    <t>J-Type Linear 120V</t>
  </si>
  <si>
    <t>J-Type Linear 130V</t>
  </si>
  <si>
    <t>J-Type Linear 240V</t>
  </si>
  <si>
    <t>JCD Type (120V/130V)</t>
  </si>
  <si>
    <t>JDD Type - Double Envelope</t>
  </si>
  <si>
    <t>Super Mini Spirals</t>
  </si>
  <si>
    <t>PAR Reflector CFL</t>
  </si>
  <si>
    <t>PL (2-PIN)</t>
  </si>
  <si>
    <t>PLC (2-PIN)</t>
  </si>
  <si>
    <t>PLC (4-PIN)</t>
  </si>
  <si>
    <t>PLT (4-PIN)</t>
  </si>
  <si>
    <t>T5 Tubes - 3 FT</t>
  </si>
  <si>
    <t>T5 Tubes - 4 FT</t>
  </si>
  <si>
    <t>T8 Tubes - 4 FT</t>
  </si>
  <si>
    <t>Metal Halide - E12 - Medium</t>
  </si>
  <si>
    <t>Metal Halide - E39 - Mogul</t>
  </si>
  <si>
    <t>High Pressure Sodium - HPS / LU - E12 - Medium</t>
  </si>
  <si>
    <t>High Pressure Sodium - HPS / LU - E39 - Mogul</t>
  </si>
  <si>
    <t>Base Adapters</t>
  </si>
  <si>
    <t>A19 - 5CCT</t>
  </si>
  <si>
    <t>E26 to E12</t>
  </si>
  <si>
    <t>GU24 to E26</t>
  </si>
  <si>
    <t>PAR20 - 5CCT</t>
  </si>
  <si>
    <t>PAR38 - 5CCT</t>
  </si>
  <si>
    <t>PAR30L - 5CCT</t>
  </si>
  <si>
    <t>PAR30S - 5CCT</t>
  </si>
  <si>
    <t>BR30 - 5CCT</t>
  </si>
  <si>
    <t>4" DPS Black Trim</t>
  </si>
  <si>
    <t>4" DPS Brushed Nickel Trim</t>
  </si>
  <si>
    <t>DPS Recess Mount Accessory</t>
  </si>
  <si>
    <t>4" Round Panel - 5CCT</t>
  </si>
  <si>
    <t>DP4 Black Trim</t>
  </si>
  <si>
    <t>4" Fire Rated - 5CCT</t>
  </si>
  <si>
    <t>DP6 Black Trim</t>
  </si>
  <si>
    <t>6" Fire Rated - 5CCT</t>
  </si>
  <si>
    <t>3.5" Rough-In Plate</t>
  </si>
  <si>
    <t>4" Rough-In Plate</t>
  </si>
  <si>
    <t>6" Rough-In Plate</t>
  </si>
  <si>
    <t>6" to 8" Goof Ring</t>
  </si>
  <si>
    <t>RG-4-345K-BK - 1040</t>
  </si>
  <si>
    <t>Field Adjustable 6" Downlight</t>
  </si>
  <si>
    <t>LED9WRT5/6-5CCT - 1017</t>
  </si>
  <si>
    <t>Large Vapour Barrier</t>
  </si>
  <si>
    <t>Small Vapour Barrier</t>
  </si>
  <si>
    <t>https://www.cnalighting.com/wp-content/uploads//2022/10/CNA-1017-LED9WRT5-6-5CCT-Long-150x363-1.png</t>
  </si>
  <si>
    <t>6" Motion Sensor Disk</t>
  </si>
  <si>
    <t>13" Mushroom 5CCT</t>
  </si>
  <si>
    <t>CL-13-5CCT - 1206</t>
  </si>
  <si>
    <t>CL-2R-12-5CCT BN - 1204</t>
  </si>
  <si>
    <t>CL-2R-12-5CCT BK - 1136</t>
  </si>
  <si>
    <t>CL-2R-16-5CCT BN - 1045</t>
  </si>
  <si>
    <t>CL-2R-16-5CCT BK - 1085</t>
  </si>
  <si>
    <t>DPS-4-BK-TRIM - 1082 - DPS Black Trim</t>
  </si>
  <si>
    <t>DPS-4-BN-TRIM - 1083 - DPS Brushed Nickel Trim</t>
  </si>
  <si>
    <t>DPS-ACC - 1084 - DPS Retrofit Accessory</t>
  </si>
  <si>
    <t>DPM-4 BK Trim - 1202 - DPM Trim - Black</t>
  </si>
  <si>
    <t>DPM-4 BN  Trim - 1203 - DPM Trim - Brushed Nickel</t>
  </si>
  <si>
    <t xml:space="preserve">DPM-4-5CCT - 1201 </t>
  </si>
  <si>
    <t>DS-12-3CCT BK - 1109</t>
  </si>
  <si>
    <t>DS-15-3CCT WH - 1128</t>
  </si>
  <si>
    <t>DS-15-5CCT BK - 1157</t>
  </si>
  <si>
    <t>DPM-4-5CCT - 1201  - 4" Slim LED Downlight</t>
  </si>
  <si>
    <t>DS-15-3CCT WH  - 1128 - 15" LED Flush Mount Downlight</t>
  </si>
  <si>
    <t>DS-15-5CCT BK - 1157  - 15" LED Flush Mount Downlight</t>
  </si>
  <si>
    <t>LED5.5WPL13-HY 4CCT - 1214</t>
  </si>
  <si>
    <t>LED9WPLC26/32/42-HY 40K - 1215</t>
  </si>
  <si>
    <t>DSK-7-5CCT-BK - 1182</t>
  </si>
  <si>
    <t>DSK-7-5CCT-WH - 1181</t>
  </si>
  <si>
    <t>DSK-9-5CCT-BK - 1184</t>
  </si>
  <si>
    <t>DSK-9-5CCT-WH - 1183</t>
  </si>
  <si>
    <t>DSK-12-5CCT-BK - 1186</t>
  </si>
  <si>
    <t>DSK-12-5CCT-WH - 1185</t>
  </si>
  <si>
    <t>DSK-7-5CCT-BK - 1182 - 7" Slim Flushmount - Black</t>
  </si>
  <si>
    <t>DSK-7-5CCT-WH - 1181 - 7" Slim Flushmount - White</t>
  </si>
  <si>
    <t>DSK-9-5CCT-BK - 1184 - 9" Slim Flushmount - Black</t>
  </si>
  <si>
    <t>DSK-9-5CCT-WH - 1183 - 9" Slim Flushmount - White</t>
  </si>
  <si>
    <t>DSK-12-5CCT-BK - 1186 - 12" Slim Flushmount - Black</t>
  </si>
  <si>
    <t>DSK-12-5CCT-WH - 1185 - 12" Slim Flushmount - White</t>
  </si>
  <si>
    <t>LED DSQ-4-30K - 952 - 4" Square Slim Flushmount</t>
  </si>
  <si>
    <t>LED DSQ-6-30K - 953 - 6" Square Slim Flushmount</t>
  </si>
  <si>
    <t>LED7WPLC13-HY-40K - 916 - CFL PLC 13W 4-PIN Replacement - 4000K</t>
  </si>
  <si>
    <t>LED7WPLC13-HY-30K - 1023 - CFL PLC 13W 4-PIN Replacement - 3000K</t>
  </si>
  <si>
    <t>LED5.5WPL13-HY 4CCT - 1214 - CFL PL 13W 2-PIN Replacement - 4CCT (2700K/3000K/3500K/4000K)</t>
  </si>
  <si>
    <t>LED9WPLC26/32/42-HY 40K - 1215 - CFL PLC 26W 32W 42W 4-PIN Replacement - 4000K</t>
  </si>
  <si>
    <t>LED11WPL26/32/42-HY-30K - 917 CFL PLC 26W 32W 42W 4-PIN Replacement - 3000K</t>
  </si>
  <si>
    <t>S14-String48  - 1122</t>
  </si>
  <si>
    <t>S14-String48 - 1122 - Outdoor LED S14 String Lights 2700K</t>
  </si>
  <si>
    <t>11" Undercabinet Strip 120V - 5CCT</t>
  </si>
  <si>
    <t>24" Undercabinet Strip 120V - 5CCT</t>
  </si>
  <si>
    <t>48" Undercabinet Strip 120V - 5CCT</t>
  </si>
  <si>
    <t>12" Flexible Link Cable</t>
  </si>
  <si>
    <t>T5Bar Mounting Accessories</t>
  </si>
  <si>
    <t>Junction Box with On/Off Switch, 1/2" Knockout</t>
  </si>
  <si>
    <t>6' Length AC Power Cord Plug</t>
  </si>
  <si>
    <t>Replacement Accessories Pack - Mounting Clips and End Joiner</t>
  </si>
  <si>
    <t>T5Bar - 12" Link Cable</t>
  </si>
  <si>
    <t>T5Bar - 6' Cord w/ Plug</t>
  </si>
  <si>
    <t>LED-SMRing - 905 - Surface Mount Ring for Puck Light</t>
  </si>
  <si>
    <t>LED3WPuck 30K - 902 - Puck Light - 3000K - 12VDC</t>
  </si>
  <si>
    <t>LED6WPanel 30K - 904 - Panel Light - 12VDC - 3000K</t>
  </si>
  <si>
    <t>24V COB LED Ribbon Lights - 20FT Reel - 4000K</t>
  </si>
  <si>
    <t>24V COB LED Ribbon Lights - 20FT Reel - 3000K</t>
  </si>
  <si>
    <t>6" Lead (Input Cable)</t>
  </si>
  <si>
    <t>COB Ribbon to Wire Connector (Custom Input / Output)</t>
  </si>
  <si>
    <t>COB Ribbon 20FT Wires (20AWG)</t>
  </si>
  <si>
    <t>COB Ribbon I or Straight Connector</t>
  </si>
  <si>
    <t>COB Rbbon L-Connector</t>
  </si>
  <si>
    <t>COB Ribbon T-Connector</t>
  </si>
  <si>
    <t>6" Ribbon to Power Supply Connector</t>
  </si>
  <si>
    <t>12"Flexible Ribbon to Ribbon Connector</t>
  </si>
  <si>
    <t>12" Flexible Ribbon to Ribbon Connector</t>
  </si>
  <si>
    <t>Ribbon to Wire Connector</t>
  </si>
  <si>
    <t>20FT Wires (20AWG)</t>
  </si>
  <si>
    <t>I Connector</t>
  </si>
  <si>
    <t>L Connector</t>
  </si>
  <si>
    <t>T Connector</t>
  </si>
  <si>
    <t>Surface Aluminum Channel - Mounting Clips</t>
  </si>
  <si>
    <t xml:space="preserve">Surface Aluminum Channel - 1M </t>
  </si>
  <si>
    <t>Surface Aluminum Channel - End Caps</t>
  </si>
  <si>
    <t>COB Ribbon Aluminum Channel - 1 Meter Length</t>
  </si>
  <si>
    <t>Recessed Auminum Channel - 1M</t>
  </si>
  <si>
    <t>Recessed Auminum Channel - End Caps</t>
  </si>
  <si>
    <t>Recessed Auminum Channel - Mounting Clips</t>
  </si>
  <si>
    <t>Surface Aluminum Channel - 1 Meter Length</t>
  </si>
  <si>
    <t>Recessed Mount Aluminum Channel - 1 Meter Length</t>
  </si>
  <si>
    <t>Recessed Mount Aluminum Channel - End Caps</t>
  </si>
  <si>
    <t>Recessed Mount Aluminum Channel - Mounting Clips</t>
  </si>
  <si>
    <t>COB Ribbon Aluminum Channel - 1M</t>
  </si>
  <si>
    <t>PS12W-ETL-RD - 1060 - 12V - 12W Round Dimmable LED Driver</t>
  </si>
  <si>
    <t>PS20W-ETL-RD - 1061 - 12V - 18W Round Dimmable LED Driver</t>
  </si>
  <si>
    <t>PS40W-ETL-RD - 1062 - 12V - 36W Round Dimmable LED Driver</t>
  </si>
  <si>
    <t>PS60W-ETL-RD - 1063 - 12V - 54W Round Dimmable LED Driver</t>
  </si>
  <si>
    <t>PS100W-ETL-DIM - 1035 - 12V - 84W LED Dimmable Driver</t>
  </si>
  <si>
    <t>PS120W-ETL-DIM - 1135 - 12V - 120W LED Dimmable Driver</t>
  </si>
  <si>
    <t>PS-18W-BOXDIM - 945 - 12V - 18W Metal JBox Dimmable LED Driver</t>
  </si>
  <si>
    <t>PS-40W-BOXDIM - 946 - 12V - 40W Metal JBox Dimmable LED Driver</t>
  </si>
  <si>
    <t>PS100W-DIM - 629 - 12V - 100W LED Driver</t>
  </si>
  <si>
    <t>PS100W-MC - 467 - 12V - 102W Metal Chassis LED Driver</t>
  </si>
  <si>
    <t>PS150W-MC - 625 - 12V - 150W Metal Chassis LED Driver</t>
  </si>
  <si>
    <t>PS36W-PLUG  619 - 12V - 36W LED Driver - Plug</t>
  </si>
  <si>
    <t>PS72W-PLUG - 620 - 12V - 72W LED Driver - Plug</t>
  </si>
  <si>
    <t>PS40W-24V -1148 -  24V - 38.4W Dimmable LED Driver</t>
  </si>
  <si>
    <t>PS60W-24V - 1149 - 24V - 60W Dimmable LED Driver</t>
  </si>
  <si>
    <t>PS80W-24V - 1150 - 24V - 79W Dimmable LED Driver</t>
  </si>
  <si>
    <t xml:space="preserve">PS100W-24V - 1151 - 24V - 100.8W Dimmable LED Driver  </t>
  </si>
  <si>
    <t>PS150W-24V - 1152 - 24V - 150W Dimmable LED Driver</t>
  </si>
  <si>
    <t>PS100W-MC-24V - 1103 - 24V - 108W LED Driver</t>
  </si>
  <si>
    <t>LED2WRD1-30K - 1129 - Mini LED Puck Light &amp; Step Light - 3000K - 12VDC</t>
  </si>
  <si>
    <t>LED SL-BK - 1004 - 120V LED Step Light - Black</t>
  </si>
  <si>
    <t>LED SL-BN - 1005 - 120V LED Step Light - Brushed Nickel</t>
  </si>
  <si>
    <t>LED SL-WH - 1003 - 120V LED Step Light - White</t>
  </si>
  <si>
    <t>Mini Step Light 12V</t>
  </si>
  <si>
    <t>Commercial Strip Light 120V-347V</t>
  </si>
  <si>
    <t>3CCT Commercial LED Strip Light 120V-347V - 3000K / 4000K / 5000K</t>
  </si>
  <si>
    <t>STP Connector Plate</t>
  </si>
  <si>
    <t>STP Connector Plate for Commercial LED Strip Light</t>
  </si>
  <si>
    <t>8" Goof Ring for 6" Downlight</t>
  </si>
  <si>
    <t>LED Flood 30W - Yoke / Trunnion Mount</t>
  </si>
  <si>
    <t>347V LED Wall Pack - 145W</t>
  </si>
  <si>
    <t>WP145W50KBZ-347V - 895 - CLEARANCE - 347V LED Wall Pack - 145W - 5000K</t>
  </si>
  <si>
    <t>Running Man Exit Sign</t>
  </si>
  <si>
    <t>LED EX100-SP - 989 - Self-Powered Running Man Exit Sign</t>
  </si>
  <si>
    <t>Running Man Combo Unit</t>
  </si>
  <si>
    <t>LED EX101-CB - 990 - Self-Powered Running Man Exit Sign and Emergency Light Combo Unit</t>
  </si>
  <si>
    <t>BP-36W - 1067 - LED Emergency Lighting - 36W Battery Pack</t>
  </si>
  <si>
    <t>BP-72W - 1068 - LED Emergency Lighting - 72W Battery Pack</t>
  </si>
  <si>
    <t>Battery Pack 36W</t>
  </si>
  <si>
    <t>Battery Pack 72W</t>
  </si>
  <si>
    <t xml:space="preserve">Single Remote Head </t>
  </si>
  <si>
    <t>Dual Remote Head</t>
  </si>
  <si>
    <t>RH-1 - 1069 - Single Remote Head LED Emergency Light - 2W</t>
  </si>
  <si>
    <t>RH-2 - 1070 - Dual Remote Head Emergency Light - 4W (2 x 2W)</t>
  </si>
  <si>
    <t>78mm J-Type 75W</t>
  </si>
  <si>
    <t>78mm J-Type 100W</t>
  </si>
  <si>
    <t>G9 40W</t>
  </si>
  <si>
    <t>G9 50W</t>
  </si>
  <si>
    <t>JD Minican 50W</t>
  </si>
  <si>
    <t>JD Minican 75W</t>
  </si>
  <si>
    <t>JD Minican 100W</t>
  </si>
  <si>
    <t>GU10 - 50W</t>
  </si>
  <si>
    <t>GU10 - 20W</t>
  </si>
  <si>
    <t>JDR 50W</t>
  </si>
  <si>
    <t>JDR 75W</t>
  </si>
  <si>
    <t>JDR 100W</t>
  </si>
  <si>
    <t>PAR16 50W</t>
  </si>
  <si>
    <t>MR16 35W FMV</t>
  </si>
  <si>
    <t>MR16 20W ESX</t>
  </si>
  <si>
    <t>MR16 42W EYP</t>
  </si>
  <si>
    <t>MR16 50W FNV</t>
  </si>
  <si>
    <t>MR16 50W EXZ</t>
  </si>
  <si>
    <t>MR16 50W EXT</t>
  </si>
  <si>
    <t>MR16 50W EYC</t>
  </si>
  <si>
    <t>MR16 50W EXN+C Frosted</t>
  </si>
  <si>
    <t>IGLOO MR16 50W EXN+C</t>
  </si>
  <si>
    <t>DAYLIGHT MR16 50W EXN+C</t>
  </si>
  <si>
    <t>DAYLIGHT MR16 50W EXZ+C</t>
  </si>
  <si>
    <t>MR11 20W FTD</t>
  </si>
  <si>
    <t>MR11 20W FTD+C</t>
  </si>
  <si>
    <t>MR11 20W FTD+C XENON</t>
  </si>
  <si>
    <t>XENON MR16 50W BAB+C</t>
  </si>
  <si>
    <t>JC 12V 75W G6.35</t>
  </si>
  <si>
    <t>JC 12V 50W G6.35 XENON</t>
  </si>
  <si>
    <t>JD Type</t>
  </si>
  <si>
    <t>250W Conversion</t>
  </si>
  <si>
    <t>400W Conversion</t>
  </si>
  <si>
    <t>600W Conversion</t>
  </si>
  <si>
    <t>MH-50W</t>
  </si>
  <si>
    <t>MH-150W</t>
  </si>
  <si>
    <t>MH-175W</t>
  </si>
  <si>
    <t>MH-175W COATED</t>
  </si>
  <si>
    <t>MH-400W</t>
  </si>
  <si>
    <t>MH-175W PS</t>
  </si>
  <si>
    <t>MH-200W PS</t>
  </si>
  <si>
    <t>MH-320W PS</t>
  </si>
  <si>
    <t>HPS-50W</t>
  </si>
  <si>
    <t>HPS-35W</t>
  </si>
  <si>
    <t>HPS-100W</t>
  </si>
  <si>
    <t>HPS-150W</t>
  </si>
  <si>
    <t>HPS-70W</t>
  </si>
  <si>
    <t>HPS-250W</t>
  </si>
  <si>
    <t>HPS-400W</t>
  </si>
  <si>
    <t>12°</t>
  </si>
  <si>
    <t>24°</t>
  </si>
  <si>
    <t>36°</t>
  </si>
  <si>
    <t>60°</t>
  </si>
  <si>
    <t>LED 5.2W B10-X 50K - 1165</t>
  </si>
  <si>
    <t>LED 5.2W B10-X 40K - 1164</t>
  </si>
  <si>
    <t>LED 5.2W B10-X 30K - 1163</t>
  </si>
  <si>
    <t>LED 5.2W B10-X 27K - 1162</t>
  </si>
  <si>
    <t>LED 7.6W A19-X 50K- 1174</t>
  </si>
  <si>
    <t>LED 7.6W A19-X 40K - 1173</t>
  </si>
  <si>
    <t>LED 7.6W A19-X 30K - 1170</t>
  </si>
  <si>
    <t>LED 7.6W A19-X 27K - 1175</t>
  </si>
  <si>
    <t>LED 5.5W A19-R 30K - 1171</t>
  </si>
  <si>
    <t>LED 8.8W ST19-R 30K - 1172</t>
  </si>
  <si>
    <t>CFL</t>
  </si>
  <si>
    <t>HID</t>
  </si>
  <si>
    <t>LED 5.5W A19-R 30K (Curved Filament) - 1171</t>
  </si>
  <si>
    <t>LED 7.6W A19-X 27K (X-Filament) - 1175</t>
  </si>
  <si>
    <t>LED 7.6W A19-X 30K (X-Filament) - 1170</t>
  </si>
  <si>
    <t>LED 7.6W A19-X 40K (X-Filament) - 1173</t>
  </si>
  <si>
    <t>LED 7.6W A19-X 50K (X-Filament) - 1174</t>
  </si>
  <si>
    <t>LED 5.2W B10-X 27K (X-Filament) - 1162</t>
  </si>
  <si>
    <t>LED 5.2W B10-X 30K (X-Filament) - 1163</t>
  </si>
  <si>
    <t>LED 5.2W B10-X 40K (X-Filament) - 1164</t>
  </si>
  <si>
    <t>LED 5.2W B10-X 50K (X-Filament) - 1165</t>
  </si>
  <si>
    <t>LED 8.8W ST19-R 30K (Curved Filament) - 1172</t>
  </si>
  <si>
    <t>https://www.cnalighting.com/wp-content/uploads/2026/01/1196-CNA-LED6.5WA19-WH-30K-600x600-1.png</t>
  </si>
  <si>
    <t>https://www.cnalighting.com/wp-content/uploads/2026/01/1196-CNA-LED6.5WA19-WH-30K-Spec-Sheet.pdf</t>
  </si>
  <si>
    <t>123 lm/W</t>
  </si>
  <si>
    <t>103 mm (4-1/16")</t>
  </si>
  <si>
    <t>103 mm</t>
  </si>
  <si>
    <t>4-1/16"</t>
  </si>
  <si>
    <t>LED 6.5W A19-WH 30K - 1196</t>
  </si>
  <si>
    <t>LED 6.5W A19-WH 30K (White Filament)- 1196</t>
  </si>
  <si>
    <t>800lm</t>
  </si>
  <si>
    <t>E26/Medium Base</t>
  </si>
  <si>
    <t>LED 5.5W B10-WH - 1195</t>
  </si>
  <si>
    <t>LED 5.5W B10-WH (White Filament)- 1195</t>
  </si>
  <si>
    <t>https://www.cnalighting.com/wp-content/uploads/2026/01/1195-CNA-LED5.5WB10-WH-30K-600x600-1.png</t>
  </si>
  <si>
    <t>https://www.cnalighting.com/wp-content/uploads/2026/01/1195-CNA-LED5.5WB10-WH-30K-Spec-Sheet.pdf</t>
  </si>
  <si>
    <t>102 mm (4")</t>
  </si>
  <si>
    <t>102 mm</t>
  </si>
  <si>
    <t>LED 6.5W ST19-WH 30K - 1197</t>
  </si>
  <si>
    <t>LED 6.5W ST19-WH 30K (White Filament) - 1197</t>
  </si>
  <si>
    <t>https://www.cnalighting.com/wp-content/uploads/2026/01/1197-CNA-LED6.5WST19-WH-30K-600x600-1.png</t>
  </si>
  <si>
    <t>https://www.cnalighting.com/wp-content/uploads/2026/01/1197-CNA-LED6.5WST19-WH-30K-Spec-Sheet.pdf</t>
  </si>
  <si>
    <t>LED14WA19-5CCT - 1187</t>
  </si>
  <si>
    <t>https://www.cnalighting.com/wp-content/uploads/2025/07/1187-CNA-LED14WA19-5CCT-Spec-Sheet.pdf</t>
  </si>
  <si>
    <t>https://www.cnalighting.com/wp-content/uploads/2025/07/1187-CNA-LED14WA19-5CCT-622x622-1.png</t>
  </si>
  <si>
    <t>117 mm</t>
  </si>
  <si>
    <t>117 mm (4-5/8")</t>
  </si>
  <si>
    <t>LED4.5WG9-DIM 30K - 1179 (NEW)</t>
  </si>
  <si>
    <t>LED4.5WG9-DIM 40K - 1180 (NEW)</t>
  </si>
  <si>
    <t>LED9WA19-ED 30K - 1192</t>
  </si>
  <si>
    <t>LED 14W J118 40K - 1132</t>
  </si>
  <si>
    <t>LED 6W J78SM-DIM 40K - 1131</t>
  </si>
  <si>
    <t>LED 7W J78SM-DIM 30K - 1130</t>
  </si>
  <si>
    <t>https://www.cnalighting.com/wp-content/uploads/2026/01/1130-LED7WJ78SM-DIM-30K-405x405-1.png</t>
  </si>
  <si>
    <t>https://www.cnalighting.com/wp-content/uploads/2026/02/1130-CNA-LED7WJ78SM-DIM-30K-Spec-Sheet.pdf</t>
  </si>
  <si>
    <t>107.1 lm/W</t>
  </si>
  <si>
    <t>cTUVus</t>
  </si>
  <si>
    <t xml:space="preserve">21 mm </t>
  </si>
  <si>
    <t>13/16"</t>
  </si>
  <si>
    <t>21 mm (13/16")</t>
  </si>
  <si>
    <t>https://www.cnalighting.com/wp-content/uploads/2026/02/1085-CNA-LED-CL-2R-16-5CCT-BK-600x600-2026.png</t>
  </si>
  <si>
    <t>https://www.cnalighting.com/wp-content/uploads/2026/02/1045-CNA-LED-CL-2R-16-5CCT-BN-600x600-2026.png</t>
  </si>
  <si>
    <t>https://www.cnalighting.com/wp-content/uploads/2026/02/1045-CNA-LED-CL-2R-16-5CCT-BN-Spec-Sheet-2026.pdf</t>
  </si>
  <si>
    <t>https://www.cnalighting.com/wp-content/uploads/2026/02/1085-CNA-LED-CL-2R-16-5CCT-BK-Spec-Sheet-2026.pdf</t>
  </si>
  <si>
    <t>16W / 22W / 30W</t>
  </si>
  <si>
    <t>1067 lm / 1467 lm / 2000 lm</t>
  </si>
  <si>
    <t>16"</t>
  </si>
  <si>
    <t>2.5"</t>
  </si>
  <si>
    <t>12"</t>
  </si>
  <si>
    <t>13"</t>
  </si>
  <si>
    <t>3-14/"</t>
  </si>
  <si>
    <t>Opaque</t>
  </si>
  <si>
    <t>Plastic</t>
  </si>
  <si>
    <t>https://www.cnalighting.com/wp-content/uploads/2026/02/168-CNA-LED7WPLC13-HY-5CCT-600x600-1.png</t>
  </si>
  <si>
    <t>https://www.cnalighting.com/wp-content/uploads/2026/02/168-CNA-LED7WPLC13-HY-5CCT-Spec-Sheet-1.pdf</t>
  </si>
  <si>
    <t>LED7WPLC13-HY 5CCT - 168</t>
  </si>
  <si>
    <t>LED7WPLC13-HY 5CCT - 168 - CFL PLC 13W 4-PIN Replacement - 2700K / 3000K / 3500K / 4000K / 5000K</t>
  </si>
  <si>
    <t>800 lm (2700K) / 825 lm (3000K / 3500K) 850 lm (4000K / 5000K)</t>
  </si>
  <si>
    <t>114.3 to 121.4 lm/W</t>
  </si>
  <si>
    <t>280°</t>
  </si>
  <si>
    <t>-20°C to +35°C</t>
  </si>
  <si>
    <t>cUL / cUL Classified</t>
  </si>
  <si>
    <t>133 mm</t>
  </si>
  <si>
    <t>133 mm (5-1/4")</t>
  </si>
  <si>
    <t>CFL - PL-13W</t>
  </si>
  <si>
    <t>CFL - PLC13W - Also PLC18W &amp; PLC26W</t>
  </si>
  <si>
    <t>cUL Type A &amp; Type B</t>
  </si>
  <si>
    <t>T5Bar-36-5CCT - 1093</t>
  </si>
  <si>
    <t>36" Undercabinet Strip 120V - 5CCT</t>
  </si>
  <si>
    <t>Clear Acrylic</t>
  </si>
  <si>
    <t>https://www.cnalighting.com/wp-content/uploads/2024/05/989-CNA-EX100-SP-Self-Powered-LED-Running-Man-Spec-Sheet.pdf</t>
  </si>
  <si>
    <t>https://www.cnalighting.com/wp-content/uploads/2019/02/CNA-EX101-CB-Self-Powered-Combination-LED-Running-Man-Spec-Sheet.pdf</t>
  </si>
  <si>
    <t>https://www.cnalighting.com/wp-content/uploads/2020/10/CNA-BP-36W-Spec-Sheet.pdf</t>
  </si>
  <si>
    <t>https://www.cnalighting.com/wp-content/uploads/2020/10/CNA-BP-72W-Spec-Sheet.pdf</t>
  </si>
  <si>
    <t>https://www.cnalighting.com/wp-content/uploads/2020/10/CNA-RH-1-Spec-Sheet.pdf</t>
  </si>
  <si>
    <t>https://www.cnalighting.com/wp-content/uploads/2020/10/CNA-RH-2-Spec-Sheet.pdf</t>
  </si>
  <si>
    <t>4W (2 x 2W)</t>
  </si>
  <si>
    <t>2W</t>
  </si>
  <si>
    <t>145W</t>
  </si>
  <si>
    <t>100V-347VAC</t>
  </si>
  <si>
    <t>6V-12VDC</t>
  </si>
  <si>
    <t>130 lm</t>
  </si>
  <si>
    <t>65 lm/W</t>
  </si>
  <si>
    <t>260 lm (2 x 130 lm)</t>
  </si>
  <si>
    <t>cCSAus</t>
  </si>
  <si>
    <t>335 mm</t>
  </si>
  <si>
    <t>13.2"</t>
  </si>
  <si>
    <t>230 mm</t>
  </si>
  <si>
    <t>9"</t>
  </si>
  <si>
    <t>3"</t>
  </si>
  <si>
    <t>305 mm</t>
  </si>
  <si>
    <t>3.15"</t>
  </si>
  <si>
    <t>300 mm</t>
  </si>
  <si>
    <t>11.8"</t>
  </si>
  <si>
    <t>140 mm</t>
  </si>
  <si>
    <t>5.5"</t>
  </si>
  <si>
    <t>75 mm</t>
  </si>
  <si>
    <t>310 mm</t>
  </si>
  <si>
    <t>12.2"</t>
  </si>
  <si>
    <t>200 mm</t>
  </si>
  <si>
    <t>7.87"</t>
  </si>
  <si>
    <t>70 mm</t>
  </si>
  <si>
    <t>2.75"</t>
  </si>
  <si>
    <t>127 mm</t>
  </si>
  <si>
    <t>123 mm</t>
  </si>
  <si>
    <t>4.9"</t>
  </si>
  <si>
    <t>https://www.cnalighting.com/wp-content/uploads/2019/04/CNA-LED-Ribbon-Aluminum-Channels-Spec-Sheet.pdf</t>
  </si>
  <si>
    <t>2PIN CFL PL13W</t>
  </si>
  <si>
    <t>4-PIN CFL PLC13W - Also PLC18W PLC26W</t>
  </si>
  <si>
    <t>4-PIN CFL PLC13W</t>
  </si>
  <si>
    <t>4-PIN CFL PLC26W PLC32W PLC42W</t>
  </si>
  <si>
    <t>https://www.cnalighting.com/wp-content/uploads/2025/07/1181-1182-1183-1184-1185-1186-DSK-Series-with-Mounting-Plate-600x600-1.png</t>
  </si>
  <si>
    <t>https://www.cnalighting.com/wp-content/uploads/2025/07/1181-1182-CNA-LED-DSK-7-5CCT-XX-Spec-Sheet.pdf</t>
  </si>
  <si>
    <t>https://www.cnalighting.com/wp-content/uploads/2025/07/1183-1184-CNA-LED-DSK-9-5CCT-XX-Spec-Sheet.pdf</t>
  </si>
  <si>
    <t>https://www.cnalighting.com/wp-content/uploads/2025/07/1185-1186-CNA-LED-DSK-12-5CCT-XX-Spec-Sheet.pdf</t>
  </si>
  <si>
    <t>1000 lm</t>
  </si>
  <si>
    <t>2000 lm</t>
  </si>
  <si>
    <t>DSK-5-5CCT-WH - 910</t>
  </si>
  <si>
    <t>DSK-19-5CCT-WH - 1199</t>
  </si>
  <si>
    <t>DSK-15-5CCT-WH - 169</t>
  </si>
  <si>
    <t>DSK-5-5CCT-WH - 910 - 5" Slim Flushmount - White</t>
  </si>
  <si>
    <t>DSK-15-5CCT-WH - 169 - 15" Slim Flushmount - White</t>
  </si>
  <si>
    <t>DSK-19-5CCT-WH - 1199 - 19" Slim Flushmount - White</t>
  </si>
  <si>
    <t>2650 lm</t>
  </si>
  <si>
    <t>3300 lm</t>
  </si>
  <si>
    <t>7-1/16"</t>
  </si>
  <si>
    <t>5-1/16"</t>
  </si>
  <si>
    <t>15-1/16"</t>
  </si>
  <si>
    <t>19-1/16"</t>
  </si>
  <si>
    <t>17 mm</t>
  </si>
  <si>
    <t>480 mm</t>
  </si>
  <si>
    <t xml:space="preserve">380 mm </t>
  </si>
  <si>
    <t>137 mm</t>
  </si>
  <si>
    <t>179 mm</t>
  </si>
  <si>
    <t>216 mm</t>
  </si>
  <si>
    <t>299 mm</t>
  </si>
  <si>
    <t>Black</t>
  </si>
  <si>
    <t>11-12/16"</t>
  </si>
  <si>
    <t>8.5"</t>
  </si>
  <si>
    <t>Yes - TRIAC Down to 1%</t>
  </si>
  <si>
    <t>https://www.cnalighting.com/wp-content/uploads/2026/02/910-CNA-DSK-5-5CCT-WH-500x500-3.png</t>
  </si>
  <si>
    <t>https://www.cnalighting.com/wp-content/uploads/2026/02/910-CNA-LED-DSK-5-5CCT-WH-Spec-Sheet-3.pdf</t>
  </si>
  <si>
    <t>https://www.cnalighting.com/wp-content/uploads/2026/02/169-CNA-DSK-15-5CCT-WH-500x500-2.png</t>
  </si>
  <si>
    <t>https://www.cnalighting.com/wp-content/uploads/2026/02/169-CNA-LED-DSK-15-5CCT-WH-Spec-Sheet-2.pdf</t>
  </si>
  <si>
    <t>https://www.cnalighting.com/wp-content/uploads/2026/02/1199-CNA-DSK-19-5CCT-WH-500x500-2.png</t>
  </si>
  <si>
    <t>https://www.cnalighting.com/wp-content/uploads/2026/02/1199-CNA-LED-DSK-19-5CCT-WH-Spec-Sheet-2.pdf</t>
  </si>
  <si>
    <t>111 mm</t>
  </si>
  <si>
    <t>161 mm</t>
  </si>
  <si>
    <t xml:space="preserve">17 mm </t>
  </si>
  <si>
    <t>https://www.cnalighting.com/wp-content/uploads/2026/03/929-CNA-LED1.5WG4SM-30K-500x500-2.png</t>
  </si>
  <si>
    <t>https://www.cnalighting.com/wp-content/uploads/2026/03/929-CNA-LED1.5WG4SM-30K-02.pdf</t>
  </si>
  <si>
    <t>185 lm</t>
  </si>
  <si>
    <t>123.3 lm/W</t>
  </si>
  <si>
    <t>33 mm</t>
  </si>
  <si>
    <t>1-5/16"</t>
  </si>
  <si>
    <t>10 mm</t>
  </si>
  <si>
    <t>3/8"</t>
  </si>
  <si>
    <t>9 mm</t>
  </si>
  <si>
    <t>11/32"</t>
  </si>
  <si>
    <t>Box Length (cm)</t>
  </si>
  <si>
    <t>Box Width (cm)</t>
  </si>
  <si>
    <t>Box Height (cm)</t>
  </si>
  <si>
    <t>Box CBM</t>
  </si>
  <si>
    <t>Box CFT</t>
  </si>
  <si>
    <t>Carton CFT</t>
  </si>
  <si>
    <t>CARTON CBM</t>
  </si>
  <si>
    <t>TL4-5CCT-WH-9W - 608 (Colour Selectable)</t>
  </si>
  <si>
    <t>TL4-5CCT-WH-12W - 1140 (Colour Selectable)</t>
  </si>
  <si>
    <t>https://www.cnalighting.com/wp-content/uploads/2026/03/608-CNA-TL4-5CCT-WH-9W-Spec-Sheet-2.pdf</t>
  </si>
  <si>
    <t>https://www.cnalighting.com/wp-content/uploads/2026/03/1140-CNA-TL4-5CCT-WH-12W-Spec-Sheet.pdf</t>
  </si>
  <si>
    <t>720 lm</t>
  </si>
  <si>
    <t>36 mm</t>
  </si>
  <si>
    <t>1.38"</t>
  </si>
  <si>
    <t>125 mm (4.88")</t>
  </si>
  <si>
    <t>4" Diameter</t>
  </si>
  <si>
    <t>LED3WPUCK-3CCT BK - 823</t>
  </si>
  <si>
    <t>LED3WPUCK-3CCT SN - 824</t>
  </si>
  <si>
    <t>LED3WPUCK-3CCT WH - 825</t>
  </si>
  <si>
    <t>PUCK-TRIM BK - 743</t>
  </si>
  <si>
    <t>PUCK-TRIM SN - 744</t>
  </si>
  <si>
    <t>PUCK-TRIM WH - 745</t>
  </si>
  <si>
    <t xml:space="preserve">LED3WPUCK-3CCT BK - 823 </t>
  </si>
  <si>
    <t>https://www.cnalighting.com/wp-content/uploads/2026/03/823-824-825-743-744-745-LED3WPuck-3CCT-XX-Spec-Sheet-2.pdf</t>
  </si>
  <si>
    <t>https://www.cnalighting.com/wp-content/uploads/2026/03/823-LED3WPUCK-3CCT-BK-Font-Angle2-500x500-2.png</t>
  </si>
  <si>
    <t>https://www.cnalighting.com/wp-content/uploads/2026/03/824-LED3WPUCK-3CCT-SN-Font-Angle2-500x500-3.png</t>
  </si>
  <si>
    <t>https://www.cnalighting.com/wp-content/uploads/2026/03/825-LED3WPUCK-3CCT-WH-Front-Angle2-500x500-2.png</t>
  </si>
  <si>
    <t>https://www.cnalighting.com/wp-content/uploads/2026/03/743-PUCK-TRIM-BK-Angle2-500x500-1.png</t>
  </si>
  <si>
    <t>https://www.cnalighting.com/wp-content/uploads/2026/03/744-PUCK-TRIM-SN-Angle2-500x500-1.png</t>
  </si>
  <si>
    <t>https://www.cnalighting.com/wp-content/uploads/2026/03/745-PUCK-TRIM-WH-Angle2-500x500-1.png</t>
  </si>
  <si>
    <t>https://www.cnalighting.com/wp-content/uploads/2014/09/CNA-LED-LS-Light-Strip-Fixtures-Spec-Sheet.pdf</t>
  </si>
  <si>
    <t>4.2 W</t>
  </si>
  <si>
    <t>8.4W</t>
  </si>
  <si>
    <t>240 lm</t>
  </si>
  <si>
    <t>160 lm</t>
  </si>
  <si>
    <t>77 lm/W</t>
  </si>
  <si>
    <t>76 lm/W</t>
  </si>
  <si>
    <t>Halogen Puck</t>
  </si>
  <si>
    <t>Halogen Puck Light</t>
  </si>
  <si>
    <t>Hardwire - 4Ft Pigtail</t>
  </si>
  <si>
    <t>T5 Light Strip - 1FT</t>
  </si>
  <si>
    <t>T5 Light Strip - 12T</t>
  </si>
  <si>
    <t>120V Receptacle</t>
  </si>
  <si>
    <r>
      <rPr>
        <sz val="11"/>
        <color theme="1"/>
        <rFont val="Calibri"/>
        <family val="2"/>
        <scheme val="minor"/>
      </rPr>
      <t>45</t>
    </r>
    <r>
      <rPr>
        <b/>
        <sz val="11"/>
        <color theme="1"/>
        <rFont val="Calibri"/>
        <family val="2"/>
        <scheme val="minor"/>
      </rPr>
      <t>°</t>
    </r>
  </si>
  <si>
    <t>T5 Light Strip - 3FT</t>
  </si>
  <si>
    <t>1440 lm</t>
  </si>
  <si>
    <t>1760 lm</t>
  </si>
  <si>
    <t>110 lm/W</t>
  </si>
  <si>
    <t>343 mm</t>
  </si>
  <si>
    <t>604 mm</t>
  </si>
  <si>
    <t>34-1/2"</t>
  </si>
  <si>
    <t>46-7/16"</t>
  </si>
  <si>
    <t>22 mm</t>
  </si>
  <si>
    <t>42.5 mm</t>
  </si>
  <si>
    <t>9/16"</t>
  </si>
  <si>
    <t>2-3/4"</t>
  </si>
  <si>
    <t>70 mm (2-3/4")</t>
  </si>
  <si>
    <t>11 mm</t>
  </si>
  <si>
    <t>7/16"</t>
  </si>
  <si>
    <t>12 mm</t>
  </si>
  <si>
    <t>2-7/16"</t>
  </si>
  <si>
    <t>62 mm (2-7/16")</t>
  </si>
  <si>
    <t>Puck</t>
  </si>
  <si>
    <t>https://www.cnalighting.com/wp-content/uploads/2015/07/CNA-Lighting-LED-Driver-PS100W-MC-Spec-Sheet.pdf</t>
  </si>
  <si>
    <t>Mini Puck</t>
  </si>
  <si>
    <t>https://www.cnalighting.com/wp-content/uploads/2026/03/1055-CNA-CL-9-PhotoPIR-Spec-Sheet-V1.pdf</t>
  </si>
  <si>
    <t>https://www.cnalighting.com/wp-content/uploads/2026/03/1055-CNA-CL-9-PhotoPIR-Side-TopAlign-Sensor-Switch-600x600-1-.png</t>
  </si>
  <si>
    <t>CL-9-PhotoPIR - 1055</t>
  </si>
  <si>
    <t>1350 lm</t>
  </si>
  <si>
    <t>226 mm</t>
  </si>
  <si>
    <t>8-5/16"</t>
  </si>
  <si>
    <t>Day/Night Photometric &amp; PIR Motion Sensor</t>
  </si>
  <si>
    <t>3 Minutes</t>
  </si>
  <si>
    <t>30 seconds</t>
  </si>
  <si>
    <t>A19 - X-Filament 27K</t>
  </si>
  <si>
    <t>A19 - X-Filament 30K</t>
  </si>
  <si>
    <t>A19 - X-Filament 40K</t>
  </si>
  <si>
    <t>A19 - X-Filament 50K</t>
  </si>
  <si>
    <t>B10 Chandelier 27K</t>
  </si>
  <si>
    <t>B10 Chandelier 30K</t>
  </si>
  <si>
    <t>B10 Chandelier 40K</t>
  </si>
  <si>
    <t>B10 Chandelier 50K</t>
  </si>
  <si>
    <t>G25 Milky / Opaque 27K</t>
  </si>
  <si>
    <t>G25 Milky / Opaque 30K</t>
  </si>
  <si>
    <t>ST19 Vintage - X Filament 22K</t>
  </si>
  <si>
    <t>ST19 Vintage - X Filament 27K</t>
  </si>
  <si>
    <t>ST19 Vintage - X Filament 30K</t>
  </si>
  <si>
    <t>ST19 Vintage - X Filament 40K</t>
  </si>
  <si>
    <t>T10 Clear 30K</t>
  </si>
  <si>
    <t>A19 5-Pack 30K</t>
  </si>
  <si>
    <t>A19 5-Pack 40K</t>
  </si>
  <si>
    <t>A19 - Enclosed &amp; Dim 27K</t>
  </si>
  <si>
    <t>A19 - Enclosed &amp; Dim 40K</t>
  </si>
  <si>
    <t>A19 - Enclosed &amp; Dim 50K</t>
  </si>
  <si>
    <t>A19 - Enclosed &amp; Dim 30K</t>
  </si>
  <si>
    <t>A19 - High Output 5CCT</t>
  </si>
  <si>
    <t>A19 - High Output 27K</t>
  </si>
  <si>
    <t>A21 - High Output 40K</t>
  </si>
  <si>
    <t>A21 - High Output 30K</t>
  </si>
  <si>
    <t>G9 3W 4100K</t>
  </si>
  <si>
    <t>G9 3W 3000K</t>
  </si>
  <si>
    <t>G9 3W 5000K</t>
  </si>
  <si>
    <t>G9 4.5W 3000K</t>
  </si>
  <si>
    <t>G9 4.5W 4000K</t>
  </si>
  <si>
    <t>GU10 27K</t>
  </si>
  <si>
    <t>GU10 30K</t>
  </si>
  <si>
    <t>GU10 40K</t>
  </si>
  <si>
    <t>PAR16 Short 30K</t>
  </si>
  <si>
    <t>PAR16 Short 40K</t>
  </si>
  <si>
    <t>PAR16 40K</t>
  </si>
  <si>
    <t>MR11 30K</t>
  </si>
  <si>
    <t>MR16 27K</t>
  </si>
  <si>
    <t>MR16 40K</t>
  </si>
  <si>
    <t>4" DPS Round Panel 5CCT</t>
  </si>
  <si>
    <t>6" Round Panel 30K</t>
  </si>
  <si>
    <t>3.5" Eyeball - 3CCT - WH</t>
  </si>
  <si>
    <t>3.5" Eyeball - 30K - WH</t>
  </si>
  <si>
    <t>3.5" Eyeball - 3CCT - BK</t>
  </si>
  <si>
    <t>3.5" Eyeball - 5CCT - WH</t>
  </si>
  <si>
    <t>4" Gimbal - 3CCT - BK</t>
  </si>
  <si>
    <t>4" Gimbal - 5CCT - BK</t>
  </si>
  <si>
    <t>4" Gimbal - 5CCT - WH</t>
  </si>
  <si>
    <t>4" Floating Gimbal 5CCT - BK</t>
  </si>
  <si>
    <t>4" Floating Gimbal 5CCT - WH</t>
  </si>
  <si>
    <t>4" Retrofit - 5CCT</t>
  </si>
  <si>
    <t>5" / 6" Retrofit - 5CCT</t>
  </si>
  <si>
    <t>PL 13W 2-PIN Replacement 4CCT</t>
  </si>
  <si>
    <t>PLC 13W 4-PIN Replacement 5CCT</t>
  </si>
  <si>
    <t>PLC 13W 4-PIN Replacement 30K</t>
  </si>
  <si>
    <t>PLC 13W 4-PIN Replacement 40K</t>
  </si>
  <si>
    <t>PLC 26W 32W 42W 4-PIN Replacement 40K</t>
  </si>
  <si>
    <t>PLC 26W 32W 42W 4-PIN Replacement 30K</t>
  </si>
  <si>
    <t>T8 Plug &amp; Play 40K</t>
  </si>
  <si>
    <t>T8 Plug &amp; Play 35K</t>
  </si>
  <si>
    <t>T8 Plug &amp; Play 50K</t>
  </si>
  <si>
    <t>T8 Hybrid 40K</t>
  </si>
  <si>
    <t>T8 Hybrid 50K</t>
  </si>
  <si>
    <t>T8 - 347V 40K</t>
  </si>
  <si>
    <t>T5HO 40K</t>
  </si>
  <si>
    <t>T5HO 50K</t>
  </si>
  <si>
    <t>Panel Light 12V 30K</t>
  </si>
  <si>
    <t>78 mm 120V 150W</t>
  </si>
  <si>
    <t>118 mm 120V 100W</t>
  </si>
  <si>
    <t>118 mm 120V 150W</t>
  </si>
  <si>
    <t>118 mm 120V 200W</t>
  </si>
  <si>
    <t>118 mm 120V 300W</t>
  </si>
  <si>
    <t>78 mm 130V 150W</t>
  </si>
  <si>
    <t>78 mm 130V 200W</t>
  </si>
  <si>
    <t>78 mm 130V 250W</t>
  </si>
  <si>
    <t>118 mm 130V 150W</t>
  </si>
  <si>
    <t>118 mm 130V 100W</t>
  </si>
  <si>
    <t>118 mm 130V 300W</t>
  </si>
  <si>
    <t>189 mm 130V 1000W</t>
  </si>
  <si>
    <t>254 mm 130V 1000W</t>
  </si>
  <si>
    <t>118 mm 240V 500W</t>
  </si>
  <si>
    <t>189 mm 240V 1000W</t>
  </si>
  <si>
    <t>254 mm 240V 1000W</t>
  </si>
  <si>
    <t>254 mm 240V 1500W</t>
  </si>
  <si>
    <t>G9 25W Frosted</t>
  </si>
  <si>
    <t>G9 75W</t>
  </si>
  <si>
    <t>G9 60W Frosted XENON</t>
  </si>
  <si>
    <t>G8 20W</t>
  </si>
  <si>
    <t>G8 50W</t>
  </si>
  <si>
    <t>G6.35 35W</t>
  </si>
  <si>
    <t>G6.35 50W</t>
  </si>
  <si>
    <t>G6.35 75W</t>
  </si>
  <si>
    <t>G6.35 100W</t>
  </si>
  <si>
    <t>E11 Minican 75W</t>
  </si>
  <si>
    <t>E11 Minican 150W</t>
  </si>
  <si>
    <t>E11 Minican 250W</t>
  </si>
  <si>
    <t>50W BA15d Double Contact Bayonet</t>
  </si>
  <si>
    <t>75W BA15d Double Contact Bayonet</t>
  </si>
  <si>
    <t>100W BA15d Double Contact Bayonet</t>
  </si>
  <si>
    <t>150W BA15d Double Contact Bayonet</t>
  </si>
  <si>
    <t>250W BA15d Double Contact Bayonet</t>
  </si>
  <si>
    <t>JDD Type - CLEAR - 200W</t>
  </si>
  <si>
    <t>JDD Type - FROSTED - 75W</t>
  </si>
  <si>
    <t>JDD Type - FROSTED - 200W</t>
  </si>
  <si>
    <t>CFL - Super Mini Spiral 27K</t>
  </si>
  <si>
    <t>CFL - Super Mini Spiral 41K</t>
  </si>
  <si>
    <t>PAR20 CFL 27K</t>
  </si>
  <si>
    <t>PAR30L CFL 27K</t>
  </si>
  <si>
    <t>PL-7W 3500K</t>
  </si>
  <si>
    <t>PL-5W 3500K</t>
  </si>
  <si>
    <t>PL-5W 2700K</t>
  </si>
  <si>
    <t>PL-9W 3500K</t>
  </si>
  <si>
    <t>PLC-9W 2700K</t>
  </si>
  <si>
    <t>PLC-9W 3500K</t>
  </si>
  <si>
    <t>PLC-9W 4100K</t>
  </si>
  <si>
    <t>PLC-26W 2700K</t>
  </si>
  <si>
    <t>PLC-26W 3500K</t>
  </si>
  <si>
    <t>PLC-10W 2700K</t>
  </si>
  <si>
    <t>PLT-26W 2700K</t>
  </si>
  <si>
    <t>PLT-26W 3500K</t>
  </si>
  <si>
    <t>PLT-26W 4100K</t>
  </si>
  <si>
    <t>PLT-32W 3500K</t>
  </si>
  <si>
    <t>PLT-32W 4100K</t>
  </si>
  <si>
    <t>PLT-42W 4100K</t>
  </si>
  <si>
    <t>F21 T5 4100K</t>
  </si>
  <si>
    <t>F28 T5 4100K</t>
  </si>
  <si>
    <t>F32 T8 28W 5000K</t>
  </si>
  <si>
    <t>A15 Frosted 30K</t>
  </si>
  <si>
    <t>A19 - Curved Filament 30K</t>
  </si>
  <si>
    <t>A19 - White Filament 30K</t>
  </si>
  <si>
    <t>A19 - X-Filament - High Output 30K</t>
  </si>
  <si>
    <t>A19 - Milky / Opaque 30K</t>
  </si>
  <si>
    <t>B10 Chandelier - White Filament 30K</t>
  </si>
  <si>
    <t>G16 Milky / Opaque - E12 30K</t>
  </si>
  <si>
    <t>G16 Clear 30K - E12</t>
  </si>
  <si>
    <t xml:space="preserve">G16 Clear 30K - E26 </t>
  </si>
  <si>
    <t>G25 Clear 30K</t>
  </si>
  <si>
    <t>S14 27K</t>
  </si>
  <si>
    <t>ST19 Vintage Amber 22K</t>
  </si>
  <si>
    <t>ST19 Vintage - White Filament 30K</t>
  </si>
  <si>
    <t>ST19 Vintage - Curved Filament 30K</t>
  </si>
  <si>
    <t>T25 Clear 30K</t>
  </si>
  <si>
    <t>T25 Milky / Opaque 30K</t>
  </si>
  <si>
    <t>T30 Vintage 27K</t>
  </si>
  <si>
    <t>A15 30K</t>
  </si>
  <si>
    <t>E11 Mini-Can 30K</t>
  </si>
  <si>
    <t xml:space="preserve">G4 12V Bi-pin 30K </t>
  </si>
  <si>
    <t>78mm J-Type Small 30K</t>
  </si>
  <si>
    <t>78mm J-Type Small 40K</t>
  </si>
  <si>
    <t>78mm J-Type 30K</t>
  </si>
  <si>
    <t>78mm J-Type41K</t>
  </si>
  <si>
    <t>118mm J-Type 30K</t>
  </si>
  <si>
    <t>118mm J-Type 40K</t>
  </si>
  <si>
    <t>CL-TBBG-15-5CCT - 601</t>
  </si>
  <si>
    <t>CL-TBWB-15-5CCT - 602</t>
  </si>
  <si>
    <t>CL-TBWG-15-5CCT - 603</t>
  </si>
  <si>
    <t>https://www.cnalighting.com/wp-content/uploads/2026/03/601-CNA-CL-TBBG-15-5CCT-600x600-1.png</t>
  </si>
  <si>
    <t>https://www.cnalighting.com/wp-content/uploads/2026/03/602-CNA-CL-TBWB-15-5CCT-600x600-1.png</t>
  </si>
  <si>
    <t>https://www.cnalighting.com/wp-content/uploads/2026/03/603-CNA-CL-TBWG-15-5CCT-600x600-1.png</t>
  </si>
  <si>
    <t>2001 lm</t>
  </si>
  <si>
    <t>2002 lm</t>
  </si>
  <si>
    <t>71.4 lm/W</t>
  </si>
  <si>
    <t>5CCT - 2700K / 3000K / 4000K / 5000K / 6500K</t>
  </si>
  <si>
    <t>378 mm</t>
  </si>
  <si>
    <t>15"</t>
  </si>
  <si>
    <t>378 mm / 15"</t>
  </si>
  <si>
    <t>74 mm</t>
  </si>
  <si>
    <t>2-7/8"</t>
  </si>
  <si>
    <t>Gold Black</t>
  </si>
  <si>
    <t>Black White</t>
  </si>
  <si>
    <t>Gold White</t>
  </si>
  <si>
    <t>LED 3W MR11 - 1116</t>
  </si>
  <si>
    <t>LED5WPar20-5CCT - 1217</t>
  </si>
  <si>
    <t>LED9WPar30L-5CCT - 1218</t>
  </si>
  <si>
    <t>LED9WPar30S-5CCT 1219</t>
  </si>
  <si>
    <t>4" Eyeball - 3CCT - WH</t>
  </si>
  <si>
    <t>RG-4-5CCT-WH (Colour Selectable) - 1125</t>
  </si>
  <si>
    <t>DGIM-4-5CCT-BK (Colour Selectable) - 1155</t>
  </si>
  <si>
    <t>DGIM-4-5CCT-WH (Colour Selectable) - 1154</t>
  </si>
  <si>
    <t>RG-4-30K-WH - 1102</t>
  </si>
  <si>
    <t>TL4-5CCT-BK 12W - 1141 (Colour Selectable)</t>
  </si>
  <si>
    <t>RIP-35   -  3.5" Rough-In Plate - 1079</t>
  </si>
  <si>
    <t>MainCategory</t>
  </si>
  <si>
    <t>SubCategory1</t>
  </si>
  <si>
    <t>SubCategory2</t>
  </si>
  <si>
    <t>category</t>
  </si>
  <si>
    <t>menu_order</t>
  </si>
  <si>
    <t>SKU:sku</t>
  </si>
  <si>
    <t>Price: regular_price</t>
  </si>
  <si>
    <t>post_title</t>
  </si>
  <si>
    <t>post_content</t>
  </si>
  <si>
    <t>Images/Gallery</t>
  </si>
  <si>
    <t>product_type</t>
  </si>
  <si>
    <t>product_visibility</t>
  </si>
  <si>
    <t>Inventory: stock</t>
  </si>
  <si>
    <t>LED9WA19-5CCT - 1216</t>
  </si>
  <si>
    <t>LED20WA21-EC 40K - 1161</t>
  </si>
  <si>
    <t>LED4.5WG9-DIM 30K - 1179</t>
  </si>
  <si>
    <t>LED4.5WG9-DIM 40K - 1180</t>
  </si>
  <si>
    <t xml:space="preserve">LED 6.5W Par16 4000K - 861 </t>
  </si>
  <si>
    <t>LED 6.5W Par16 4000K - 861</t>
  </si>
  <si>
    <t>DP4-5CCT - 5CCT - 1100</t>
  </si>
  <si>
    <t>DP4-FR-5CCT - 1123</t>
  </si>
  <si>
    <t>DP6-30K - 1099</t>
  </si>
  <si>
    <t>DP6-FR-5CCT 1124</t>
  </si>
  <si>
    <t>DGIM-4-5CCT-BK - 1155</t>
  </si>
  <si>
    <t>DGIM-4-5CCT-WH - 1154</t>
  </si>
  <si>
    <t>RG-4-5CCT-WH - 1125</t>
  </si>
  <si>
    <t>TL4-5CCT-WH-9W - 608</t>
  </si>
  <si>
    <t>TL4-5CCT-BK-12W - 1141</t>
  </si>
  <si>
    <t>TL4-5CCT-WH-12W - 1140</t>
  </si>
  <si>
    <t>RIP-35 - 1079</t>
  </si>
  <si>
    <t>LED7WRT4-5CCT - 1106</t>
  </si>
  <si>
    <t>LED11WT8-CM 35K - 1209</t>
  </si>
  <si>
    <t>LED11WT8-CM 40K - 1210</t>
  </si>
  <si>
    <t>LED11WT8-CM 50K - 1211</t>
  </si>
  <si>
    <t>LED14WT8-HY 40K - 1014</t>
  </si>
  <si>
    <t>LED14WT8-HY 50K - 1015</t>
  </si>
  <si>
    <t>LED14WT8-347V 40K - 1073</t>
  </si>
  <si>
    <t>LED25WT5 840 COMP - 943</t>
  </si>
  <si>
    <t>LED25WT5 850 COMP - 955</t>
  </si>
  <si>
    <t>RL-COB-6LE - 1145</t>
  </si>
  <si>
    <t>RL-COB-12EX - 1146</t>
  </si>
  <si>
    <t>RL-COB-RWC - 1144</t>
  </si>
  <si>
    <t>RL-COB-20FTWires - 1147</t>
  </si>
  <si>
    <t>RL-COB-IC - 1143</t>
  </si>
  <si>
    <t>RL-COB-LC - 1142</t>
  </si>
  <si>
    <t>RL-COB-TC - 1139</t>
  </si>
  <si>
    <t>PS120W-ETL-DIM - 1135</t>
  </si>
  <si>
    <t>PS40W-24V - 1148</t>
  </si>
  <si>
    <t>PS60W-24V - 1149</t>
  </si>
  <si>
    <t>PS80W-24V - 1150</t>
  </si>
  <si>
    <t>PS100W-24V - 1151</t>
  </si>
  <si>
    <t>PS150W-24V - 1152</t>
  </si>
  <si>
    <t>PS100W-MC-24V - 1103</t>
  </si>
  <si>
    <t>TP-FL30-G3T-R5 - 988</t>
  </si>
  <si>
    <t>TP-FL30-G3T-R5 - 988 - CLEARANCE - LED Flood 30W - Yoke / Trunnion Mount</t>
  </si>
  <si>
    <t>WP145W50KBZ-347V - 895</t>
  </si>
  <si>
    <t>IGLOO MR16 50W EXN+C - 412</t>
  </si>
  <si>
    <t>DAYLIGHT MR16 50W EXN+C  - 459</t>
  </si>
  <si>
    <t>DAYLIGHT MR16 50W EXZ+C - 460</t>
  </si>
  <si>
    <t>https://www.cnalighting.com/wp-content/uploads/2026/03/CNA-Halogen-J-Type-Horizontal-600x600-1.png</t>
  </si>
  <si>
    <t>https://www.cnalighting.com/wp-content/uploads/2012/07/ep-9w_par20.jpg</t>
  </si>
  <si>
    <t>https://www.cnalighting.com/wp-content/uploads/2012/07/ep-15w_par30l.jpg</t>
  </si>
  <si>
    <t>https://www.cnalighting.com/wp-content/uploads/2026/03/CNA-Halogen-JCD-G8-Photo-500x500-1.png</t>
  </si>
  <si>
    <t>https://www.cnalighting.com/wp-content/uploads/2019/06/CNA-SL-SERIES-LED-Step-Lights-Spec-Sheet.pdf</t>
  </si>
  <si>
    <t>https://www.cnalighting.com/wp-content/uploads/2023/01/CNA-Lighting-PS72W-PLUG-LED-Driver-Spec-Sheet.pdf</t>
  </si>
  <si>
    <t>https://www.cnalighting.com/wp-content/uploads/2019/01/CNA-LED-Flood-TP-FL30-G3T-R5.pdf</t>
  </si>
  <si>
    <t>https://www.cnalighting.com/wp-content/uploads/2016/12/CNA-LED-Wall-Pack-145W-347V-5000K-Spec-Sheet.pdf</t>
  </si>
  <si>
    <t>https://www.cnalighting.com/wp-content/uploads/2025/10/1031-CNA-LED12WPar38-5CCT-Spec-Sheet.pdf</t>
  </si>
  <si>
    <t>https://www.cnalighting.com/wp-content/uploads/2025/10/1031-CNA-LED12WPar38-5CCT-575x574-02.png</t>
  </si>
  <si>
    <t>https://www.cnalighting.com/wp-content/uploads/2026/03/1137-CNA-LED3.5WT25-ML-30K-344x344-1.png</t>
  </si>
  <si>
    <t>https://www.cnalighting.com/wp-content/uploads/2026/04/1137-CNA-LED3.5WT25-ML-30K-Spec-Sheet-01.pdf</t>
  </si>
  <si>
    <t>109 mm (4-1/4")</t>
  </si>
  <si>
    <t>109 mm</t>
  </si>
  <si>
    <t>4-5/16"</t>
  </si>
  <si>
    <t>110 mm</t>
  </si>
  <si>
    <t>100 mm (4-5/16")</t>
  </si>
  <si>
    <t>112 mm</t>
  </si>
  <si>
    <t>112 mm (4-7/16")</t>
  </si>
  <si>
    <t>4-7/16"</t>
  </si>
  <si>
    <t>138 mm (5-7/16")</t>
  </si>
  <si>
    <t>138 mm</t>
  </si>
  <si>
    <t>5-7-16"</t>
  </si>
  <si>
    <t>76 mm</t>
  </si>
  <si>
    <t>76 mm (3")</t>
  </si>
  <si>
    <t>49.5 mm ( 1-15/16")</t>
  </si>
  <si>
    <t>17.5 mm (11/16")</t>
  </si>
  <si>
    <t>33 mm (1-5/16")</t>
  </si>
  <si>
    <t>126 mm (4-15/16")126 mm</t>
  </si>
  <si>
    <t>126 mm</t>
  </si>
  <si>
    <t>2-6/8"</t>
  </si>
  <si>
    <t>70 mm (2-6/8")</t>
  </si>
  <si>
    <t>54 mm (2-1/8")</t>
  </si>
  <si>
    <t xml:space="preserve">93 mm </t>
  </si>
  <si>
    <t>37 mm (1-7/16"</t>
  </si>
  <si>
    <t>48.2 mm (1-7/8" )</t>
  </si>
  <si>
    <t>57 mm (2-1/4")</t>
  </si>
  <si>
    <t>72 mm (2-13/16")</t>
  </si>
  <si>
    <t>116 mm (4-9/16")</t>
  </si>
  <si>
    <t>93 mm (3-11/16")</t>
  </si>
  <si>
    <t>131 mm (5-3/16")</t>
  </si>
  <si>
    <t>127.5 mm (5-1/32")</t>
  </si>
  <si>
    <t>15 mm (19/32")</t>
  </si>
  <si>
    <t>49 mm (1-15/16")</t>
  </si>
  <si>
    <t>10 mm (3/8")</t>
  </si>
  <si>
    <t>Model</t>
  </si>
  <si>
    <t>159 mm (6-1/4")</t>
  </si>
  <si>
    <t>159 mm</t>
  </si>
  <si>
    <t>Inside Diameter</t>
  </si>
  <si>
    <t>Outside Diameter</t>
  </si>
  <si>
    <t>72 lm/W</t>
  </si>
  <si>
    <t>cULus, Type IC</t>
  </si>
  <si>
    <t>Wet Location, Type IC, Airtight</t>
  </si>
  <si>
    <t>124 mm</t>
  </si>
  <si>
    <t>24 mm</t>
  </si>
  <si>
    <t>15/16"</t>
  </si>
  <si>
    <t>24 mm (15/16")</t>
  </si>
  <si>
    <t>124 mm (4-7/8")</t>
  </si>
  <si>
    <t>Driver Dimensions (mm)</t>
  </si>
  <si>
    <t>DriverDimensions (Inches)</t>
  </si>
  <si>
    <t>4-5/8” L x 3-9/16” W x 1-2/8” H</t>
  </si>
  <si>
    <t>92 mm L x 91 mm W x 33 mm H</t>
  </si>
  <si>
    <t>4.5" Diameter</t>
  </si>
  <si>
    <t>3-5/8” L x 3-7/8” W x 1-5/16’ H</t>
  </si>
  <si>
    <t>cETLus, 2-Hour Fire-Rated, Wet Location, Type IC, Airtight</t>
  </si>
  <si>
    <t>2-HR Fire Rating Compliance</t>
  </si>
  <si>
    <t>UL 263, ASTM E119, CAN ULC S101</t>
  </si>
  <si>
    <t>Outer Carton Qty</t>
  </si>
  <si>
    <t>Inner Carton Qty</t>
  </si>
  <si>
    <t>T25 - Milky / Opaque</t>
  </si>
  <si>
    <t>4.3"</t>
  </si>
  <si>
    <t>1.8"</t>
  </si>
  <si>
    <t>3FT Spacing</t>
  </si>
  <si>
    <t>15 meters</t>
  </si>
  <si>
    <t>48 Feet</t>
  </si>
  <si>
    <t>Max 36 Sets</t>
  </si>
  <si>
    <t>IP65 Indoor / Outdoor</t>
  </si>
  <si>
    <t>LED7WBR30-5CCT - 1121</t>
  </si>
  <si>
    <t>75W Incandescent</t>
  </si>
  <si>
    <t>3-3/4"</t>
  </si>
  <si>
    <t>95 mm (3-3/4")</t>
  </si>
  <si>
    <t>120 mm (4-3/4")</t>
  </si>
  <si>
    <t>63 mm (2..5")</t>
  </si>
  <si>
    <t>Height</t>
  </si>
  <si>
    <t>Length</t>
  </si>
  <si>
    <t>Diameter</t>
  </si>
  <si>
    <t>Spec Sheet Link</t>
  </si>
  <si>
    <t>L70 Rated Life (Hrs)</t>
  </si>
  <si>
    <t>https://www.cnalighting.com/wp-content/uploads/2026/04/601-602-603-CNA-Helen-Flushmount-CL-TBXX-15-5CCT-Spec-Sheet.pdf</t>
  </si>
  <si>
    <t>850 lm</t>
  </si>
  <si>
    <t>94.4 lm/W</t>
  </si>
  <si>
    <t>92.9 lm/W</t>
  </si>
  <si>
    <t>90°</t>
  </si>
  <si>
    <t>-30°C to 40°C</t>
  </si>
  <si>
    <t>Damp Location, Type IC Rated</t>
  </si>
  <si>
    <t>Wet Location, Type IC Rated</t>
  </si>
  <si>
    <t>cuL Classified</t>
  </si>
  <si>
    <t>Yes 0-10V Dimming - down to 5%</t>
  </si>
  <si>
    <t>128 mm (5-3/64")</t>
  </si>
  <si>
    <t>210 mm (8-1/4")</t>
  </si>
  <si>
    <t>185 mm</t>
  </si>
  <si>
    <t>185 mm (7-5/16")</t>
  </si>
  <si>
    <t>7-5/16"</t>
  </si>
  <si>
    <t>1-1/2"</t>
  </si>
  <si>
    <t>Hardwpre</t>
  </si>
  <si>
    <t>83.8 - 100 lm/W</t>
  </si>
  <si>
    <t>755 lm @ 3000K;  880 lm @ 4000K; 900 lm @ 5000K</t>
  </si>
  <si>
    <t>11" Mushroom 5CCT</t>
  </si>
  <si>
    <t>CL-11-5CCT - 1205</t>
  </si>
  <si>
    <t>https://www.cnalighting.com/wp-content/uploads/2026/04/1205-CNA-LED-CL-11-5CCT-Spec-Sheet-2026.pdf</t>
  </si>
  <si>
    <t>https://www.cnalighting.com/wp-content/uploads/2026/04/1205-CNA-CL-11-5CCT-600x600-1.png</t>
  </si>
  <si>
    <t>3-5/6"</t>
  </si>
  <si>
    <t>11"</t>
  </si>
  <si>
    <t>LED6.5WMR16-ED 30K - 1193</t>
  </si>
  <si>
    <t>76.9 llm/W</t>
  </si>
  <si>
    <t>2 years</t>
  </si>
  <si>
    <t>1-15/16"   / 50 mm</t>
  </si>
  <si>
    <t xml:space="preserve">1-15/16" </t>
  </si>
  <si>
    <t xml:space="preserve">MR16 30K </t>
  </si>
  <si>
    <t>LED6.5WMR16-ED 27K- 858</t>
  </si>
  <si>
    <t>https://www.cnalighting.com/wp-content/uploads/2026/05/858-CNA-LED6.5WMR16-ED-27K-222x222-Copy.png</t>
  </si>
  <si>
    <t>https://www.cnalighting.com/wp-content/uploads/2026/05/1193-CNA-LED6.5WMR16-ED-30K-222x222-1.png</t>
  </si>
  <si>
    <t>https://www.cnalighting.com/wp-content/uploads/2026/05/858-CNA-LED6.5WMR16-ED-27K-Spec-Sheet-2.pdf</t>
  </si>
  <si>
    <t>https://www.cnalighting.com/wp-content/uploads/2026/05/1193-CNA-LED6.5WMR16-ED-30K-Spec-Sheet-2.pdf</t>
  </si>
  <si>
    <t>https://www.cnalighting.com/wp-content/uploads/2026/05/1192-CNA-LED9WA19-ED-30K-600x600-1.png</t>
  </si>
  <si>
    <t>https://www.cnalighting.com/wp-content/uploads/2026/05/1192-CNA-LED9WA19-ED-30K-Spec-Sheet.pdf</t>
  </si>
  <si>
    <t>Spec Sheet Link Text</t>
  </si>
  <si>
    <t>J-Type Linear</t>
  </si>
  <si>
    <t>LED 5.5W ST19-X 22K - 1166 (Coming Soon)</t>
  </si>
  <si>
    <t>A-Type</t>
  </si>
  <si>
    <t>Candle</t>
  </si>
  <si>
    <t>Globe</t>
  </si>
  <si>
    <t>Vintage</t>
  </si>
  <si>
    <t>T-Type</t>
  </si>
  <si>
    <t>Miniature</t>
  </si>
  <si>
    <t>G10</t>
  </si>
  <si>
    <t>G11</t>
  </si>
  <si>
    <t>G12</t>
  </si>
  <si>
    <t>PAR</t>
  </si>
  <si>
    <t>BR</t>
  </si>
  <si>
    <t>Panels</t>
  </si>
  <si>
    <t>Gimbal</t>
  </si>
  <si>
    <t>Eyeball</t>
  </si>
  <si>
    <t>Retrofit</t>
  </si>
  <si>
    <t>Accessories</t>
  </si>
  <si>
    <t>Disks</t>
  </si>
  <si>
    <t>2-Ring</t>
  </si>
  <si>
    <t>12" 2-Ring - Brushed Nickel</t>
  </si>
  <si>
    <t>12" 2-Ring - Black</t>
  </si>
  <si>
    <t>16" 2-Ring - Brushed Nickel</t>
  </si>
  <si>
    <t>16" 2-Ring - Black</t>
  </si>
  <si>
    <t>Helen</t>
  </si>
  <si>
    <t>Mushroom</t>
  </si>
  <si>
    <t>Sensor</t>
  </si>
  <si>
    <t>12" DS Series - Black</t>
  </si>
  <si>
    <t>15" DS Series - White</t>
  </si>
  <si>
    <t>15" DS Series - Black</t>
  </si>
  <si>
    <t>5" DSK Series - White</t>
  </si>
  <si>
    <t>7" DSK Series - Black</t>
  </si>
  <si>
    <t>7" DSK Series - White</t>
  </si>
  <si>
    <t>9" DSK Series - Black</t>
  </si>
  <si>
    <t>9" DSK Series - White</t>
  </si>
  <si>
    <t>12" DSK Series - Black</t>
  </si>
  <si>
    <t>12" DSK Series - White</t>
  </si>
  <si>
    <t>15" DSK Series - White</t>
  </si>
  <si>
    <t>19" DSK Series - White</t>
  </si>
  <si>
    <t>4" Square DSQ Series</t>
  </si>
  <si>
    <t>6" Square DSQ Series</t>
  </si>
  <si>
    <t>Square</t>
  </si>
  <si>
    <t>4" DPS Series - 5CCT</t>
  </si>
  <si>
    <t>4" DPM Series - 5CCT</t>
  </si>
  <si>
    <t>15" Helen Series (Gold Black)</t>
  </si>
  <si>
    <t>15" Helen Series (Gold White)</t>
  </si>
  <si>
    <t>15" Helen Series (Black White)</t>
  </si>
  <si>
    <t>DPS-4 Trim - Black</t>
  </si>
  <si>
    <t>DPS-4 Trim - Brushed Nickel</t>
  </si>
  <si>
    <t>DPS-4 Retrofit Accessory</t>
  </si>
  <si>
    <t>DPM-4 Trim - Black</t>
  </si>
  <si>
    <t>DPM-4 Trim - Brushed Nickel</t>
  </si>
  <si>
    <t>9" 5CCT Motion PhotoPIR Disk</t>
  </si>
  <si>
    <t>Bulbs</t>
  </si>
  <si>
    <t>Recessed</t>
  </si>
  <si>
    <t>Flush Mounts</t>
  </si>
  <si>
    <t>Under Cabinet</t>
  </si>
  <si>
    <t>Pucks</t>
  </si>
  <si>
    <t>Linear</t>
  </si>
  <si>
    <t>T5Bar Series 5CCT - 36"</t>
  </si>
  <si>
    <t>T5Bar Series 5CCT - 24"</t>
  </si>
  <si>
    <t>T5Bar Series 5CCT - 11"</t>
  </si>
  <si>
    <t>T5DL Series - 3FT</t>
  </si>
  <si>
    <t>LS Series - 1FT</t>
  </si>
  <si>
    <t>LS Series - 2FT</t>
  </si>
  <si>
    <t>T5DL Series - 4FT</t>
  </si>
  <si>
    <t>T5DL Series - Link Cable - 1M</t>
  </si>
  <si>
    <t>T5DL Series - Junction Box</t>
  </si>
  <si>
    <t>T5DL Series- Plug - 2M</t>
  </si>
  <si>
    <t>LSH Series - Plug - 2M</t>
  </si>
  <si>
    <t>LS Series - Link Cable - 6-Inch</t>
  </si>
  <si>
    <t>LS Series - Link Cable - 12-Inch</t>
  </si>
  <si>
    <t xml:space="preserve">T5Bar - JBox </t>
  </si>
  <si>
    <t>T5Bar Series -  5CCT - 48"</t>
  </si>
  <si>
    <t>Puck Surface Mount TRIM - Black</t>
  </si>
  <si>
    <t>Puck Surface Mount TRIM - Satin Nickel</t>
  </si>
  <si>
    <t>Puck Surface Mount TRIM - White</t>
  </si>
  <si>
    <t>Puck Light - 3CCT - Black</t>
  </si>
  <si>
    <t>Puck Light - 3CCT - Satin Nickel</t>
  </si>
  <si>
    <t>Puck Light - 3CCT - White</t>
  </si>
  <si>
    <t>Puck Light 30K</t>
  </si>
  <si>
    <t>Puck Light 30K Surface Mount Ring</t>
  </si>
  <si>
    <t>Panel</t>
  </si>
  <si>
    <t>Ribbon &amp; Accessories</t>
  </si>
  <si>
    <t>24V Ribbon 30K Reel</t>
  </si>
  <si>
    <t>24V Ribbon 40K Reel</t>
  </si>
  <si>
    <t>120V Step Light - Black</t>
  </si>
  <si>
    <t>120V Step Light - Brushed Nickel</t>
  </si>
  <si>
    <t>120V Step Light - White</t>
  </si>
  <si>
    <t>S14 String Lights</t>
  </si>
  <si>
    <t>PL &amp; PLC</t>
  </si>
  <si>
    <t xml:space="preserve">PLC 13W 4-PIN </t>
  </si>
  <si>
    <t xml:space="preserve">PLC 26W 32W 42W 4-PIN </t>
  </si>
  <si>
    <t>Tubes</t>
  </si>
  <si>
    <t>T8 Compatible (Type A)</t>
  </si>
  <si>
    <t>T8 Ballast Bypass 347V (Type B)</t>
  </si>
  <si>
    <t>T5 Compatible (Type A)</t>
  </si>
  <si>
    <t>T8 Hybrid (Type A &amp; Type B)</t>
  </si>
  <si>
    <t>Strip Light 120V-347V</t>
  </si>
  <si>
    <t>6" Recessed Downlight - Field Adjustable</t>
  </si>
  <si>
    <t>Flood Light - Trunion</t>
  </si>
  <si>
    <t>Wall Pack</t>
  </si>
  <si>
    <t>Halogen</t>
  </si>
  <si>
    <t>Emergency Lights</t>
  </si>
  <si>
    <t>Emergency &amp; EXIT</t>
  </si>
  <si>
    <t>EXIT Lights</t>
  </si>
  <si>
    <t>Fluorescent Tubes</t>
  </si>
  <si>
    <t>Mini Step Lights</t>
  </si>
  <si>
    <t xml:space="preserve">PL 13W 2-PIN </t>
  </si>
  <si>
    <t>PLC 26W 32W 42W 4-PIN</t>
  </si>
  <si>
    <t>12W Dimmable LED Driver</t>
  </si>
  <si>
    <t>18W Dimmable LED Driver</t>
  </si>
  <si>
    <t>36W Dimmable LED Driver</t>
  </si>
  <si>
    <t>54W Dimmable LED Driver</t>
  </si>
  <si>
    <t>84W Dimmable LED Driver</t>
  </si>
  <si>
    <t>120W Dimmable LED Driver</t>
  </si>
  <si>
    <t>18W Metal JBox Dimmable LED Driver</t>
  </si>
  <si>
    <t>40W Metal JBox Dimmable LED Driver</t>
  </si>
  <si>
    <t>100W LED Driver</t>
  </si>
  <si>
    <t>102W Metal Chassis LED Driver</t>
  </si>
  <si>
    <t>150W Metal Chassis LED Driver</t>
  </si>
  <si>
    <t>36W LED Driver - Plug</t>
  </si>
  <si>
    <t>72W LED Driver - Plug</t>
  </si>
  <si>
    <t>38.4W Dimmable LED Driver</t>
  </si>
  <si>
    <t xml:space="preserve"> 60W Dimmable LED Driver</t>
  </si>
  <si>
    <t>79W Dimmable LED Driver</t>
  </si>
  <si>
    <t>100.8W Dimmable LED Driver</t>
  </si>
  <si>
    <t>150W Dimmable LED Driver</t>
  </si>
  <si>
    <t>108W LED Driver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</si>
</sst>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Montserrat"/>
    </font>
    <font>
      <sz val="11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49" fontId="0" fillId="0" borderId="0" xfId="0" applyNumberFormat="1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49" fontId="2" fillId="0" borderId="0" xfId="0" applyNumberFormat="1" applyFont="1"/>
    <xf numFmtId="0" fontId="2" fillId="0" borderId="0" xfId="0" applyFont="1" applyAlignment="1">
      <alignment horizontal="right"/>
    </xf>
    <xf numFmtId="164" fontId="0" fillId="0" borderId="0" xfId="0" applyNumberFormat="1" applyAlignment="1">
      <alignment horizontal="center"/>
    </xf>
    <xf numFmtId="164" fontId="2" fillId="0" borderId="0" xfId="0" applyNumberFormat="1" applyFont="1" applyAlignment="1">
      <alignment horizontal="center"/>
    </xf>
    <xf numFmtId="0" fontId="4" fillId="0" borderId="0" xfId="0" applyFont="1"/>
    <xf numFmtId="0" fontId="5" fillId="0" borderId="0" xfId="2" applyFont="1"/>
    <xf numFmtId="0" fontId="3" fillId="0" borderId="0" xfId="2"/>
    <xf numFmtId="0" fontId="6" fillId="0" borderId="0" xfId="2" applyFont="1"/>
  </cellXfs>
  <cellStyles count="3">
    <cellStyle name="Hyperlink" xfId="2" builtinId="8"/>
    <cellStyle name="Hyperlink 2" xfId="1" xr:uid="{D36361AB-70BF-4984-8BC1-0A64C411D3F6}"/>
    <cellStyle name="Normal" xfId="0" builtinId="0"/>
  </cellStyles>
  <dxfs count="7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30" formatCode="@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$&quot;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</dxf>
    <dxf>
      <font>
        <b/>
      </font>
    </dxf>
    <dxf>
      <font>
        <b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391924E-6F7D-4357-908A-95809337FA5A}" autoFormatId="16" applyNumberFormats="0" applyBorderFormats="0" applyFontFormats="0" applyPatternFormats="0" applyAlignmentFormats="0" applyWidthHeightFormats="0">
  <queryTableRefresh nextId="113">
    <queryTableFields count="88">
      <queryTableField id="1" name="Categories" tableColumnId="1"/>
      <queryTableField id="81" dataBound="0" tableColumnId="75"/>
      <queryTableField id="83" dataBound="0" tableColumnId="77"/>
      <queryTableField id="100" dataBound="0" tableColumnId="86"/>
      <queryTableField id="82" dataBound="0" tableColumnId="76"/>
      <queryTableField id="103" dataBound="0" tableColumnId="87"/>
      <queryTableField id="2" name="SKU" tableColumnId="2"/>
      <queryTableField id="85" dataBound="0" tableColumnId="78"/>
      <queryTableField id="3" name="Name" tableColumnId="3"/>
      <queryTableField id="6" name="Description" tableColumnId="6"/>
      <queryTableField id="4" name="Images" tableColumnId="4"/>
      <queryTableField id="5" name="Spec Sheet" tableColumnId="5"/>
      <queryTableField id="112" dataBound="0" tableColumnId="35"/>
      <queryTableField id="7" name="Type" tableColumnId="7"/>
      <queryTableField id="8" name="Published" tableColumnId="8"/>
      <queryTableField id="9" name="In stock?" tableColumnId="9"/>
      <queryTableField id="10" name="Wattage (W)" tableColumnId="10"/>
      <queryTableField id="11" name="Voltage (V)" tableColumnId="11"/>
      <queryTableField id="12" name="Lumens (lm)" tableColumnId="12"/>
      <queryTableField id="13" name="Efficiency" tableColumnId="13"/>
      <queryTableField id="14" name="Life (Hrs)" tableColumnId="14"/>
      <queryTableField id="15" name="Bulb Equivalent" tableColumnId="15"/>
      <queryTableField id="16" name="Base" tableColumnId="16"/>
      <queryTableField id="17" name="Colour Temperature" tableColumnId="17"/>
      <queryTableField id="18" name="Beam Angle" tableColumnId="18"/>
      <queryTableField id="19" name="CRI" tableColumnId="19"/>
      <queryTableField id="20" name="Dimmable" tableColumnId="20"/>
      <queryTableField id="21" name="Operating Temperature" tableColumnId="21"/>
      <queryTableField id="22" name="Environmental Rating" tableColumnId="22"/>
      <queryTableField id="23" name="Certifications" tableColumnId="23"/>
      <queryTableField id="109" dataBound="0" tableColumnId="93"/>
      <queryTableField id="25" name="Nominal Length" tableColumnId="25"/>
      <queryTableField id="26" name="Length (mm)" tableColumnId="26"/>
      <queryTableField id="27" name="Length (inches)" tableColumnId="27"/>
      <queryTableField id="28" name="Length (raw)" tableColumnId="28"/>
      <queryTableField id="69" dataBound="0" tableColumnId="66"/>
      <queryTableField id="68" dataBound="0" tableColumnId="67"/>
      <queryTableField id="102" dataBound="0" tableColumnId="24"/>
      <queryTableField id="67" dataBound="0" tableColumnId="68"/>
      <queryTableField id="66" dataBound="0" tableColumnId="69"/>
      <queryTableField id="29" name="Diameter (mm)" tableColumnId="29"/>
      <queryTableField id="30" name="Diameter (inches)" tableColumnId="30"/>
      <queryTableField id="31" name="Diameter (raw)" tableColumnId="31"/>
      <queryTableField id="32" name="Weight (g)" tableColumnId="32"/>
      <queryTableField id="33" name="Weight (lbs)" tableColumnId="33"/>
      <queryTableField id="104" dataBound="0" tableColumnId="88"/>
      <queryTableField id="105" dataBound="0" tableColumnId="89"/>
      <queryTableField id="37" name="Shape" tableColumnId="37"/>
      <queryTableField id="38" name="Warranty" tableColumnId="38"/>
      <queryTableField id="110" dataBound="0" tableColumnId="94"/>
      <queryTableField id="111" dataBound="0" tableColumnId="95"/>
      <queryTableField id="86" dataBound="0" tableColumnId="79"/>
      <queryTableField id="87" dataBound="0" tableColumnId="80"/>
      <queryTableField id="88" dataBound="0" tableColumnId="81"/>
      <queryTableField id="89" dataBound="0" tableColumnId="82"/>
      <queryTableField id="90" dataBound="0" tableColumnId="83"/>
      <queryTableField id="34" name="Weight (raw)" tableColumnId="34"/>
      <queryTableField id="78" dataBound="0" tableColumnId="72"/>
      <queryTableField id="77" dataBound="0" tableColumnId="73"/>
      <queryTableField id="76" dataBound="0" tableColumnId="74"/>
      <queryTableField id="91" dataBound="0" tableColumnId="84"/>
      <queryTableField id="92" dataBound="0" tableColumnId="85"/>
      <queryTableField id="106" dataBound="0" tableColumnId="90"/>
      <queryTableField id="107" dataBound="0" tableColumnId="91"/>
      <queryTableField id="108" dataBound="0" tableColumnId="92"/>
      <queryTableField id="39" name="Dimmer Compatibility" tableColumnId="39"/>
      <queryTableField id="40" name="Finish" tableColumnId="40"/>
      <queryTableField id="41" name="Direct Replacement For" tableColumnId="41"/>
      <queryTableField id="42" name="Use" tableColumnId="42"/>
      <queryTableField id="71" dataBound="0" tableColumnId="71"/>
      <queryTableField id="46" name="Diffuser Type" tableColumnId="46"/>
      <queryTableField id="47" name="Diffuser Material" tableColumnId="47"/>
      <queryTableField id="48" name="Optional Accessory" tableColumnId="48"/>
      <queryTableField id="70" dataBound="0" tableColumnId="70"/>
      <queryTableField id="51" name="Flange Dimensions" tableColumnId="51"/>
      <queryTableField id="52" name="Recess Dimensions" tableColumnId="52"/>
      <queryTableField id="53" name="Rib-reinforced" tableColumnId="53"/>
      <queryTableField id="54" name="PIR Sensor" tableColumnId="54"/>
      <queryTableField id="55" name="Auto Shut-off" tableColumnId="55"/>
      <queryTableField id="56" name="Waterproofing" tableColumnId="56"/>
      <queryTableField id="57" name="LED Quantity" tableColumnId="57"/>
      <queryTableField id="58" name="LED Type" tableColumnId="58"/>
      <queryTableField id="59" name="Input Voltage (VAC)" tableColumnId="59"/>
      <queryTableField id="60" name="Current Draw" tableColumnId="60"/>
      <queryTableField id="61" name="Output Voltage (VDC)" tableColumnId="61"/>
      <queryTableField id="62" name="Dimensions (without tabs)" tableColumnId="62"/>
      <queryTableField id="63" name="Maximum Linkable Length" tableColumnId="63"/>
      <queryTableField id="65" name="Classification Type" tableColumnId="65"/>
    </queryTableFields>
    <queryTableDeletedFields count="9">
      <deletedField name="Energy Star"/>
      <deletedField name="Inside diameter"/>
      <deletedField name="Outside diameter"/>
      <deletedField name="Hole Size Cutout"/>
      <deletedField name="Inner Carton Quantity"/>
      <deletedField name="Master Carton Quantity"/>
      <deletedField name="Total Harmonic Distortion (THD)"/>
      <deletedField name="Power Factor"/>
      <deletedField name="THD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CD9889-9513-4253-8118-D154059ADD75}" name="cna_product_database_catalog_website" displayName="cna_product_database_catalog_website" ref="A1:CJ343" tableType="queryTable" totalsRowShown="0">
  <autoFilter ref="A1:CJ343" xr:uid="{50CD9889-9513-4253-8118-D154059ADD75}"/>
  <sortState xmlns:xlrd2="http://schemas.microsoft.com/office/spreadsheetml/2017/richdata2" ref="A2:CJ343">
    <sortCondition ref="E1:E343"/>
  </sortState>
  <tableColumns count="88">
    <tableColumn id="1" xr3:uid="{7A69ADF3-185F-46D1-BF36-75AC0C04ABC5}" uniqueName="1" name="MainCategory" queryTableFieldId="1" dataDxfId="72"/>
    <tableColumn id="75" xr3:uid="{E53947B4-F6B8-4C39-B179-21EAA64AC0AF}" uniqueName="75" name="SubCategory1" queryTableFieldId="81" dataDxfId="71"/>
    <tableColumn id="77" xr3:uid="{2DB37C3C-9D53-44B3-B566-C976F3A1CE15}" uniqueName="77" name="SubCategory2" queryTableFieldId="83" dataDxfId="70"/>
    <tableColumn id="86" xr3:uid="{16236DAB-6C48-4607-B3DE-04FFBB231326}" uniqueName="86" name="category" queryTableFieldId="100" dataDxfId="69">
      <calculatedColumnFormula>cna_product_database_catalog_website[[#This Row],[MainCategory]]&amp;"&gt;"&amp;cna_product_database_catalog_website[[#This Row],[SubCategory1]]&amp;"&gt;"&amp;cna_product_database_catalog_website[[#This Row],[SubCategory2]]</calculatedColumnFormula>
    </tableColumn>
    <tableColumn id="76" xr3:uid="{15022DB2-A741-4DAF-9D38-40CE450E063F}" uniqueName="76" name="menu_order" queryTableFieldId="82"/>
    <tableColumn id="87" xr3:uid="{354BE86F-FFEB-43B3-8C23-74E41F905827}" uniqueName="87" name="Model" queryTableFieldId="103"/>
    <tableColumn id="2" xr3:uid="{995B0C64-73A9-48C8-8946-6B0E1FBBCC8B}" uniqueName="2" name="SKU:sku" queryTableFieldId="2" dataDxfId="68"/>
    <tableColumn id="78" xr3:uid="{EDF22961-88A1-40EF-B857-86995F799893}" uniqueName="78" name="Price: regular_price" queryTableFieldId="85" dataDxfId="67"/>
    <tableColumn id="3" xr3:uid="{6CEDBB99-A8F7-4E04-8382-9D98486C0A7B}" uniqueName="3" name="post_title" queryTableFieldId="3" dataDxfId="66"/>
    <tableColumn id="6" xr3:uid="{9A6C349C-BC35-4AC0-AE36-7010E32EAF85}" uniqueName="6" name="post_content" queryTableFieldId="6" dataDxfId="65"/>
    <tableColumn id="4" xr3:uid="{AC6ABA2E-E947-4B28-BCAC-09287AF98B1E}" uniqueName="4" name="Images/Gallery" queryTableFieldId="4" dataDxfId="64"/>
    <tableColumn id="5" xr3:uid="{DB85092D-5375-40F1-99D8-35FDFFB18C32}" uniqueName="5" name="Spec Sheet Link" queryTableFieldId="5" dataDxfId="63"/>
    <tableColumn id="35" xr3:uid="{A850B1BC-FB1C-4A86-B959-0E81CFEC7143}" uniqueName="35" name="Spec Sheet Link Text" queryTableFieldId="112" dataDxfId="62">
      <calculatedColumnFormula>HYPERLINK("")</calculatedColumnFormula>
    </tableColumn>
    <tableColumn id="7" xr3:uid="{268948B9-A94E-4BEA-A543-2935CA562A29}" uniqueName="7" name="product_type" queryTableFieldId="7" dataDxfId="61"/>
    <tableColumn id="8" xr3:uid="{55F4204D-9800-459A-BD15-91C06930F37A}" uniqueName="8" name="product_visibility" queryTableFieldId="8" dataDxfId="60"/>
    <tableColumn id="9" xr3:uid="{3EA30E81-D44D-4B9B-B0CE-91FC44024891}" uniqueName="9" name="Inventory: stock" queryTableFieldId="9" dataDxfId="59"/>
    <tableColumn id="10" xr3:uid="{E77A1C4C-8B39-4964-B35D-D5FD4819EA0D}" uniqueName="10" name="Wattage (W)" queryTableFieldId="10" dataDxfId="58"/>
    <tableColumn id="11" xr3:uid="{0BDF38ED-263A-4EA6-90A9-3F0AFD6C8E91}" uniqueName="11" name="Voltage (V)" queryTableFieldId="11" dataDxfId="57"/>
    <tableColumn id="12" xr3:uid="{A198EBE7-714A-45CB-9E32-6717ADE88296}" uniqueName="12" name="Lumens (lm)" queryTableFieldId="12" dataDxfId="56"/>
    <tableColumn id="13" xr3:uid="{89F00BAD-278F-4444-B372-781D6265BCBF}" uniqueName="13" name="Efficiency" queryTableFieldId="13" dataDxfId="55"/>
    <tableColumn id="14" xr3:uid="{556CB37C-40C8-4EEC-AC33-6A20C3D8E731}" uniqueName="14" name="L70 Rated Life (Hrs)" queryTableFieldId="14" dataDxfId="54"/>
    <tableColumn id="15" xr3:uid="{A85A848A-7F99-4579-A9BF-0BCFF8A828FF}" uniqueName="15" name="Bulb Equivalent" queryTableFieldId="15" dataDxfId="53"/>
    <tableColumn id="16" xr3:uid="{C58A14CC-F91F-43AB-99B8-78CF809155DC}" uniqueName="16" name="Base" queryTableFieldId="16" dataDxfId="52"/>
    <tableColumn id="17" xr3:uid="{1828EA49-6248-4E57-93B3-C04A9B3E3DC1}" uniqueName="17" name="Colour Temperature" queryTableFieldId="17" dataDxfId="51"/>
    <tableColumn id="18" xr3:uid="{FC7EA946-D7BC-48BF-8133-F0603FEE8D59}" uniqueName="18" name="Beam Angle" queryTableFieldId="18" dataDxfId="50"/>
    <tableColumn id="19" xr3:uid="{6215A2DA-7AF3-4033-969F-114F98A29183}" uniqueName="19" name="CRI" queryTableFieldId="19" dataDxfId="49"/>
    <tableColumn id="20" xr3:uid="{8DE196F4-C6B3-4C85-A747-620F938B7434}" uniqueName="20" name="Dimmable" queryTableFieldId="20" dataDxfId="48"/>
    <tableColumn id="21" xr3:uid="{7B3A7B7F-45AB-466E-9107-FF470AF51649}" uniqueName="21" name="Operating Temperature" queryTableFieldId="21" dataDxfId="47"/>
    <tableColumn id="22" xr3:uid="{AF1BB529-EB1D-4DD8-A509-70F8A9347F0F}" uniqueName="22" name="Environmental Rating" queryTableFieldId="22" dataDxfId="46"/>
    <tableColumn id="23" xr3:uid="{35076B6A-1D6A-49B7-B67F-2202C78FB869}" uniqueName="23" name="Certifications" queryTableFieldId="23" dataDxfId="45"/>
    <tableColumn id="93" xr3:uid="{163D7074-C6E9-407B-8EE1-19F370F3C75E}" uniqueName="93" name="2-HR Fire Rating Compliance" queryTableFieldId="109"/>
    <tableColumn id="25" xr3:uid="{12A4F4F2-220E-4F6E-95C0-39B630F9F5F6}" uniqueName="25" name="Nominal Length" queryTableFieldId="25" dataDxfId="44"/>
    <tableColumn id="26" xr3:uid="{74F140A4-1663-4666-BE2C-DC2D054D45DC}" uniqueName="26" name="Length (mm)" queryTableFieldId="26" dataDxfId="43"/>
    <tableColumn id="27" xr3:uid="{5C46B216-706F-4E3B-92D3-F0D34E419343}" uniqueName="27" name="Length (inches)" queryTableFieldId="27" dataDxfId="42"/>
    <tableColumn id="28" xr3:uid="{3A4E0895-E743-4B8B-BA98-7A07FA6B0A7C}" uniqueName="28" name="Length" queryTableFieldId="28" dataDxfId="41"/>
    <tableColumn id="66" xr3:uid="{88F57A36-E1E7-4A63-87BD-EAA2C6BE0576}" uniqueName="66" name="Width (mm)" queryTableFieldId="69" dataDxfId="40"/>
    <tableColumn id="67" xr3:uid="{C44222D5-185A-4BE0-A1B4-209213BB8966}" uniqueName="67" name="Width (inches)" queryTableFieldId="68" dataDxfId="39"/>
    <tableColumn id="24" xr3:uid="{3076E501-FE1C-4011-8455-72B4D31D8B01}" uniqueName="24" name="Height" queryTableFieldId="102"/>
    <tableColumn id="68" xr3:uid="{EF414BEE-A81C-4109-9B42-E6D5629F0F67}" uniqueName="68" name="Height (mm)" queryTableFieldId="67" dataDxfId="38"/>
    <tableColumn id="69" xr3:uid="{D3143DA2-B485-4C9A-AEFD-3C61BD481940}" uniqueName="69" name="Height (inches)" queryTableFieldId="66" dataDxfId="37"/>
    <tableColumn id="29" xr3:uid="{AE763BC0-6299-4996-AF5C-A9CA62FCBBC1}" uniqueName="29" name="Diameter (mm)" queryTableFieldId="29" dataDxfId="36"/>
    <tableColumn id="30" xr3:uid="{BD27AB8F-59D0-4940-9E33-7DDCA27F4182}" uniqueName="30" name="Diameter (inches)" queryTableFieldId="30" dataDxfId="35"/>
    <tableColumn id="31" xr3:uid="{8B2DAD28-F5A1-48D7-9266-859411A66303}" uniqueName="31" name="Diameter" queryTableFieldId="31" dataDxfId="34"/>
    <tableColumn id="32" xr3:uid="{63B25510-7C2C-45E1-9C97-57661383190F}" uniqueName="32" name="Weight (g)" queryTableFieldId="32"/>
    <tableColumn id="33" xr3:uid="{4DCAFE8D-EC62-468A-A977-88056DEF598F}" uniqueName="33" name="Weight (lbs)" queryTableFieldId="33"/>
    <tableColumn id="88" xr3:uid="{12DCB472-2BA9-4CEA-8658-AD9DD0E45235}" uniqueName="88" name="Inside Diameter" queryTableFieldId="104"/>
    <tableColumn id="89" xr3:uid="{FAEF0DB3-F572-4BBE-90A8-6E50D3DD60F6}" uniqueName="89" name="Outside Diameter" queryTableFieldId="105"/>
    <tableColumn id="37" xr3:uid="{A2404BE5-E61C-47CE-9E14-07624DBC3C29}" uniqueName="37" name="Shape" queryTableFieldId="37" dataDxfId="33"/>
    <tableColumn id="38" xr3:uid="{353BD7B5-70B8-40E4-83E9-AB810D25EE65}" uniqueName="38" name="Warranty" queryTableFieldId="38" dataDxfId="32"/>
    <tableColumn id="94" xr3:uid="{D9F1A3BE-9E58-4A25-8836-3D4EBDCD1DDE}" uniqueName="94" name="Inner Carton Qty" queryTableFieldId="110" dataDxfId="31"/>
    <tableColumn id="95" xr3:uid="{E81C6771-D050-4629-A655-983EEB8FF1C7}" uniqueName="95" name="Outer Carton Qty" queryTableFieldId="111" dataDxfId="30"/>
    <tableColumn id="79" xr3:uid="{0DB1F87E-47C9-4224-A5FA-8A54770A483A}" uniqueName="79" name="Box Length (cm)" queryTableFieldId="86"/>
    <tableColumn id="80" xr3:uid="{4F17DEF9-2A11-4248-8EBB-6BF4835F77BE}" uniqueName="80" name="Box Width (cm)" queryTableFieldId="87"/>
    <tableColumn id="81" xr3:uid="{1DAA90DB-8A08-44FE-B060-19275F07BE46}" uniqueName="81" name="Box Height (cm)" queryTableFieldId="88"/>
    <tableColumn id="82" xr3:uid="{70A006C9-4A68-487D-AA60-F28F6A0655F0}" uniqueName="82" name="Box CBM" queryTableFieldId="89" dataDxfId="29">
      <calculatedColumnFormula>SUM(cna_product_database_catalog_website[[#This Row],[Box Length (cm)]]*cna_product_database_catalog_website[[#This Row],[Box Width (cm)]]*cna_product_database_catalog_website[[#This Row],[Box Height (cm)]]/1000000)</calculatedColumnFormula>
    </tableColumn>
    <tableColumn id="83" xr3:uid="{B188E9CE-5679-4692-862D-887AD6E2BDA6}" uniqueName="83" name="Box CFT" queryTableFieldId="90" dataDxfId="28">
      <calculatedColumnFormula>SUM(cna_product_database_catalog_website[[#This Row],[Box CBM]]*35.3147)</calculatedColumnFormula>
    </tableColumn>
    <tableColumn id="34" xr3:uid="{3F8BBC3D-D8D3-4416-8976-18E6808027A4}" uniqueName="34" name="Carton Weight (lbs)" queryTableFieldId="34" dataDxfId="27"/>
    <tableColumn id="72" xr3:uid="{BE8C89EF-E211-489B-97FE-550D1F5678A3}" uniqueName="72" name="Carton Length (inches)" queryTableFieldId="78" dataDxfId="26"/>
    <tableColumn id="73" xr3:uid="{7E835530-38E2-4C69-A383-76B57F22422F}" uniqueName="73" name="Carton Width (inches)" queryTableFieldId="77" dataDxfId="25"/>
    <tableColumn id="74" xr3:uid="{22D55E50-5CFE-401B-BD88-F5B834FEDA5B}" uniqueName="74" name="Carton Height (inches)" queryTableFieldId="76" dataDxfId="24"/>
    <tableColumn id="84" xr3:uid="{AE8288BE-8DBF-4F38-9B45-2C7D7253CD58}" uniqueName="84" name="Carton CFT" queryTableFieldId="91" dataDxfId="23">
      <calculatedColumnFormula>SUM(cna_product_database_catalog_website[[#This Row],[Carton Length (inches)]]*cna_product_database_catalog_website[[#This Row],[Carton Width (inches)]]*cna_product_database_catalog_website[[#This Row],[Carton Height (inches)]])</calculatedColumnFormula>
    </tableColumn>
    <tableColumn id="85" xr3:uid="{4B98941E-F7C4-4029-B066-35B901791451}" uniqueName="85" name="CARTON CBM" queryTableFieldId="92" dataDxfId="22">
      <calculatedColumnFormula>SUM(cna_product_database_catalog_website[[#This Row],[Carton CFT]]/61024)</calculatedColumnFormula>
    </tableColumn>
    <tableColumn id="90" xr3:uid="{545640D1-B9B3-4B37-8212-DE48C8E7D97F}" uniqueName="90" name="Driver Dimensions (mm)" queryTableFieldId="106"/>
    <tableColumn id="91" xr3:uid="{D8328E8B-7B3A-487A-AA31-251E8E8B2D48}" uniqueName="91" name="DriverDimensions (Inches)" queryTableFieldId="107"/>
    <tableColumn id="92" xr3:uid="{58B4D1EF-10B1-49D8-B1AA-3855408F616D}" uniqueName="92" name="Hole Size Cutout" queryTableFieldId="108"/>
    <tableColumn id="39" xr3:uid="{9D59B6E3-F4C9-4200-86EE-8342856900C1}" uniqueName="39" name="Dimmer Compatibility" queryTableFieldId="39" dataDxfId="21"/>
    <tableColumn id="40" xr3:uid="{5B0BA2C3-4F69-4E17-9DA2-CC295CF84F48}" uniqueName="40" name="Finish" queryTableFieldId="40" dataDxfId="20"/>
    <tableColumn id="41" xr3:uid="{76ECDF61-0D76-452C-A2B9-64F7733B3A2E}" uniqueName="41" name="Direct Replacement For" queryTableFieldId="41" dataDxfId="19"/>
    <tableColumn id="42" xr3:uid="{1BCDACE5-D1C6-4300-AE56-42B104306183}" uniqueName="42" name="Use" queryTableFieldId="42" dataDxfId="18"/>
    <tableColumn id="71" xr3:uid="{0BFA841F-7186-4F71-B478-06722017A27F}" uniqueName="71" name="Surge Protection" queryTableFieldId="71"/>
    <tableColumn id="46" xr3:uid="{9B173C09-139C-45A4-A29E-E6CD60F91713}" uniqueName="46" name="Diffuser Type" queryTableFieldId="46" dataDxfId="17"/>
    <tableColumn id="47" xr3:uid="{950A483C-7727-4CC1-97B9-580912D373A8}" uniqueName="47" name="Diffuser Material" queryTableFieldId="47" dataDxfId="16"/>
    <tableColumn id="48" xr3:uid="{B8132039-C507-4FA0-9B40-8807BF016865}" uniqueName="48" name="Optional Accessory" queryTableFieldId="48" dataDxfId="15"/>
    <tableColumn id="70" xr3:uid="{73892777-4E3F-4FDA-9541-AE13BDE396C3}" uniqueName="70" name="Mounting" queryTableFieldId="70" dataDxfId="14"/>
    <tableColumn id="51" xr3:uid="{C49BB3C3-B770-4478-A3CA-945C70FB0C0D}" uniqueName="51" name="Flange Dimensions" queryTableFieldId="51" dataDxfId="13"/>
    <tableColumn id="52" xr3:uid="{46460B4C-1A3F-4676-ACC2-7E805EF0C49D}" uniqueName="52" name="Recess Dimensions" queryTableFieldId="52" dataDxfId="12"/>
    <tableColumn id="53" xr3:uid="{5D97C979-561B-4E6A-BAC6-3C74328635E3}" uniqueName="53" name="Rib-reinforced" queryTableFieldId="53" dataDxfId="11"/>
    <tableColumn id="54" xr3:uid="{186A339B-71F4-4534-9B25-AF6E1F24C391}" uniqueName="54" name="PIR Sensor" queryTableFieldId="54" dataDxfId="10"/>
    <tableColumn id="55" xr3:uid="{4F8F2532-FDEC-4601-B3E1-4434761B1A98}" uniqueName="55" name="Auto Shut-off" queryTableFieldId="55" dataDxfId="9"/>
    <tableColumn id="56" xr3:uid="{93EC346C-6F3C-40DB-A5BF-D126770E8C37}" uniqueName="56" name="Waterproofing" queryTableFieldId="56" dataDxfId="8"/>
    <tableColumn id="57" xr3:uid="{4A11C3D7-4195-4991-BFCF-1848D984EC7F}" uniqueName="57" name="LED Quantity" queryTableFieldId="57" dataDxfId="7"/>
    <tableColumn id="58" xr3:uid="{C6F365D3-572C-4460-A937-E6646203FCFA}" uniqueName="58" name="LED Type" queryTableFieldId="58" dataDxfId="6"/>
    <tableColumn id="59" xr3:uid="{C1701A3C-C050-43CF-84DC-370F9B0BD675}" uniqueName="59" name="Input Voltage (VAC)" queryTableFieldId="59" dataDxfId="5"/>
    <tableColumn id="60" xr3:uid="{440CD076-338B-40C9-BF86-A2F6F661780C}" uniqueName="60" name="Current Draw" queryTableFieldId="60" dataDxfId="4"/>
    <tableColumn id="61" xr3:uid="{ADDB8C04-B7BA-4A7D-AE4F-ACCE9592E4DF}" uniqueName="61" name="Output Voltage (VDC)" queryTableFieldId="61" dataDxfId="3"/>
    <tableColumn id="62" xr3:uid="{4044931F-F42C-44C1-AFC9-D9D2DC7BCF68}" uniqueName="62" name="Dimensions (without tabs)" queryTableFieldId="62" dataDxfId="2"/>
    <tableColumn id="63" xr3:uid="{8F6B3B7A-9F5D-4B07-9082-43F3BAF2F805}" uniqueName="63" name="Maximum Linkable Length" queryTableFieldId="63" dataDxfId="1"/>
    <tableColumn id="65" xr3:uid="{6A9873EE-BD10-4380-811C-F6BE4CBA59AC}" uniqueName="65" name="Classification Type" queryTableFieldId="65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4721F-D302-467A-A0BD-FB7DCBCF377C}">
  <dimension ref="A1:CK343"/>
  <sheetViews>
    <sheetView tabSelected="1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2" sqref="B2"/>
    </sheetView>
  </sheetViews>
  <sheetFormatPr defaultRowHeight="15" x14ac:dyDescent="0.25"/>
  <cols>
    <col min="1" max="1" width="15.28515625" style="4" customWidth="1"/>
    <col min="2" max="2" width="27.140625" style="4" customWidth="1"/>
    <col min="3" max="3" width="32.42578125" style="4" customWidth="1"/>
    <col min="4" max="4" width="26.42578125" style="4" customWidth="1"/>
    <col min="5" max="5" width="15.7109375" customWidth="1"/>
    <col min="6" max="6" width="29" customWidth="1"/>
    <col min="7" max="7" width="10" style="3" customWidth="1"/>
    <col min="8" max="8" width="15.42578125" style="8" customWidth="1"/>
    <col min="9" max="9" width="34.5703125" customWidth="1"/>
    <col min="10" max="10" width="40.5703125" customWidth="1"/>
    <col min="11" max="11" width="18" customWidth="1"/>
    <col min="12" max="13" width="22.5703125" customWidth="1"/>
    <col min="15" max="15" width="7.5703125" bestFit="1" customWidth="1"/>
    <col min="16" max="16" width="12.140625" style="3" bestFit="1" customWidth="1"/>
    <col min="17" max="17" width="11" style="3" bestFit="1" customWidth="1"/>
    <col min="18" max="18" width="15.140625" bestFit="1" customWidth="1"/>
    <col min="19" max="19" width="15.28515625" customWidth="1"/>
    <col min="20" max="20" width="24" bestFit="1" customWidth="1"/>
    <col min="21" max="21" width="17.28515625" customWidth="1"/>
    <col min="22" max="22" width="20" customWidth="1"/>
    <col min="23" max="23" width="22.140625" bestFit="1" customWidth="1"/>
    <col min="24" max="24" width="29.5703125" customWidth="1"/>
    <col min="25" max="25" width="15.140625" style="3" customWidth="1"/>
    <col min="26" max="26" width="7" style="3" customWidth="1"/>
    <col min="27" max="27" width="10.7109375" style="3" customWidth="1"/>
    <col min="28" max="28" width="21.5703125" customWidth="1"/>
    <col min="29" max="29" width="24.5703125" style="1" bestFit="1" customWidth="1"/>
    <col min="30" max="31" width="18.85546875" style="1" customWidth="1"/>
    <col min="32" max="32" width="14.85546875" customWidth="1"/>
    <col min="33" max="33" width="17.42578125" bestFit="1" customWidth="1"/>
    <col min="34" max="34" width="14.5703125" bestFit="1" customWidth="1"/>
    <col min="35" max="35" width="18.5703125" customWidth="1"/>
    <col min="36" max="36" width="14.140625" customWidth="1"/>
    <col min="37" max="38" width="16.28515625" customWidth="1"/>
    <col min="39" max="39" width="21.140625" customWidth="1"/>
    <col min="40" max="41" width="17.28515625" customWidth="1"/>
    <col min="42" max="42" width="17" bestFit="1" customWidth="1"/>
    <col min="43" max="43" width="19.28515625" bestFit="1" customWidth="1"/>
    <col min="44" max="44" width="13.85546875" customWidth="1"/>
    <col min="45" max="47" width="17.5703125" customWidth="1"/>
    <col min="48" max="48" width="17.28515625" customWidth="1"/>
    <col min="49" max="51" width="14.28515625" customWidth="1"/>
    <col min="52" max="52" width="22.7109375" customWidth="1"/>
    <col min="53" max="53" width="17.42578125" customWidth="1"/>
    <col min="54" max="54" width="19.140625" customWidth="1"/>
    <col min="55" max="56" width="17.28515625" customWidth="1"/>
    <col min="57" max="57" width="19" customWidth="1"/>
    <col min="58" max="58" width="18.7109375" customWidth="1"/>
    <col min="59" max="59" width="13.7109375" customWidth="1"/>
    <col min="60" max="60" width="12.7109375" bestFit="1" customWidth="1"/>
    <col min="61" max="61" width="22.7109375" customWidth="1"/>
    <col min="62" max="62" width="21.140625" customWidth="1"/>
    <col min="63" max="63" width="24.42578125" customWidth="1"/>
    <col min="64" max="64" width="24.140625" customWidth="1"/>
    <col min="65" max="65" width="21.140625" customWidth="1"/>
    <col min="66" max="66" width="22.85546875" style="2" customWidth="1"/>
    <col min="67" max="67" width="22.7109375" style="2" bestFit="1" customWidth="1"/>
    <col min="68" max="68" width="14" customWidth="1"/>
    <col min="69" max="69" width="18.42578125" customWidth="1"/>
    <col min="71" max="72" width="22.7109375" customWidth="1"/>
    <col min="73" max="73" width="24.42578125" bestFit="1" customWidth="1"/>
    <col min="74" max="74" width="20.42578125" customWidth="1"/>
    <col min="75" max="75" width="26.28515625" customWidth="1"/>
    <col min="76" max="76" width="23.5703125" customWidth="1"/>
    <col min="77" max="77" width="24.42578125" bestFit="1" customWidth="1"/>
    <col min="78" max="78" width="20.140625" bestFit="1" customWidth="1"/>
    <col min="82" max="82" width="18.140625" bestFit="1" customWidth="1"/>
    <col min="83" max="83" width="17.42578125" bestFit="1" customWidth="1"/>
    <col min="84" max="84" width="21.42578125" bestFit="1" customWidth="1"/>
    <col min="85" max="85" width="21.5703125" bestFit="1" customWidth="1"/>
    <col min="86" max="86" width="21.5703125" customWidth="1"/>
    <col min="87" max="87" width="17.42578125" bestFit="1" customWidth="1"/>
    <col min="88" max="88" width="20.28515625" bestFit="1" customWidth="1"/>
    <col min="89" max="89" width="20.42578125" bestFit="1" customWidth="1"/>
    <col min="90" max="90" width="16.28515625" bestFit="1" customWidth="1"/>
    <col min="91" max="91" width="12.5703125" bestFit="1" customWidth="1"/>
    <col min="92" max="92" width="15.42578125" bestFit="1" customWidth="1"/>
    <col min="93" max="93" width="21.7109375" bestFit="1" customWidth="1"/>
    <col min="94" max="94" width="14.5703125" bestFit="1" customWidth="1"/>
    <col min="95" max="95" width="25.7109375" customWidth="1"/>
    <col min="96" max="96" width="24.85546875" customWidth="1"/>
    <col min="97" max="97" width="15" bestFit="1" customWidth="1"/>
    <col min="98" max="98" width="23.85546875" bestFit="1" customWidth="1"/>
    <col min="99" max="99" width="27.140625" bestFit="1" customWidth="1"/>
    <col min="100" max="100" width="27" bestFit="1" customWidth="1"/>
    <col min="101" max="101" width="18" bestFit="1" customWidth="1"/>
    <col min="102" max="102" width="20" bestFit="1" customWidth="1"/>
  </cols>
  <sheetData>
    <row r="1" spans="1:89" x14ac:dyDescent="0.25">
      <c r="A1" s="4" t="s">
        <v>1864</v>
      </c>
      <c r="B1" s="4" t="s">
        <v>1865</v>
      </c>
      <c r="C1" s="4" t="s">
        <v>1866</v>
      </c>
      <c r="D1" s="4" t="s">
        <v>1867</v>
      </c>
      <c r="E1" t="s">
        <v>1868</v>
      </c>
      <c r="F1" t="s">
        <v>1968</v>
      </c>
      <c r="G1" s="3" t="s">
        <v>1869</v>
      </c>
      <c r="H1" s="8" t="s">
        <v>1870</v>
      </c>
      <c r="I1" t="s">
        <v>1871</v>
      </c>
      <c r="J1" t="s">
        <v>1872</v>
      </c>
      <c r="K1" t="s">
        <v>1873</v>
      </c>
      <c r="L1" t="s">
        <v>2009</v>
      </c>
      <c r="M1" t="s">
        <v>2049</v>
      </c>
      <c r="N1" t="s">
        <v>1874</v>
      </c>
      <c r="O1" s="3" t="s">
        <v>1875</v>
      </c>
      <c r="P1" s="3" t="s">
        <v>1876</v>
      </c>
      <c r="Q1" t="s">
        <v>0</v>
      </c>
      <c r="R1" t="s">
        <v>1</v>
      </c>
      <c r="S1" t="s">
        <v>2</v>
      </c>
      <c r="T1" t="s">
        <v>3</v>
      </c>
      <c r="U1" t="s">
        <v>2010</v>
      </c>
      <c r="V1" t="s">
        <v>4</v>
      </c>
      <c r="W1" t="s">
        <v>5</v>
      </c>
      <c r="X1" t="s">
        <v>6</v>
      </c>
      <c r="Y1" s="3" t="s">
        <v>7</v>
      </c>
      <c r="Z1" s="3" t="s">
        <v>8</v>
      </c>
      <c r="AA1" s="3" t="s">
        <v>9</v>
      </c>
      <c r="AB1" s="1" t="s">
        <v>10</v>
      </c>
      <c r="AC1" s="1" t="s">
        <v>11</v>
      </c>
      <c r="AD1" t="s">
        <v>12</v>
      </c>
      <c r="AE1" t="s">
        <v>1988</v>
      </c>
      <c r="AF1" t="s">
        <v>13</v>
      </c>
      <c r="AG1" t="s">
        <v>14</v>
      </c>
      <c r="AH1" t="s">
        <v>15</v>
      </c>
      <c r="AI1" t="s">
        <v>2007</v>
      </c>
      <c r="AJ1" t="s">
        <v>1032</v>
      </c>
      <c r="AK1" t="s">
        <v>1029</v>
      </c>
      <c r="AL1" t="s">
        <v>2006</v>
      </c>
      <c r="AM1" t="s">
        <v>1030</v>
      </c>
      <c r="AN1" t="s">
        <v>1031</v>
      </c>
      <c r="AO1" t="s">
        <v>16</v>
      </c>
      <c r="AP1" t="s">
        <v>17</v>
      </c>
      <c r="AQ1" t="s">
        <v>2008</v>
      </c>
      <c r="AR1" t="s">
        <v>18</v>
      </c>
      <c r="AS1" t="s">
        <v>19</v>
      </c>
      <c r="AT1" t="s">
        <v>1971</v>
      </c>
      <c r="AU1" t="s">
        <v>1972</v>
      </c>
      <c r="AV1" t="s">
        <v>20</v>
      </c>
      <c r="AW1" t="s">
        <v>21</v>
      </c>
      <c r="AX1" t="s">
        <v>1991</v>
      </c>
      <c r="AY1" t="s">
        <v>1990</v>
      </c>
      <c r="AZ1" t="s">
        <v>1608</v>
      </c>
      <c r="BA1" t="s">
        <v>1609</v>
      </c>
      <c r="BB1" t="s">
        <v>1610</v>
      </c>
      <c r="BC1" t="s">
        <v>1611</v>
      </c>
      <c r="BD1" t="s">
        <v>1612</v>
      </c>
      <c r="BE1" t="s">
        <v>1048</v>
      </c>
      <c r="BF1" t="s">
        <v>1049</v>
      </c>
      <c r="BG1" t="s">
        <v>1050</v>
      </c>
      <c r="BH1" t="s">
        <v>1051</v>
      </c>
      <c r="BI1" t="s">
        <v>1613</v>
      </c>
      <c r="BJ1" t="s">
        <v>1614</v>
      </c>
      <c r="BK1" t="s">
        <v>1981</v>
      </c>
      <c r="BL1" t="s">
        <v>1982</v>
      </c>
      <c r="BM1" t="s">
        <v>42</v>
      </c>
      <c r="BN1" t="s">
        <v>22</v>
      </c>
      <c r="BO1" t="s">
        <v>23</v>
      </c>
      <c r="BP1" t="s">
        <v>24</v>
      </c>
      <c r="BQ1" t="s">
        <v>25</v>
      </c>
      <c r="BR1" t="s">
        <v>1042</v>
      </c>
      <c r="BS1" t="s">
        <v>26</v>
      </c>
      <c r="BT1" t="s">
        <v>27</v>
      </c>
      <c r="BU1" t="s">
        <v>28</v>
      </c>
      <c r="BV1" t="s">
        <v>1040</v>
      </c>
      <c r="BW1" t="s">
        <v>29</v>
      </c>
      <c r="BX1" t="s">
        <v>30</v>
      </c>
      <c r="BY1" t="s">
        <v>31</v>
      </c>
      <c r="BZ1" t="s">
        <v>32</v>
      </c>
      <c r="CA1" t="s">
        <v>33</v>
      </c>
      <c r="CB1" t="s">
        <v>34</v>
      </c>
      <c r="CC1" t="s">
        <v>35</v>
      </c>
      <c r="CD1" t="s">
        <v>36</v>
      </c>
      <c r="CE1" t="s">
        <v>37</v>
      </c>
      <c r="CF1" t="s">
        <v>38</v>
      </c>
      <c r="CG1" t="s">
        <v>39</v>
      </c>
      <c r="CH1" t="s">
        <v>40</v>
      </c>
      <c r="CI1" t="s">
        <v>41</v>
      </c>
      <c r="CJ1" t="s">
        <v>43</v>
      </c>
    </row>
    <row r="2" spans="1:89" x14ac:dyDescent="0.25">
      <c r="A2" s="4" t="s">
        <v>2103</v>
      </c>
      <c r="B2" s="4" t="s">
        <v>2052</v>
      </c>
      <c r="C2" s="4" t="s">
        <v>1809</v>
      </c>
      <c r="D2" s="4" t="str">
        <f>cna_product_database_catalog_website[[#This Row],[MainCategory]]&amp;"&gt;"&amp;cna_product_database_catalog_website[[#This Row],[SubCategory1]]&amp;"&gt;"&amp;cna_product_database_catalog_website[[#This Row],[SubCategory2]]</f>
        <v>Bulbs&gt;A-Type&gt;A15 Frosted 30K</v>
      </c>
      <c r="E2" s="4">
        <v>5</v>
      </c>
      <c r="F2" t="s">
        <v>1074</v>
      </c>
      <c r="G2" s="3">
        <v>940</v>
      </c>
      <c r="H2" s="8">
        <v>3.9</v>
      </c>
      <c r="I2" t="s">
        <v>1074</v>
      </c>
      <c r="J2" t="s">
        <v>1074</v>
      </c>
      <c r="K2" t="s">
        <v>97</v>
      </c>
      <c r="L2" t="s">
        <v>98</v>
      </c>
      <c r="M2" s="12" t="str">
        <f>HYPERLINK(cna_product_database_catalog_website[[#This Row],[Spec Sheet Link]], cna_product_database_catalog_website[[#Headers],[Spec Sheet Link]])</f>
        <v>Spec Sheet Link</v>
      </c>
      <c r="N2" t="s">
        <v>47</v>
      </c>
      <c r="O2" s="3">
        <v>1</v>
      </c>
      <c r="P2" s="3">
        <v>1</v>
      </c>
      <c r="Q2" t="s">
        <v>99</v>
      </c>
      <c r="R2" t="s">
        <v>85</v>
      </c>
      <c r="S2" t="s">
        <v>100</v>
      </c>
      <c r="T2" t="s">
        <v>1054</v>
      </c>
      <c r="U2" t="s">
        <v>55</v>
      </c>
      <c r="V2" t="s">
        <v>56</v>
      </c>
      <c r="W2" t="s">
        <v>88</v>
      </c>
      <c r="X2" t="s">
        <v>78</v>
      </c>
      <c r="Y2" s="3" t="s">
        <v>1015</v>
      </c>
      <c r="Z2" s="3" t="s">
        <v>1006</v>
      </c>
      <c r="AA2" s="3" t="s">
        <v>60</v>
      </c>
      <c r="AB2" s="1" t="s">
        <v>1008</v>
      </c>
      <c r="AC2" s="1" t="s">
        <v>101</v>
      </c>
      <c r="AD2" t="s">
        <v>1072</v>
      </c>
      <c r="AE2"/>
      <c r="AF2" t="s">
        <v>48</v>
      </c>
      <c r="AL2" t="s">
        <v>104</v>
      </c>
      <c r="AM2" t="s">
        <v>102</v>
      </c>
      <c r="AN2" t="s">
        <v>103</v>
      </c>
      <c r="AO2" t="s">
        <v>105</v>
      </c>
      <c r="AP2" t="s">
        <v>106</v>
      </c>
      <c r="AQ2" t="s">
        <v>107</v>
      </c>
      <c r="AR2">
        <v>36</v>
      </c>
      <c r="AS2">
        <v>0.08</v>
      </c>
      <c r="AV2" t="s">
        <v>108</v>
      </c>
      <c r="AW2" t="s">
        <v>1044</v>
      </c>
      <c r="AX2" s="2" t="s">
        <v>80</v>
      </c>
      <c r="AY2" s="2" t="s">
        <v>63</v>
      </c>
      <c r="AZ2">
        <v>5</v>
      </c>
      <c r="BA2">
        <v>5</v>
      </c>
      <c r="BB2">
        <v>10</v>
      </c>
      <c r="BC2">
        <f>SUM(cna_product_database_catalog_website[[#This Row],[Box Length (cm)]]*cna_product_database_catalog_website[[#This Row],[Box Width (cm)]]*cna_product_database_catalog_website[[#This Row],[Box Height (cm)]]/1000000)</f>
        <v>2.5000000000000001E-4</v>
      </c>
      <c r="BD2">
        <f>SUM(cna_product_database_catalog_website[[#This Row],[Box CBM]]*35.3147)</f>
        <v>8.8286750000000011E-3</v>
      </c>
      <c r="BE2" t="s">
        <v>48</v>
      </c>
      <c r="BI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">
        <f>SUM(cna_product_database_catalog_website[[#This Row],[Carton CFT]]/61024)</f>
        <v>0</v>
      </c>
      <c r="BM2" t="s">
        <v>48</v>
      </c>
      <c r="BN2"/>
      <c r="BO2" t="s">
        <v>48</v>
      </c>
      <c r="BP2" t="s">
        <v>48</v>
      </c>
      <c r="BQ2" t="s">
        <v>48</v>
      </c>
      <c r="BS2" t="s">
        <v>48</v>
      </c>
      <c r="BT2" t="s">
        <v>48</v>
      </c>
      <c r="BU2" t="s">
        <v>48</v>
      </c>
      <c r="BW2" t="s">
        <v>48</v>
      </c>
      <c r="BX2" t="s">
        <v>48</v>
      </c>
      <c r="BY2" t="s">
        <v>48</v>
      </c>
      <c r="BZ2" t="s">
        <v>48</v>
      </c>
      <c r="CA2" t="s">
        <v>48</v>
      </c>
      <c r="CB2" t="s">
        <v>48</v>
      </c>
      <c r="CC2" t="s">
        <v>48</v>
      </c>
      <c r="CD2" t="s">
        <v>48</v>
      </c>
      <c r="CE2" t="s">
        <v>48</v>
      </c>
      <c r="CF2" t="s">
        <v>48</v>
      </c>
      <c r="CG2" t="s">
        <v>48</v>
      </c>
      <c r="CH2" t="s">
        <v>48</v>
      </c>
      <c r="CI2" t="s">
        <v>48</v>
      </c>
      <c r="CJ2" t="s">
        <v>48</v>
      </c>
    </row>
    <row r="3" spans="1:89" x14ac:dyDescent="0.25">
      <c r="A3" s="4" t="s">
        <v>2103</v>
      </c>
      <c r="B3" s="4" t="s">
        <v>2052</v>
      </c>
      <c r="C3" s="4" t="s">
        <v>1826</v>
      </c>
      <c r="D3" s="4" t="str">
        <f>cna_product_database_catalog_website[[#This Row],[MainCategory]]&amp;"&gt;"&amp;cna_product_database_catalog_website[[#This Row],[SubCategory1]]&amp;"&gt;"&amp;cna_product_database_catalog_website[[#This Row],[SubCategory2]]</f>
        <v>Bulbs&gt;A-Type&gt;A15 30K</v>
      </c>
      <c r="E3">
        <v>6</v>
      </c>
      <c r="F3" t="s">
        <v>217</v>
      </c>
      <c r="G3" s="3">
        <v>1117</v>
      </c>
      <c r="H3" s="8">
        <v>0.95</v>
      </c>
      <c r="I3" t="s">
        <v>217</v>
      </c>
      <c r="J3" t="s">
        <v>217</v>
      </c>
      <c r="K3" t="s">
        <v>218</v>
      </c>
      <c r="L3" t="s">
        <v>219</v>
      </c>
      <c r="M3" s="12" t="str">
        <f>HYPERLINK(cna_product_database_catalog_website[[#This Row],[Spec Sheet Link]], cna_product_database_catalog_website[[#Headers],[Spec Sheet Link]])</f>
        <v>Spec Sheet Link</v>
      </c>
      <c r="N3" t="s">
        <v>47</v>
      </c>
      <c r="O3" s="3">
        <v>1</v>
      </c>
      <c r="P3" s="3">
        <v>1</v>
      </c>
      <c r="Q3" t="s">
        <v>220</v>
      </c>
      <c r="R3" t="s">
        <v>85</v>
      </c>
      <c r="S3" t="s">
        <v>100</v>
      </c>
      <c r="T3" t="s">
        <v>1093</v>
      </c>
      <c r="U3" t="s">
        <v>55</v>
      </c>
      <c r="V3" t="s">
        <v>56</v>
      </c>
      <c r="W3" t="s">
        <v>111</v>
      </c>
      <c r="X3" t="s">
        <v>78</v>
      </c>
      <c r="Y3" s="3" t="s">
        <v>1015</v>
      </c>
      <c r="Z3" s="3" t="s">
        <v>1006</v>
      </c>
      <c r="AA3" s="3" t="s">
        <v>96</v>
      </c>
      <c r="AB3" s="1" t="s">
        <v>1008</v>
      </c>
      <c r="AC3" s="1" t="s">
        <v>71</v>
      </c>
      <c r="AD3" t="s">
        <v>59</v>
      </c>
      <c r="AE3"/>
      <c r="AF3" t="s">
        <v>48</v>
      </c>
      <c r="AL3" t="s">
        <v>223</v>
      </c>
      <c r="AM3" t="s">
        <v>221</v>
      </c>
      <c r="AN3" t="s">
        <v>222</v>
      </c>
      <c r="AO3" t="s">
        <v>224</v>
      </c>
      <c r="AP3" t="s">
        <v>225</v>
      </c>
      <c r="AQ3" t="s">
        <v>226</v>
      </c>
      <c r="AR3">
        <v>30</v>
      </c>
      <c r="AS3">
        <v>6.6000000000000003E-2</v>
      </c>
      <c r="AV3" t="s">
        <v>227</v>
      </c>
      <c r="AW3" t="s">
        <v>1044</v>
      </c>
      <c r="AX3" s="2">
        <v>100</v>
      </c>
      <c r="AY3" s="2">
        <v>100</v>
      </c>
      <c r="AZ3">
        <v>5.2</v>
      </c>
      <c r="BA3">
        <v>5.0999999999999996</v>
      </c>
      <c r="BB3">
        <v>8.6</v>
      </c>
      <c r="BC3">
        <f>SUM(cna_product_database_catalog_website[[#This Row],[Box Length (cm)]]*cna_product_database_catalog_website[[#This Row],[Box Width (cm)]]*cna_product_database_catalog_website[[#This Row],[Box Height (cm)]]/1000000)</f>
        <v>2.2807199999999998E-4</v>
      </c>
      <c r="BD3">
        <f>SUM(cna_product_database_catalog_website[[#This Row],[Box CBM]]*35.3147)</f>
        <v>8.0542942583999994E-3</v>
      </c>
      <c r="BE3" t="s">
        <v>48</v>
      </c>
      <c r="BI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">
        <f>SUM(cna_product_database_catalog_website[[#This Row],[Carton CFT]]/61024)</f>
        <v>0</v>
      </c>
      <c r="BM3" t="s">
        <v>48</v>
      </c>
      <c r="BN3"/>
      <c r="BO3" t="s">
        <v>48</v>
      </c>
      <c r="BP3" t="s">
        <v>48</v>
      </c>
      <c r="BQ3" t="s">
        <v>48</v>
      </c>
      <c r="BS3" t="s">
        <v>48</v>
      </c>
      <c r="BT3" t="s">
        <v>48</v>
      </c>
      <c r="BU3" t="s">
        <v>48</v>
      </c>
      <c r="BW3" t="s">
        <v>48</v>
      </c>
      <c r="BX3" t="s">
        <v>48</v>
      </c>
      <c r="BY3" t="s">
        <v>48</v>
      </c>
      <c r="BZ3" t="s">
        <v>48</v>
      </c>
      <c r="CA3" t="s">
        <v>48</v>
      </c>
      <c r="CB3" t="s">
        <v>48</v>
      </c>
      <c r="CC3" t="s">
        <v>48</v>
      </c>
      <c r="CD3" t="s">
        <v>48</v>
      </c>
      <c r="CE3" t="s">
        <v>48</v>
      </c>
      <c r="CF3" t="s">
        <v>48</v>
      </c>
      <c r="CG3" t="s">
        <v>48</v>
      </c>
      <c r="CH3" t="s">
        <v>48</v>
      </c>
      <c r="CI3" t="s">
        <v>48</v>
      </c>
      <c r="CJ3" t="s">
        <v>48</v>
      </c>
    </row>
    <row r="4" spans="1:89" s="4" customFormat="1" x14ac:dyDescent="0.25">
      <c r="A4" s="4" t="s">
        <v>2103</v>
      </c>
      <c r="B4" s="4" t="s">
        <v>2052</v>
      </c>
      <c r="C4" s="4" t="s">
        <v>1810</v>
      </c>
      <c r="D4" s="4" t="str">
        <f>cna_product_database_catalog_website[[#This Row],[MainCategory]]&amp;"&gt;"&amp;cna_product_database_catalog_website[[#This Row],[SubCategory1]]&amp;"&gt;"&amp;cna_product_database_catalog_website[[#This Row],[SubCategory2]]</f>
        <v>Bulbs&gt;A-Type&gt;A19 - Curved Filament 30K</v>
      </c>
      <c r="E4" s="4">
        <v>10</v>
      </c>
      <c r="F4" s="4" t="s">
        <v>1437</v>
      </c>
      <c r="G4" s="5">
        <v>1171</v>
      </c>
      <c r="H4" s="9">
        <v>3.5</v>
      </c>
      <c r="I4" s="4" t="s">
        <v>1437</v>
      </c>
      <c r="J4" s="4" t="s">
        <v>1441</v>
      </c>
      <c r="K4" s="4" t="s">
        <v>109</v>
      </c>
      <c r="L4" s="4" t="s">
        <v>98</v>
      </c>
      <c r="M4" s="12" t="str">
        <f>HYPERLINK(cna_product_database_catalog_website[[#This Row],[Spec Sheet Link]], cna_product_database_catalog_website[[#Headers],[Spec Sheet Link]])</f>
        <v>Spec Sheet Link</v>
      </c>
      <c r="N4" s="4" t="s">
        <v>47</v>
      </c>
      <c r="O4" s="5">
        <v>1</v>
      </c>
      <c r="P4" s="5">
        <v>1</v>
      </c>
      <c r="Q4" s="4" t="s">
        <v>110</v>
      </c>
      <c r="R4" s="4" t="s">
        <v>85</v>
      </c>
      <c r="S4" s="4" t="s">
        <v>68</v>
      </c>
      <c r="T4" s="4" t="s">
        <v>1088</v>
      </c>
      <c r="U4" s="4" t="s">
        <v>55</v>
      </c>
      <c r="V4" s="4" t="s">
        <v>56</v>
      </c>
      <c r="W4" s="4" t="s">
        <v>111</v>
      </c>
      <c r="X4" s="4" t="s">
        <v>78</v>
      </c>
      <c r="Y4" s="5" t="s">
        <v>1015</v>
      </c>
      <c r="Z4" s="5" t="s">
        <v>1006</v>
      </c>
      <c r="AA4" s="5" t="s">
        <v>60</v>
      </c>
      <c r="AB4" s="6" t="s">
        <v>1008</v>
      </c>
      <c r="AC4" s="6" t="s">
        <v>71</v>
      </c>
      <c r="AD4" s="4" t="s">
        <v>1072</v>
      </c>
      <c r="AF4" s="4" t="s">
        <v>48</v>
      </c>
      <c r="AL4" s="4" t="s">
        <v>114</v>
      </c>
      <c r="AM4" s="4" t="s">
        <v>112</v>
      </c>
      <c r="AN4" s="4" t="s">
        <v>113</v>
      </c>
      <c r="AO4" s="4" t="s">
        <v>115</v>
      </c>
      <c r="AP4" s="4" t="s">
        <v>116</v>
      </c>
      <c r="AQ4" s="4" t="s">
        <v>117</v>
      </c>
      <c r="AR4" s="4">
        <v>45</v>
      </c>
      <c r="AS4" s="4">
        <v>0.1</v>
      </c>
      <c r="AV4" s="4" t="s">
        <v>118</v>
      </c>
      <c r="AW4" s="4" t="s">
        <v>1044</v>
      </c>
      <c r="AX4" s="7">
        <v>10</v>
      </c>
      <c r="AY4" s="7">
        <v>100</v>
      </c>
      <c r="AZ4" s="4">
        <v>6.7</v>
      </c>
      <c r="BA4" s="4">
        <v>6.7</v>
      </c>
      <c r="BB4" s="4">
        <v>12.3</v>
      </c>
      <c r="BC4" s="4">
        <f>SUM(cna_product_database_catalog_website[[#This Row],[Box Length (cm)]]*cna_product_database_catalog_website[[#This Row],[Box Width (cm)]]*cna_product_database_catalog_website[[#This Row],[Box Height (cm)]]/1000000)</f>
        <v>5.5214700000000001E-4</v>
      </c>
      <c r="BD4" s="4">
        <f>SUM(cna_product_database_catalog_website[[#This Row],[Box CBM]]*35.3147)</f>
        <v>1.9498905660900002E-2</v>
      </c>
      <c r="BE4" s="4" t="s">
        <v>48</v>
      </c>
      <c r="BI4" s="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4" s="4">
        <f>SUM(cna_product_database_catalog_website[[#This Row],[Carton CFT]]/61024)</f>
        <v>0</v>
      </c>
      <c r="BM4" s="4" t="s">
        <v>48</v>
      </c>
      <c r="BO4" s="4" t="s">
        <v>48</v>
      </c>
      <c r="BP4" s="4" t="s">
        <v>48</v>
      </c>
      <c r="BQ4" s="4" t="s">
        <v>48</v>
      </c>
      <c r="BS4" s="4" t="s">
        <v>48</v>
      </c>
      <c r="BT4" s="4" t="s">
        <v>48</v>
      </c>
      <c r="BU4" s="4" t="s">
        <v>48</v>
      </c>
      <c r="BW4" s="4" t="s">
        <v>48</v>
      </c>
      <c r="BX4" s="4" t="s">
        <v>48</v>
      </c>
      <c r="BY4" s="4" t="s">
        <v>48</v>
      </c>
      <c r="BZ4" s="4" t="s">
        <v>48</v>
      </c>
      <c r="CA4" s="4" t="s">
        <v>48</v>
      </c>
      <c r="CB4" s="4" t="s">
        <v>48</v>
      </c>
      <c r="CC4" s="4" t="s">
        <v>48</v>
      </c>
      <c r="CD4" s="4" t="s">
        <v>48</v>
      </c>
      <c r="CE4" s="4" t="s">
        <v>48</v>
      </c>
      <c r="CF4" s="4" t="s">
        <v>48</v>
      </c>
      <c r="CG4" s="4" t="s">
        <v>48</v>
      </c>
      <c r="CH4" s="4" t="s">
        <v>48</v>
      </c>
      <c r="CI4" s="4" t="s">
        <v>48</v>
      </c>
      <c r="CJ4" s="4" t="s">
        <v>48</v>
      </c>
    </row>
    <row r="5" spans="1:89" s="4" customFormat="1" x14ac:dyDescent="0.25">
      <c r="A5" s="4" t="s">
        <v>2103</v>
      </c>
      <c r="B5" s="4" t="s">
        <v>2052</v>
      </c>
      <c r="C5" s="4" t="s">
        <v>1811</v>
      </c>
      <c r="D5" s="4" t="str">
        <f>cna_product_database_catalog_website[[#This Row],[MainCategory]]&amp;"&gt;"&amp;cna_product_database_catalog_website[[#This Row],[SubCategory1]]&amp;"&gt;"&amp;cna_product_database_catalog_website[[#This Row],[SubCategory2]]</f>
        <v>Bulbs&gt;A-Type&gt;A19 - White Filament 30K</v>
      </c>
      <c r="E5" s="4">
        <v>11</v>
      </c>
      <c r="F5" s="4" t="s">
        <v>1457</v>
      </c>
      <c r="G5" s="5">
        <v>1196</v>
      </c>
      <c r="H5" s="9">
        <v>3.1</v>
      </c>
      <c r="I5" s="4" t="s">
        <v>1457</v>
      </c>
      <c r="J5" s="4" t="s">
        <v>1458</v>
      </c>
      <c r="K5" s="4" t="s">
        <v>1451</v>
      </c>
      <c r="L5" s="4" t="s">
        <v>1452</v>
      </c>
      <c r="M5" s="12" t="str">
        <f>HYPERLINK(cna_product_database_catalog_website[[#This Row],[Spec Sheet Link]], cna_product_database_catalog_website[[#Headers],[Spec Sheet Link]])</f>
        <v>Spec Sheet Link</v>
      </c>
      <c r="N5" s="4" t="s">
        <v>47</v>
      </c>
      <c r="O5" s="5">
        <v>1</v>
      </c>
      <c r="P5" s="5">
        <v>1</v>
      </c>
      <c r="Q5" s="4" t="s">
        <v>228</v>
      </c>
      <c r="R5" s="4" t="s">
        <v>85</v>
      </c>
      <c r="S5" s="4" t="s">
        <v>1459</v>
      </c>
      <c r="T5" s="4" t="s">
        <v>1453</v>
      </c>
      <c r="U5" s="4" t="s">
        <v>55</v>
      </c>
      <c r="V5" s="4" t="s">
        <v>69</v>
      </c>
      <c r="W5" s="4" t="s">
        <v>1460</v>
      </c>
      <c r="X5" s="4" t="s">
        <v>78</v>
      </c>
      <c r="Y5" s="5" t="s">
        <v>1015</v>
      </c>
      <c r="Z5" s="5" t="s">
        <v>1006</v>
      </c>
      <c r="AA5" s="5" t="s">
        <v>60</v>
      </c>
      <c r="AB5" s="6" t="s">
        <v>1008</v>
      </c>
      <c r="AC5" s="4" t="s">
        <v>71</v>
      </c>
      <c r="AD5" s="4" t="s">
        <v>450</v>
      </c>
      <c r="AF5" s="4" t="s">
        <v>48</v>
      </c>
      <c r="AL5" s="4" t="s">
        <v>1454</v>
      </c>
      <c r="AM5" s="4" t="s">
        <v>1455</v>
      </c>
      <c r="AN5" s="4" t="s">
        <v>1456</v>
      </c>
      <c r="AO5" s="4" t="s">
        <v>879</v>
      </c>
      <c r="AP5" s="4" t="s">
        <v>116</v>
      </c>
      <c r="AQ5" s="4" t="s">
        <v>117</v>
      </c>
      <c r="AR5" s="4">
        <v>50</v>
      </c>
      <c r="AS5" s="4">
        <v>0.112</v>
      </c>
      <c r="AV5" s="4" t="s">
        <v>118</v>
      </c>
      <c r="AW5" s="4" t="s">
        <v>1044</v>
      </c>
      <c r="AX5" s="4">
        <v>25</v>
      </c>
      <c r="AY5" s="4">
        <v>100</v>
      </c>
      <c r="AZ5" s="4">
        <v>6.5</v>
      </c>
      <c r="BA5" s="4">
        <v>6.5</v>
      </c>
      <c r="BB5" s="4">
        <v>11.8</v>
      </c>
      <c r="BC5" s="4">
        <f>SUM(cna_product_database_catalog_website[[#This Row],[Box Length (cm)]]*cna_product_database_catalog_website[[#This Row],[Box Width (cm)]]*cna_product_database_catalog_website[[#This Row],[Box Height (cm)]]/1000000)</f>
        <v>4.9855000000000006E-4</v>
      </c>
      <c r="BD5" s="4">
        <f>SUM(cna_product_database_catalog_website[[#This Row],[Box CBM]]*35.3147)</f>
        <v>1.7606143685000002E-2</v>
      </c>
      <c r="BE5" s="4" t="s">
        <v>48</v>
      </c>
      <c r="BI5" s="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5" s="4">
        <f>SUM(cna_product_database_catalog_website[[#This Row],[Carton CFT]]/61024)</f>
        <v>0</v>
      </c>
      <c r="BM5" s="4" t="s">
        <v>48</v>
      </c>
      <c r="BO5" s="4" t="s">
        <v>48</v>
      </c>
      <c r="BP5" s="4" t="s">
        <v>48</v>
      </c>
      <c r="BQ5" s="4" t="s">
        <v>48</v>
      </c>
      <c r="BS5" s="4" t="s">
        <v>48</v>
      </c>
      <c r="BT5" s="4" t="s">
        <v>48</v>
      </c>
      <c r="BU5" s="4" t="s">
        <v>48</v>
      </c>
      <c r="BW5" s="4" t="s">
        <v>48</v>
      </c>
      <c r="BX5" s="4" t="s">
        <v>48</v>
      </c>
      <c r="BY5" s="4" t="s">
        <v>48</v>
      </c>
      <c r="BZ5" s="4" t="s">
        <v>48</v>
      </c>
      <c r="CA5" s="4" t="s">
        <v>48</v>
      </c>
      <c r="CB5" s="4" t="s">
        <v>48</v>
      </c>
      <c r="CC5" s="4" t="s">
        <v>48</v>
      </c>
      <c r="CD5" s="4" t="s">
        <v>48</v>
      </c>
      <c r="CE5" s="4" t="s">
        <v>48</v>
      </c>
      <c r="CF5" s="4" t="s">
        <v>48</v>
      </c>
      <c r="CG5" s="4" t="s">
        <v>48</v>
      </c>
      <c r="CH5" s="4" t="s">
        <v>48</v>
      </c>
      <c r="CI5" s="4" t="s">
        <v>48</v>
      </c>
      <c r="CJ5" s="4" t="s">
        <v>48</v>
      </c>
      <c r="CK5" s="4" t="s">
        <v>48</v>
      </c>
    </row>
    <row r="6" spans="1:89" s="4" customFormat="1" x14ac:dyDescent="0.25">
      <c r="A6" s="4" t="s">
        <v>2103</v>
      </c>
      <c r="B6" s="4" t="s">
        <v>2052</v>
      </c>
      <c r="C6" s="4" t="s">
        <v>1682</v>
      </c>
      <c r="D6" s="4" t="str">
        <f>cna_product_database_catalog_website[[#This Row],[MainCategory]]&amp;"&gt;"&amp;cna_product_database_catalog_website[[#This Row],[SubCategory1]]&amp;"&gt;"&amp;cna_product_database_catalog_website[[#This Row],[SubCategory2]]</f>
        <v>Bulbs&gt;A-Type&gt;A19 - X-Filament 27K</v>
      </c>
      <c r="E6" s="4">
        <v>15</v>
      </c>
      <c r="F6" s="4" t="s">
        <v>1436</v>
      </c>
      <c r="G6" s="5">
        <v>1175</v>
      </c>
      <c r="H6" s="9">
        <v>2.5</v>
      </c>
      <c r="I6" s="4" t="s">
        <v>1436</v>
      </c>
      <c r="J6" s="4" t="s">
        <v>1442</v>
      </c>
      <c r="K6" s="4" t="s">
        <v>119</v>
      </c>
      <c r="L6" s="4" t="s">
        <v>1090</v>
      </c>
      <c r="M6" s="12" t="str">
        <f>HYPERLINK(cna_product_database_catalog_website[[#This Row],[Spec Sheet Link]], cna_product_database_catalog_website[[#Headers],[Spec Sheet Link]])</f>
        <v>Spec Sheet Link</v>
      </c>
      <c r="N6" s="4" t="s">
        <v>47</v>
      </c>
      <c r="O6" s="5">
        <v>1</v>
      </c>
      <c r="P6" s="5">
        <v>1</v>
      </c>
      <c r="Q6" s="4" t="s">
        <v>120</v>
      </c>
      <c r="R6" s="4" t="s">
        <v>85</v>
      </c>
      <c r="S6" s="4" t="s">
        <v>121</v>
      </c>
      <c r="T6" s="4" t="s">
        <v>1070</v>
      </c>
      <c r="U6" s="4" t="s">
        <v>55</v>
      </c>
      <c r="V6" s="4" t="s">
        <v>69</v>
      </c>
      <c r="W6" s="4" t="s">
        <v>111</v>
      </c>
      <c r="X6" s="4" t="s">
        <v>70</v>
      </c>
      <c r="Y6" s="5" t="s">
        <v>1015</v>
      </c>
      <c r="Z6" s="5" t="s">
        <v>1006</v>
      </c>
      <c r="AA6" s="5" t="s">
        <v>60</v>
      </c>
      <c r="AB6" s="6" t="s">
        <v>1008</v>
      </c>
      <c r="AC6" s="6" t="s">
        <v>71</v>
      </c>
      <c r="AD6" s="4" t="s">
        <v>1072</v>
      </c>
      <c r="AF6" s="4" t="s">
        <v>48</v>
      </c>
      <c r="AL6" s="4" t="s">
        <v>124</v>
      </c>
      <c r="AM6" s="4" t="s">
        <v>122</v>
      </c>
      <c r="AN6" s="4" t="s">
        <v>123</v>
      </c>
      <c r="AO6" s="4" t="s">
        <v>115</v>
      </c>
      <c r="AP6" s="4" t="s">
        <v>116</v>
      </c>
      <c r="AQ6" s="4" t="s">
        <v>117</v>
      </c>
      <c r="AR6" s="4">
        <v>49</v>
      </c>
      <c r="AS6" s="4">
        <v>0.105</v>
      </c>
      <c r="AV6" s="4" t="s">
        <v>118</v>
      </c>
      <c r="AW6" s="4" t="s">
        <v>1044</v>
      </c>
      <c r="AX6" s="7">
        <v>50</v>
      </c>
      <c r="AY6" s="7">
        <v>100</v>
      </c>
      <c r="AZ6" s="4">
        <v>6.6</v>
      </c>
      <c r="BA6" s="4">
        <v>6.7</v>
      </c>
      <c r="BB6" s="4">
        <v>12.3</v>
      </c>
      <c r="BC6" s="4">
        <f>SUM(cna_product_database_catalog_website[[#This Row],[Box Length (cm)]]*cna_product_database_catalog_website[[#This Row],[Box Width (cm)]]*cna_product_database_catalog_website[[#This Row],[Box Height (cm)]]/1000000)</f>
        <v>5.4390600000000003E-4</v>
      </c>
      <c r="BD6" s="4">
        <f>SUM(cna_product_database_catalog_website[[#This Row],[Box CBM]]*35.3147)</f>
        <v>1.9207877218200001E-2</v>
      </c>
      <c r="BE6" s="4" t="s">
        <v>48</v>
      </c>
      <c r="BI6" s="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6" s="4">
        <f>SUM(cna_product_database_catalog_website[[#This Row],[Carton CFT]]/61024)</f>
        <v>0</v>
      </c>
      <c r="BM6" s="4" t="s">
        <v>48</v>
      </c>
      <c r="BO6" s="4" t="s">
        <v>48</v>
      </c>
      <c r="BP6" s="4" t="s">
        <v>48</v>
      </c>
      <c r="BQ6" s="4" t="s">
        <v>48</v>
      </c>
      <c r="BS6" s="4" t="s">
        <v>48</v>
      </c>
      <c r="BT6" s="4" t="s">
        <v>48</v>
      </c>
      <c r="BU6" s="4" t="s">
        <v>48</v>
      </c>
      <c r="BW6" s="4" t="s">
        <v>48</v>
      </c>
      <c r="BX6" s="4" t="s">
        <v>48</v>
      </c>
      <c r="BY6" s="4" t="s">
        <v>48</v>
      </c>
      <c r="BZ6" s="4" t="s">
        <v>48</v>
      </c>
      <c r="CA6" s="4" t="s">
        <v>48</v>
      </c>
      <c r="CB6" s="4" t="s">
        <v>48</v>
      </c>
      <c r="CC6" s="4" t="s">
        <v>48</v>
      </c>
      <c r="CD6" s="4" t="s">
        <v>48</v>
      </c>
      <c r="CE6" s="4" t="s">
        <v>48</v>
      </c>
      <c r="CF6" s="4" t="s">
        <v>48</v>
      </c>
      <c r="CG6" s="4" t="s">
        <v>48</v>
      </c>
      <c r="CH6" s="4" t="s">
        <v>48</v>
      </c>
      <c r="CI6" s="4" t="s">
        <v>48</v>
      </c>
      <c r="CJ6" s="4" t="s">
        <v>48</v>
      </c>
    </row>
    <row r="7" spans="1:89" s="4" customFormat="1" x14ac:dyDescent="0.25">
      <c r="A7" s="4" t="s">
        <v>2103</v>
      </c>
      <c r="B7" s="4" t="s">
        <v>2052</v>
      </c>
      <c r="C7" s="4" t="s">
        <v>1683</v>
      </c>
      <c r="D7" s="4" t="str">
        <f>cna_product_database_catalog_website[[#This Row],[MainCategory]]&amp;"&gt;"&amp;cna_product_database_catalog_website[[#This Row],[SubCategory1]]&amp;"&gt;"&amp;cna_product_database_catalog_website[[#This Row],[SubCategory2]]</f>
        <v>Bulbs&gt;A-Type&gt;A19 - X-Filament 30K</v>
      </c>
      <c r="E7" s="4">
        <v>16</v>
      </c>
      <c r="F7" s="4" t="s">
        <v>1435</v>
      </c>
      <c r="G7" s="5">
        <v>1170</v>
      </c>
      <c r="H7" s="9">
        <v>2.5</v>
      </c>
      <c r="I7" s="4" t="s">
        <v>1435</v>
      </c>
      <c r="J7" s="4" t="s">
        <v>1443</v>
      </c>
      <c r="K7" s="4" t="s">
        <v>119</v>
      </c>
      <c r="L7" s="4" t="s">
        <v>1090</v>
      </c>
      <c r="M7" s="12" t="str">
        <f>HYPERLINK(cna_product_database_catalog_website[[#This Row],[Spec Sheet Link]], cna_product_database_catalog_website[[#Headers],[Spec Sheet Link]])</f>
        <v>Spec Sheet Link</v>
      </c>
      <c r="N7" s="4" t="s">
        <v>47</v>
      </c>
      <c r="O7" s="5">
        <v>1</v>
      </c>
      <c r="P7" s="5">
        <v>1</v>
      </c>
      <c r="Q7" s="4" t="s">
        <v>120</v>
      </c>
      <c r="R7" s="4" t="s">
        <v>85</v>
      </c>
      <c r="S7" s="4" t="s">
        <v>121</v>
      </c>
      <c r="T7" s="4" t="s">
        <v>1070</v>
      </c>
      <c r="U7" s="4" t="s">
        <v>55</v>
      </c>
      <c r="V7" s="4" t="s">
        <v>69</v>
      </c>
      <c r="W7" s="4" t="s">
        <v>111</v>
      </c>
      <c r="X7" s="4" t="s">
        <v>78</v>
      </c>
      <c r="Y7" s="5" t="s">
        <v>1015</v>
      </c>
      <c r="Z7" s="5" t="s">
        <v>1006</v>
      </c>
      <c r="AA7" s="5" t="s">
        <v>60</v>
      </c>
      <c r="AB7" s="6" t="s">
        <v>1008</v>
      </c>
      <c r="AC7" s="6" t="s">
        <v>71</v>
      </c>
      <c r="AD7" s="4" t="s">
        <v>1072</v>
      </c>
      <c r="AF7" s="4" t="s">
        <v>48</v>
      </c>
      <c r="AL7" s="4" t="s">
        <v>124</v>
      </c>
      <c r="AM7" s="4" t="s">
        <v>122</v>
      </c>
      <c r="AN7" s="4" t="s">
        <v>123</v>
      </c>
      <c r="AO7" s="4" t="s">
        <v>115</v>
      </c>
      <c r="AP7" s="4" t="s">
        <v>116</v>
      </c>
      <c r="AQ7" s="4" t="s">
        <v>117</v>
      </c>
      <c r="AR7" s="4">
        <v>49</v>
      </c>
      <c r="AS7" s="4">
        <v>0.105</v>
      </c>
      <c r="AV7" s="4" t="s">
        <v>118</v>
      </c>
      <c r="AW7" s="4" t="s">
        <v>1044</v>
      </c>
      <c r="AX7" s="7">
        <v>50</v>
      </c>
      <c r="AY7" s="7">
        <v>100</v>
      </c>
      <c r="AZ7" s="4">
        <v>6.6</v>
      </c>
      <c r="BA7" s="4">
        <v>6.7</v>
      </c>
      <c r="BB7" s="4">
        <v>12.3</v>
      </c>
      <c r="BC7" s="4">
        <f>SUM(cna_product_database_catalog_website[[#This Row],[Box Length (cm)]]*cna_product_database_catalog_website[[#This Row],[Box Width (cm)]]*cna_product_database_catalog_website[[#This Row],[Box Height (cm)]]/1000000)</f>
        <v>5.4390600000000003E-4</v>
      </c>
      <c r="BD7" s="4">
        <f>SUM(cna_product_database_catalog_website[[#This Row],[Box CBM]]*35.3147)</f>
        <v>1.9207877218200001E-2</v>
      </c>
      <c r="BE7" s="4" t="s">
        <v>48</v>
      </c>
      <c r="BI7" s="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7" s="4">
        <f>SUM(cna_product_database_catalog_website[[#This Row],[Carton CFT]]/61024)</f>
        <v>0</v>
      </c>
      <c r="BM7" s="4" t="s">
        <v>48</v>
      </c>
      <c r="BO7" s="4" t="s">
        <v>48</v>
      </c>
      <c r="BP7" s="4" t="s">
        <v>48</v>
      </c>
      <c r="BQ7" s="4" t="s">
        <v>48</v>
      </c>
      <c r="BS7" s="4" t="s">
        <v>48</v>
      </c>
      <c r="BT7" s="4" t="s">
        <v>48</v>
      </c>
      <c r="BU7" s="4" t="s">
        <v>48</v>
      </c>
      <c r="BW7" s="4" t="s">
        <v>48</v>
      </c>
      <c r="BX7" s="4" t="s">
        <v>48</v>
      </c>
      <c r="BY7" s="4" t="s">
        <v>48</v>
      </c>
      <c r="BZ7" s="4" t="s">
        <v>48</v>
      </c>
      <c r="CA7" s="4" t="s">
        <v>48</v>
      </c>
      <c r="CB7" s="4" t="s">
        <v>48</v>
      </c>
      <c r="CC7" s="4" t="s">
        <v>48</v>
      </c>
      <c r="CD7" s="4" t="s">
        <v>48</v>
      </c>
      <c r="CE7" s="4" t="s">
        <v>48</v>
      </c>
      <c r="CF7" s="4" t="s">
        <v>48</v>
      </c>
      <c r="CG7" s="4" t="s">
        <v>48</v>
      </c>
      <c r="CH7" s="4" t="s">
        <v>48</v>
      </c>
      <c r="CI7" s="4" t="s">
        <v>48</v>
      </c>
      <c r="CJ7" s="4" t="s">
        <v>48</v>
      </c>
    </row>
    <row r="8" spans="1:89" s="4" customFormat="1" x14ac:dyDescent="0.25">
      <c r="A8" s="4" t="s">
        <v>2103</v>
      </c>
      <c r="B8" s="4" t="s">
        <v>2052</v>
      </c>
      <c r="C8" s="4" t="s">
        <v>1684</v>
      </c>
      <c r="D8" s="4" t="str">
        <f>cna_product_database_catalog_website[[#This Row],[MainCategory]]&amp;"&gt;"&amp;cna_product_database_catalog_website[[#This Row],[SubCategory1]]&amp;"&gt;"&amp;cna_product_database_catalog_website[[#This Row],[SubCategory2]]</f>
        <v>Bulbs&gt;A-Type&gt;A19 - X-Filament 40K</v>
      </c>
      <c r="E8" s="4">
        <v>17</v>
      </c>
      <c r="F8" s="4" t="s">
        <v>1434</v>
      </c>
      <c r="G8" s="5">
        <v>1173</v>
      </c>
      <c r="H8" s="9">
        <v>2.5</v>
      </c>
      <c r="I8" s="4" t="s">
        <v>1434</v>
      </c>
      <c r="J8" s="4" t="s">
        <v>1444</v>
      </c>
      <c r="K8" s="4" t="s">
        <v>119</v>
      </c>
      <c r="L8" s="4" t="s">
        <v>1090</v>
      </c>
      <c r="M8" s="12" t="str">
        <f>HYPERLINK(cna_product_database_catalog_website[[#This Row],[Spec Sheet Link]], cna_product_database_catalog_website[[#Headers],[Spec Sheet Link]])</f>
        <v>Spec Sheet Link</v>
      </c>
      <c r="N8" s="4" t="s">
        <v>47</v>
      </c>
      <c r="O8" s="5">
        <v>1</v>
      </c>
      <c r="P8" s="5">
        <v>1</v>
      </c>
      <c r="Q8" s="4" t="s">
        <v>120</v>
      </c>
      <c r="R8" s="4" t="s">
        <v>85</v>
      </c>
      <c r="S8" s="4" t="s">
        <v>121</v>
      </c>
      <c r="T8" s="4" t="s">
        <v>1070</v>
      </c>
      <c r="U8" s="4" t="s">
        <v>55</v>
      </c>
      <c r="V8" s="4" t="s">
        <v>69</v>
      </c>
      <c r="W8" s="4" t="s">
        <v>111</v>
      </c>
      <c r="X8" s="4" t="s">
        <v>58</v>
      </c>
      <c r="Y8" s="5" t="s">
        <v>1015</v>
      </c>
      <c r="Z8" s="5" t="s">
        <v>1006</v>
      </c>
      <c r="AA8" s="5" t="s">
        <v>60</v>
      </c>
      <c r="AB8" s="6" t="s">
        <v>1008</v>
      </c>
      <c r="AC8" s="6" t="s">
        <v>71</v>
      </c>
      <c r="AD8" s="4" t="s">
        <v>1072</v>
      </c>
      <c r="AF8" s="4" t="s">
        <v>48</v>
      </c>
      <c r="AL8" s="4" t="s">
        <v>124</v>
      </c>
      <c r="AM8" s="4" t="s">
        <v>122</v>
      </c>
      <c r="AN8" s="4" t="s">
        <v>123</v>
      </c>
      <c r="AO8" s="4" t="s">
        <v>115</v>
      </c>
      <c r="AP8" s="4" t="s">
        <v>116</v>
      </c>
      <c r="AQ8" s="4" t="s">
        <v>117</v>
      </c>
      <c r="AR8" s="4">
        <v>49</v>
      </c>
      <c r="AS8" s="4">
        <v>0.105</v>
      </c>
      <c r="AV8" s="4" t="s">
        <v>118</v>
      </c>
      <c r="AW8" s="4" t="s">
        <v>1044</v>
      </c>
      <c r="AX8" s="7">
        <v>50</v>
      </c>
      <c r="AY8" s="7">
        <v>100</v>
      </c>
      <c r="AZ8" s="4">
        <v>6.6</v>
      </c>
      <c r="BA8" s="4">
        <v>6.7</v>
      </c>
      <c r="BB8" s="4">
        <v>12.3</v>
      </c>
      <c r="BC8" s="4">
        <f>SUM(cna_product_database_catalog_website[[#This Row],[Box Length (cm)]]*cna_product_database_catalog_website[[#This Row],[Box Width (cm)]]*cna_product_database_catalog_website[[#This Row],[Box Height (cm)]]/1000000)</f>
        <v>5.4390600000000003E-4</v>
      </c>
      <c r="BD8" s="4">
        <f>SUM(cna_product_database_catalog_website[[#This Row],[Box CBM]]*35.3147)</f>
        <v>1.9207877218200001E-2</v>
      </c>
      <c r="BE8" s="4" t="s">
        <v>48</v>
      </c>
      <c r="BI8" s="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8" s="4">
        <f>SUM(cna_product_database_catalog_website[[#This Row],[Carton CFT]]/61024)</f>
        <v>0</v>
      </c>
      <c r="BM8" s="4" t="s">
        <v>48</v>
      </c>
      <c r="BO8" s="4" t="s">
        <v>48</v>
      </c>
      <c r="BP8" s="4" t="s">
        <v>48</v>
      </c>
      <c r="BQ8" s="4" t="s">
        <v>48</v>
      </c>
      <c r="BS8" s="4" t="s">
        <v>48</v>
      </c>
      <c r="BT8" s="4" t="s">
        <v>48</v>
      </c>
      <c r="BU8" s="4" t="s">
        <v>48</v>
      </c>
      <c r="BW8" s="4" t="s">
        <v>48</v>
      </c>
      <c r="BX8" s="4" t="s">
        <v>48</v>
      </c>
      <c r="BY8" s="4" t="s">
        <v>48</v>
      </c>
      <c r="BZ8" s="4" t="s">
        <v>48</v>
      </c>
      <c r="CA8" s="4" t="s">
        <v>48</v>
      </c>
      <c r="CB8" s="4" t="s">
        <v>48</v>
      </c>
      <c r="CC8" s="4" t="s">
        <v>48</v>
      </c>
      <c r="CD8" s="4" t="s">
        <v>48</v>
      </c>
      <c r="CE8" s="4" t="s">
        <v>48</v>
      </c>
      <c r="CF8" s="4" t="s">
        <v>48</v>
      </c>
      <c r="CG8" s="4" t="s">
        <v>48</v>
      </c>
      <c r="CH8" s="4" t="s">
        <v>48</v>
      </c>
      <c r="CI8" s="4" t="s">
        <v>48</v>
      </c>
      <c r="CJ8" s="4" t="s">
        <v>48</v>
      </c>
    </row>
    <row r="9" spans="1:89" s="4" customFormat="1" x14ac:dyDescent="0.25">
      <c r="A9" s="4" t="s">
        <v>2103</v>
      </c>
      <c r="B9" s="4" t="s">
        <v>2052</v>
      </c>
      <c r="C9" s="4" t="s">
        <v>1685</v>
      </c>
      <c r="D9" s="4" t="str">
        <f>cna_product_database_catalog_website[[#This Row],[MainCategory]]&amp;"&gt;"&amp;cna_product_database_catalog_website[[#This Row],[SubCategory1]]&amp;"&gt;"&amp;cna_product_database_catalog_website[[#This Row],[SubCategory2]]</f>
        <v>Bulbs&gt;A-Type&gt;A19 - X-Filament 50K</v>
      </c>
      <c r="E9" s="4">
        <v>18</v>
      </c>
      <c r="F9" s="4" t="s">
        <v>1433</v>
      </c>
      <c r="G9" s="5">
        <v>1174</v>
      </c>
      <c r="H9" s="9">
        <v>2.5</v>
      </c>
      <c r="I9" s="4" t="s">
        <v>1433</v>
      </c>
      <c r="J9" s="4" t="s">
        <v>1445</v>
      </c>
      <c r="K9" s="4" t="s">
        <v>119</v>
      </c>
      <c r="L9" s="4" t="s">
        <v>1090</v>
      </c>
      <c r="M9" s="12" t="str">
        <f>HYPERLINK(cna_product_database_catalog_website[[#This Row],[Spec Sheet Link]], cna_product_database_catalog_website[[#Headers],[Spec Sheet Link]])</f>
        <v>Spec Sheet Link</v>
      </c>
      <c r="N9" s="4" t="s">
        <v>47</v>
      </c>
      <c r="O9" s="5">
        <v>1</v>
      </c>
      <c r="P9" s="5">
        <v>1</v>
      </c>
      <c r="Q9" s="4" t="s">
        <v>120</v>
      </c>
      <c r="R9" s="4" t="s">
        <v>85</v>
      </c>
      <c r="S9" s="4" t="s">
        <v>121</v>
      </c>
      <c r="T9" s="4" t="s">
        <v>1070</v>
      </c>
      <c r="U9" s="4" t="s">
        <v>55</v>
      </c>
      <c r="V9" s="4" t="s">
        <v>69</v>
      </c>
      <c r="W9" s="4" t="s">
        <v>111</v>
      </c>
      <c r="X9" s="4" t="s">
        <v>803</v>
      </c>
      <c r="Y9" s="5" t="s">
        <v>1015</v>
      </c>
      <c r="Z9" s="5" t="s">
        <v>1006</v>
      </c>
      <c r="AA9" s="5" t="s">
        <v>60</v>
      </c>
      <c r="AB9" s="6" t="s">
        <v>1008</v>
      </c>
      <c r="AC9" s="6" t="s">
        <v>71</v>
      </c>
      <c r="AD9" s="4" t="s">
        <v>1072</v>
      </c>
      <c r="AF9" s="4" t="s">
        <v>48</v>
      </c>
      <c r="AL9" s="4" t="s">
        <v>124</v>
      </c>
      <c r="AM9" s="4" t="s">
        <v>122</v>
      </c>
      <c r="AN9" s="4" t="s">
        <v>123</v>
      </c>
      <c r="AO9" s="4" t="s">
        <v>115</v>
      </c>
      <c r="AP9" s="4" t="s">
        <v>116</v>
      </c>
      <c r="AQ9" s="4" t="s">
        <v>117</v>
      </c>
      <c r="AR9" s="4">
        <v>49</v>
      </c>
      <c r="AS9" s="4">
        <v>0.105</v>
      </c>
      <c r="AV9" s="4" t="s">
        <v>118</v>
      </c>
      <c r="AW9" s="4" t="s">
        <v>1044</v>
      </c>
      <c r="AX9" s="7">
        <v>50</v>
      </c>
      <c r="AY9" s="7">
        <v>100</v>
      </c>
      <c r="AZ9" s="4">
        <v>6.6</v>
      </c>
      <c r="BA9" s="4">
        <v>6.7</v>
      </c>
      <c r="BB9" s="4">
        <v>12.3</v>
      </c>
      <c r="BC9" s="4">
        <f>SUM(cna_product_database_catalog_website[[#This Row],[Box Length (cm)]]*cna_product_database_catalog_website[[#This Row],[Box Width (cm)]]*cna_product_database_catalog_website[[#This Row],[Box Height (cm)]]/1000000)</f>
        <v>5.4390600000000003E-4</v>
      </c>
      <c r="BD9" s="4">
        <f>SUM(cna_product_database_catalog_website[[#This Row],[Box CBM]]*35.3147)</f>
        <v>1.9207877218200001E-2</v>
      </c>
      <c r="BE9" s="4" t="s">
        <v>48</v>
      </c>
      <c r="BI9" s="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9" s="4">
        <f>SUM(cna_product_database_catalog_website[[#This Row],[Carton CFT]]/61024)</f>
        <v>0</v>
      </c>
      <c r="BM9" s="4" t="s">
        <v>48</v>
      </c>
      <c r="BO9" s="4" t="s">
        <v>48</v>
      </c>
      <c r="BP9" s="4" t="s">
        <v>48</v>
      </c>
      <c r="BQ9" s="4" t="s">
        <v>48</v>
      </c>
      <c r="BS9" s="4" t="s">
        <v>48</v>
      </c>
      <c r="BT9" s="4" t="s">
        <v>48</v>
      </c>
      <c r="BU9" s="4" t="s">
        <v>48</v>
      </c>
      <c r="BW9" s="4" t="s">
        <v>48</v>
      </c>
      <c r="BX9" s="4" t="s">
        <v>48</v>
      </c>
      <c r="BY9" s="4" t="s">
        <v>48</v>
      </c>
      <c r="BZ9" s="4" t="s">
        <v>48</v>
      </c>
      <c r="CA9" s="4" t="s">
        <v>48</v>
      </c>
      <c r="CB9" s="4" t="s">
        <v>48</v>
      </c>
      <c r="CC9" s="4" t="s">
        <v>48</v>
      </c>
      <c r="CD9" s="4" t="s">
        <v>48</v>
      </c>
      <c r="CE9" s="4" t="s">
        <v>48</v>
      </c>
      <c r="CF9" s="4" t="s">
        <v>48</v>
      </c>
      <c r="CG9" s="4" t="s">
        <v>48</v>
      </c>
      <c r="CH9" s="4" t="s">
        <v>48</v>
      </c>
      <c r="CI9" s="4" t="s">
        <v>48</v>
      </c>
      <c r="CJ9" s="4" t="s">
        <v>48</v>
      </c>
    </row>
    <row r="10" spans="1:89" s="4" customFormat="1" x14ac:dyDescent="0.25">
      <c r="A10" s="4" t="s">
        <v>2103</v>
      </c>
      <c r="B10" s="4" t="s">
        <v>2052</v>
      </c>
      <c r="C10" s="4" t="s">
        <v>1813</v>
      </c>
      <c r="D10" s="4" t="str">
        <f>cna_product_database_catalog_website[[#This Row],[MainCategory]]&amp;"&gt;"&amp;cna_product_database_catalog_website[[#This Row],[SubCategory1]]&amp;"&gt;"&amp;cna_product_database_catalog_website[[#This Row],[SubCategory2]]</f>
        <v>Bulbs&gt;A-Type&gt;A19 - Milky / Opaque 30K</v>
      </c>
      <c r="E10" s="4">
        <v>19</v>
      </c>
      <c r="F10" s="4" t="s">
        <v>1062</v>
      </c>
      <c r="G10" s="5">
        <v>1105</v>
      </c>
      <c r="H10" s="9">
        <v>2.9</v>
      </c>
      <c r="I10" s="4" t="s">
        <v>1062</v>
      </c>
      <c r="J10" s="4" t="s">
        <v>1062</v>
      </c>
      <c r="K10" s="4" t="s">
        <v>1065</v>
      </c>
      <c r="L10" s="4" t="s">
        <v>1066</v>
      </c>
      <c r="M10" s="12" t="str">
        <f>HYPERLINK(cna_product_database_catalog_website[[#This Row],[Spec Sheet Link]], cna_product_database_catalog_website[[#Headers],[Spec Sheet Link]])</f>
        <v>Spec Sheet Link</v>
      </c>
      <c r="N10" s="4" t="s">
        <v>47</v>
      </c>
      <c r="O10" s="5">
        <v>1</v>
      </c>
      <c r="P10" s="5">
        <v>1</v>
      </c>
      <c r="Q10" s="4" t="s">
        <v>120</v>
      </c>
      <c r="R10" s="4" t="s">
        <v>85</v>
      </c>
      <c r="S10" s="4" t="s">
        <v>121</v>
      </c>
      <c r="T10" s="4" t="s">
        <v>1070</v>
      </c>
      <c r="U10" s="4" t="s">
        <v>55</v>
      </c>
      <c r="V10" s="4" t="s">
        <v>69</v>
      </c>
      <c r="W10" s="4" t="s">
        <v>111</v>
      </c>
      <c r="X10" s="4" t="s">
        <v>78</v>
      </c>
      <c r="Y10" s="5" t="s">
        <v>1015</v>
      </c>
      <c r="Z10" s="5" t="s">
        <v>1006</v>
      </c>
      <c r="AA10" s="5" t="s">
        <v>60</v>
      </c>
      <c r="AB10" s="6" t="s">
        <v>1008</v>
      </c>
      <c r="AC10" s="6" t="s">
        <v>71</v>
      </c>
      <c r="AD10" s="4" t="s">
        <v>1072</v>
      </c>
      <c r="AL10" s="4" t="s">
        <v>124</v>
      </c>
      <c r="AM10" s="4" t="s">
        <v>122</v>
      </c>
      <c r="AN10" s="4" t="s">
        <v>123</v>
      </c>
      <c r="AO10" s="4" t="s">
        <v>115</v>
      </c>
      <c r="AP10" s="4" t="s">
        <v>116</v>
      </c>
      <c r="AQ10" s="4" t="s">
        <v>117</v>
      </c>
      <c r="AR10" s="4">
        <v>49</v>
      </c>
      <c r="AS10" s="4">
        <v>0.105</v>
      </c>
      <c r="AV10" s="4" t="s">
        <v>118</v>
      </c>
      <c r="AW10" s="4" t="s">
        <v>1044</v>
      </c>
      <c r="AX10" s="7">
        <v>50</v>
      </c>
      <c r="AY10" s="7">
        <v>100</v>
      </c>
      <c r="AZ10" s="4">
        <v>6.6</v>
      </c>
      <c r="BA10" s="4">
        <v>6.7</v>
      </c>
      <c r="BB10" s="4">
        <v>12.3</v>
      </c>
      <c r="BC10" s="4">
        <f>SUM(cna_product_database_catalog_website[[#This Row],[Box Length (cm)]]*cna_product_database_catalog_website[[#This Row],[Box Width (cm)]]*cna_product_database_catalog_website[[#This Row],[Box Height (cm)]]/1000000)</f>
        <v>5.4390600000000003E-4</v>
      </c>
      <c r="BD10" s="4">
        <f>SUM(cna_product_database_catalog_website[[#This Row],[Box CBM]]*35.3147)</f>
        <v>1.9207877218200001E-2</v>
      </c>
      <c r="BI10" s="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0" s="4">
        <f>SUM(cna_product_database_catalog_website[[#This Row],[Carton CFT]]/61024)</f>
        <v>0</v>
      </c>
    </row>
    <row r="11" spans="1:89" x14ac:dyDescent="0.25">
      <c r="A11" s="4" t="s">
        <v>2103</v>
      </c>
      <c r="B11" s="4" t="s">
        <v>2052</v>
      </c>
      <c r="C11" s="4" t="s">
        <v>1697</v>
      </c>
      <c r="D11" s="4" t="str">
        <f>cna_product_database_catalog_website[[#This Row],[MainCategory]]&amp;"&gt;"&amp;cna_product_database_catalog_website[[#This Row],[SubCategory1]]&amp;"&gt;"&amp;cna_product_database_catalog_website[[#This Row],[SubCategory2]]</f>
        <v>Bulbs&gt;A-Type&gt;A19 5-Pack 30K</v>
      </c>
      <c r="E11">
        <v>25</v>
      </c>
      <c r="F11" t="s">
        <v>230</v>
      </c>
      <c r="G11" s="3">
        <v>959</v>
      </c>
      <c r="H11" s="8">
        <v>4.75</v>
      </c>
      <c r="I11" t="s">
        <v>230</v>
      </c>
      <c r="J11" t="s">
        <v>230</v>
      </c>
      <c r="K11" t="s">
        <v>231</v>
      </c>
      <c r="L11" t="s">
        <v>232</v>
      </c>
      <c r="M11" s="12" t="str">
        <f>HYPERLINK(cna_product_database_catalog_website[[#This Row],[Spec Sheet Link]], cna_product_database_catalog_website[[#Headers],[Spec Sheet Link]])</f>
        <v>Spec Sheet Link</v>
      </c>
      <c r="N11" t="s">
        <v>47</v>
      </c>
      <c r="O11" s="3">
        <v>1</v>
      </c>
      <c r="P11" s="3">
        <v>1</v>
      </c>
      <c r="Q11" t="s">
        <v>239</v>
      </c>
      <c r="R11" t="s">
        <v>198</v>
      </c>
      <c r="S11" t="s">
        <v>121</v>
      </c>
      <c r="T11" t="s">
        <v>1094</v>
      </c>
      <c r="U11" t="s">
        <v>55</v>
      </c>
      <c r="V11" t="s">
        <v>233</v>
      </c>
      <c r="W11" t="s">
        <v>88</v>
      </c>
      <c r="X11" t="s">
        <v>78</v>
      </c>
      <c r="Y11" s="3" t="s">
        <v>1019</v>
      </c>
      <c r="Z11" s="3" t="s">
        <v>1006</v>
      </c>
      <c r="AA11" s="3" t="s">
        <v>96</v>
      </c>
      <c r="AB11" s="1" t="s">
        <v>1008</v>
      </c>
      <c r="AC11" s="1" t="s">
        <v>48</v>
      </c>
      <c r="AD11" t="s">
        <v>59</v>
      </c>
      <c r="AE11"/>
      <c r="AF11" t="s">
        <v>48</v>
      </c>
      <c r="AG11" t="s">
        <v>48</v>
      </c>
      <c r="AH11" t="s">
        <v>48</v>
      </c>
      <c r="AL11" t="s">
        <v>1935</v>
      </c>
      <c r="AM11" t="s">
        <v>1936</v>
      </c>
      <c r="AN11" t="s">
        <v>113</v>
      </c>
      <c r="AO11" t="s">
        <v>879</v>
      </c>
      <c r="AP11" t="s">
        <v>116</v>
      </c>
      <c r="AQ11" t="s">
        <v>117</v>
      </c>
      <c r="AR11">
        <v>44</v>
      </c>
      <c r="AS11">
        <v>0.1</v>
      </c>
      <c r="AV11" t="s">
        <v>236</v>
      </c>
      <c r="AW11" t="s">
        <v>1044</v>
      </c>
      <c r="AX11" s="2" t="s">
        <v>234</v>
      </c>
      <c r="AY11" s="2" t="s">
        <v>235</v>
      </c>
      <c r="AZ11">
        <v>31</v>
      </c>
      <c r="BA11">
        <v>6.5</v>
      </c>
      <c r="BB11">
        <v>11.1</v>
      </c>
      <c r="BC11">
        <f>SUM(cna_product_database_catalog_website[[#This Row],[Box Length (cm)]]*cna_product_database_catalog_website[[#This Row],[Box Width (cm)]]*cna_product_database_catalog_website[[#This Row],[Box Height (cm)]]/1000000)</f>
        <v>2.2366500000000002E-3</v>
      </c>
      <c r="BD11">
        <f>SUM(cna_product_database_catalog_website[[#This Row],[Box CBM]]*35.3147)</f>
        <v>7.8986623755000013E-2</v>
      </c>
      <c r="BE11" t="s">
        <v>48</v>
      </c>
      <c r="BI1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1">
        <f>SUM(cna_product_database_catalog_website[[#This Row],[Carton CFT]]/61024)</f>
        <v>0</v>
      </c>
      <c r="BM11" t="s">
        <v>48</v>
      </c>
      <c r="BN11"/>
      <c r="BO11" t="s">
        <v>48</v>
      </c>
      <c r="BP11" t="s">
        <v>48</v>
      </c>
      <c r="BQ11" t="s">
        <v>48</v>
      </c>
      <c r="BS11" t="s">
        <v>48</v>
      </c>
      <c r="BT11" t="s">
        <v>48</v>
      </c>
      <c r="BU11" t="s">
        <v>48</v>
      </c>
      <c r="BW11" t="s">
        <v>48</v>
      </c>
      <c r="BX11" t="s">
        <v>48</v>
      </c>
      <c r="BY11" t="s">
        <v>48</v>
      </c>
      <c r="BZ11" t="s">
        <v>48</v>
      </c>
      <c r="CA11" t="s">
        <v>48</v>
      </c>
      <c r="CB11" t="s">
        <v>48</v>
      </c>
      <c r="CC11" t="s">
        <v>48</v>
      </c>
      <c r="CD11" t="s">
        <v>48</v>
      </c>
      <c r="CE11" t="s">
        <v>48</v>
      </c>
      <c r="CF11" t="s">
        <v>48</v>
      </c>
      <c r="CG11" t="s">
        <v>48</v>
      </c>
      <c r="CH11" t="s">
        <v>48</v>
      </c>
      <c r="CI11" t="s">
        <v>48</v>
      </c>
      <c r="CJ11" t="s">
        <v>48</v>
      </c>
    </row>
    <row r="12" spans="1:89" x14ac:dyDescent="0.25">
      <c r="A12" s="4" t="s">
        <v>2103</v>
      </c>
      <c r="B12" s="4" t="s">
        <v>2052</v>
      </c>
      <c r="C12" s="4" t="s">
        <v>1698</v>
      </c>
      <c r="D12" s="4" t="str">
        <f>cna_product_database_catalog_website[[#This Row],[MainCategory]]&amp;"&gt;"&amp;cna_product_database_catalog_website[[#This Row],[SubCategory1]]&amp;"&gt;"&amp;cna_product_database_catalog_website[[#This Row],[SubCategory2]]</f>
        <v>Bulbs&gt;A-Type&gt;A19 5-Pack 40K</v>
      </c>
      <c r="E12">
        <v>26</v>
      </c>
      <c r="F12" t="s">
        <v>237</v>
      </c>
      <c r="G12" s="3">
        <v>900</v>
      </c>
      <c r="H12" s="8">
        <v>4.75</v>
      </c>
      <c r="I12" t="s">
        <v>237</v>
      </c>
      <c r="J12" t="s">
        <v>237</v>
      </c>
      <c r="K12" t="s">
        <v>238</v>
      </c>
      <c r="L12" t="s">
        <v>232</v>
      </c>
      <c r="M12" s="12" t="str">
        <f>HYPERLINK(cna_product_database_catalog_website[[#This Row],[Spec Sheet Link]], cna_product_database_catalog_website[[#Headers],[Spec Sheet Link]])</f>
        <v>Spec Sheet Link</v>
      </c>
      <c r="N12" t="s">
        <v>47</v>
      </c>
      <c r="O12" s="3">
        <v>1</v>
      </c>
      <c r="P12" s="3">
        <v>1</v>
      </c>
      <c r="Q12" t="s">
        <v>239</v>
      </c>
      <c r="R12" t="s">
        <v>85</v>
      </c>
      <c r="S12" t="s">
        <v>121</v>
      </c>
      <c r="T12" t="s">
        <v>1094</v>
      </c>
      <c r="U12" t="s">
        <v>55</v>
      </c>
      <c r="V12" t="s">
        <v>233</v>
      </c>
      <c r="W12" t="s">
        <v>88</v>
      </c>
      <c r="X12" t="s">
        <v>58</v>
      </c>
      <c r="Y12" s="3" t="s">
        <v>1019</v>
      </c>
      <c r="Z12" s="3" t="s">
        <v>1006</v>
      </c>
      <c r="AA12" s="3" t="s">
        <v>96</v>
      </c>
      <c r="AB12" s="1" t="s">
        <v>1008</v>
      </c>
      <c r="AC12" s="1" t="s">
        <v>240</v>
      </c>
      <c r="AD12" t="s">
        <v>59</v>
      </c>
      <c r="AE12"/>
      <c r="AF12" t="s">
        <v>48</v>
      </c>
      <c r="AG12" t="s">
        <v>48</v>
      </c>
      <c r="AH12" t="s">
        <v>48</v>
      </c>
      <c r="AL12" t="s">
        <v>1935</v>
      </c>
      <c r="AM12" t="s">
        <v>1936</v>
      </c>
      <c r="AN12" t="s">
        <v>113</v>
      </c>
      <c r="AO12" t="s">
        <v>879</v>
      </c>
      <c r="AP12" t="s">
        <v>116</v>
      </c>
      <c r="AQ12" t="s">
        <v>117</v>
      </c>
      <c r="AR12">
        <v>44</v>
      </c>
      <c r="AS12">
        <v>0.1</v>
      </c>
      <c r="AV12" t="s">
        <v>236</v>
      </c>
      <c r="AW12" t="s">
        <v>1044</v>
      </c>
      <c r="AX12" s="2" t="s">
        <v>234</v>
      </c>
      <c r="AY12" s="2" t="s">
        <v>235</v>
      </c>
      <c r="AZ12">
        <v>31</v>
      </c>
      <c r="BA12">
        <v>6.5</v>
      </c>
      <c r="BB12">
        <v>11.1</v>
      </c>
      <c r="BC12">
        <f>SUM(cna_product_database_catalog_website[[#This Row],[Box Length (cm)]]*cna_product_database_catalog_website[[#This Row],[Box Width (cm)]]*cna_product_database_catalog_website[[#This Row],[Box Height (cm)]]/1000000)</f>
        <v>2.2366500000000002E-3</v>
      </c>
      <c r="BD12">
        <f>SUM(cna_product_database_catalog_website[[#This Row],[Box CBM]]*35.3147)</f>
        <v>7.8986623755000013E-2</v>
      </c>
      <c r="BE12" t="s">
        <v>48</v>
      </c>
      <c r="BI1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2">
        <f>SUM(cna_product_database_catalog_website[[#This Row],[Carton CFT]]/61024)</f>
        <v>0</v>
      </c>
      <c r="BM12" t="s">
        <v>48</v>
      </c>
      <c r="BN12"/>
      <c r="BO12" t="s">
        <v>48</v>
      </c>
      <c r="BP12" t="s">
        <v>48</v>
      </c>
      <c r="BQ12" t="s">
        <v>48</v>
      </c>
      <c r="BS12" t="s">
        <v>48</v>
      </c>
      <c r="BT12" t="s">
        <v>48</v>
      </c>
      <c r="BU12" t="s">
        <v>48</v>
      </c>
      <c r="BW12" t="s">
        <v>48</v>
      </c>
      <c r="BX12" t="s">
        <v>48</v>
      </c>
      <c r="BY12" t="s">
        <v>48</v>
      </c>
      <c r="BZ12" t="s">
        <v>48</v>
      </c>
      <c r="CA12" t="s">
        <v>48</v>
      </c>
      <c r="CB12" t="s">
        <v>48</v>
      </c>
      <c r="CC12" t="s">
        <v>48</v>
      </c>
      <c r="CD12" t="s">
        <v>48</v>
      </c>
      <c r="CE12" t="s">
        <v>48</v>
      </c>
      <c r="CF12" t="s">
        <v>48</v>
      </c>
      <c r="CG12" t="s">
        <v>48</v>
      </c>
      <c r="CH12" t="s">
        <v>48</v>
      </c>
      <c r="CI12" t="s">
        <v>48</v>
      </c>
      <c r="CJ12" t="s">
        <v>48</v>
      </c>
    </row>
    <row r="13" spans="1:89" s="4" customFormat="1" x14ac:dyDescent="0.25">
      <c r="A13" s="4" t="s">
        <v>2103</v>
      </c>
      <c r="B13" s="4" t="s">
        <v>2052</v>
      </c>
      <c r="C13" s="4" t="s">
        <v>1223</v>
      </c>
      <c r="D13" s="4" t="str">
        <f>cna_product_database_catalog_website[[#This Row],[MainCategory]]&amp;"&gt;"&amp;cna_product_database_catalog_website[[#This Row],[SubCategory1]]&amp;"&gt;"&amp;cna_product_database_catalog_website[[#This Row],[SubCategory2]]</f>
        <v>Bulbs&gt;A-Type&gt;A19 - 5CCT</v>
      </c>
      <c r="E13" s="4">
        <v>30</v>
      </c>
      <c r="F13" s="4" t="s">
        <v>1877</v>
      </c>
      <c r="G13" s="5">
        <v>1216</v>
      </c>
      <c r="H13" s="9">
        <v>2.2000000000000002</v>
      </c>
      <c r="I13" s="4" t="s">
        <v>1877</v>
      </c>
      <c r="J13" s="4" t="s">
        <v>241</v>
      </c>
      <c r="K13" s="4" t="s">
        <v>242</v>
      </c>
      <c r="L13" s="4" t="s">
        <v>243</v>
      </c>
      <c r="M13" s="12" t="str">
        <f>HYPERLINK(cna_product_database_catalog_website[[#This Row],[Spec Sheet Link]], cna_product_database_catalog_website[[#Headers],[Spec Sheet Link]])</f>
        <v>Spec Sheet Link</v>
      </c>
      <c r="N13" s="4" t="s">
        <v>47</v>
      </c>
      <c r="O13" s="5">
        <v>1</v>
      </c>
      <c r="P13" s="5">
        <v>1</v>
      </c>
      <c r="Q13" s="4" t="s">
        <v>239</v>
      </c>
      <c r="R13" s="4" t="s">
        <v>53</v>
      </c>
      <c r="S13" s="4" t="s">
        <v>121</v>
      </c>
      <c r="T13" s="4" t="s">
        <v>1094</v>
      </c>
      <c r="U13" s="4" t="s">
        <v>55</v>
      </c>
      <c r="V13" s="4" t="s">
        <v>233</v>
      </c>
      <c r="W13" s="4" t="s">
        <v>88</v>
      </c>
      <c r="X13" s="4" t="s">
        <v>244</v>
      </c>
      <c r="Y13" s="5" t="s">
        <v>1020</v>
      </c>
      <c r="Z13" s="5" t="s">
        <v>1006</v>
      </c>
      <c r="AA13" s="5" t="s">
        <v>60</v>
      </c>
      <c r="AB13" s="6" t="s">
        <v>1008</v>
      </c>
      <c r="AC13" s="6" t="s">
        <v>48</v>
      </c>
      <c r="AD13" t="s">
        <v>59</v>
      </c>
      <c r="AE13"/>
      <c r="AF13" s="4" t="s">
        <v>48</v>
      </c>
      <c r="AG13" s="4" t="s">
        <v>48</v>
      </c>
      <c r="AH13" s="4" t="s">
        <v>48</v>
      </c>
      <c r="AL13" s="4" t="s">
        <v>1475</v>
      </c>
      <c r="AM13" s="4" t="s">
        <v>1474</v>
      </c>
      <c r="AN13" s="4" t="s">
        <v>326</v>
      </c>
      <c r="AO13" t="s">
        <v>879</v>
      </c>
      <c r="AP13" t="s">
        <v>116</v>
      </c>
      <c r="AQ13" t="s">
        <v>117</v>
      </c>
      <c r="AR13" s="4">
        <v>67</v>
      </c>
      <c r="AS13" s="4">
        <v>0.14699999999999999</v>
      </c>
      <c r="AV13" s="4" t="s">
        <v>236</v>
      </c>
      <c r="AW13" t="s">
        <v>1044</v>
      </c>
      <c r="AX13" s="7">
        <v>25</v>
      </c>
      <c r="AY13" s="7">
        <v>100</v>
      </c>
      <c r="AZ13" s="4">
        <v>6.3</v>
      </c>
      <c r="BA13" s="4">
        <v>6.3</v>
      </c>
      <c r="BB13" s="4">
        <v>12.5</v>
      </c>
      <c r="BC13" s="4">
        <f>SUM(cna_product_database_catalog_website[[#This Row],[Box Length (cm)]]*cna_product_database_catalog_website[[#This Row],[Box Width (cm)]]*cna_product_database_catalog_website[[#This Row],[Box Height (cm)]]/1000000)</f>
        <v>4.9612500000000004E-4</v>
      </c>
      <c r="BD13" s="4">
        <f>SUM(cna_product_database_catalog_website[[#This Row],[Box CBM]]*35.3147)</f>
        <v>1.7520505537500002E-2</v>
      </c>
      <c r="BE13" s="4" t="s">
        <v>48</v>
      </c>
      <c r="BI13" s="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3" s="4">
        <f>SUM(cna_product_database_catalog_website[[#This Row],[Carton CFT]]/61024)</f>
        <v>0</v>
      </c>
      <c r="BM13" s="4" t="s">
        <v>48</v>
      </c>
      <c r="BO13" s="4" t="s">
        <v>48</v>
      </c>
      <c r="BP13" s="4" t="s">
        <v>48</v>
      </c>
      <c r="BQ13" s="4" t="s">
        <v>48</v>
      </c>
      <c r="BS13" s="4" t="s">
        <v>48</v>
      </c>
      <c r="BT13" s="4" t="s">
        <v>48</v>
      </c>
      <c r="BU13" s="4" t="s">
        <v>48</v>
      </c>
      <c r="BW13" s="4" t="s">
        <v>48</v>
      </c>
      <c r="BX13" s="4" t="s">
        <v>48</v>
      </c>
      <c r="BY13" s="4" t="s">
        <v>48</v>
      </c>
      <c r="BZ13" s="4" t="s">
        <v>48</v>
      </c>
      <c r="CA13" s="4" t="s">
        <v>48</v>
      </c>
      <c r="CB13" s="4" t="s">
        <v>48</v>
      </c>
      <c r="CC13" s="4" t="s">
        <v>48</v>
      </c>
      <c r="CD13" s="4" t="s">
        <v>48</v>
      </c>
      <c r="CE13" s="4" t="s">
        <v>48</v>
      </c>
      <c r="CF13" s="4" t="s">
        <v>48</v>
      </c>
      <c r="CG13" s="4" t="s">
        <v>48</v>
      </c>
      <c r="CH13" s="4" t="s">
        <v>48</v>
      </c>
      <c r="CI13" s="4" t="s">
        <v>48</v>
      </c>
      <c r="CJ13" s="4" t="s">
        <v>48</v>
      </c>
    </row>
    <row r="14" spans="1:89" x14ac:dyDescent="0.25">
      <c r="A14" s="4" t="s">
        <v>2103</v>
      </c>
      <c r="B14" s="4" t="s">
        <v>2052</v>
      </c>
      <c r="C14" s="4" t="s">
        <v>1699</v>
      </c>
      <c r="D14" s="4" t="str">
        <f>cna_product_database_catalog_website[[#This Row],[MainCategory]]&amp;"&gt;"&amp;cna_product_database_catalog_website[[#This Row],[SubCategory1]]&amp;"&gt;"&amp;cna_product_database_catalog_website[[#This Row],[SubCategory2]]</f>
        <v>Bulbs&gt;A-Type&gt;A19 - Enclosed &amp; Dim 27K</v>
      </c>
      <c r="E14">
        <v>35</v>
      </c>
      <c r="F14" t="s">
        <v>245</v>
      </c>
      <c r="G14" s="3">
        <v>947</v>
      </c>
      <c r="H14" s="8">
        <v>1.7</v>
      </c>
      <c r="I14" t="s">
        <v>245</v>
      </c>
      <c r="J14" t="s">
        <v>245</v>
      </c>
      <c r="K14" t="s">
        <v>246</v>
      </c>
      <c r="L14" t="s">
        <v>247</v>
      </c>
      <c r="M14" s="12" t="str">
        <f>HYPERLINK(cna_product_database_catalog_website[[#This Row],[Spec Sheet Link]], cna_product_database_catalog_website[[#Headers],[Spec Sheet Link]])</f>
        <v>Spec Sheet Link</v>
      </c>
      <c r="N14" t="s">
        <v>47</v>
      </c>
      <c r="O14" s="3">
        <v>1</v>
      </c>
      <c r="P14" s="3">
        <v>1</v>
      </c>
      <c r="Q14" t="s">
        <v>239</v>
      </c>
      <c r="R14" t="s">
        <v>198</v>
      </c>
      <c r="S14" t="s">
        <v>121</v>
      </c>
      <c r="T14" t="s">
        <v>1094</v>
      </c>
      <c r="U14" t="s">
        <v>87</v>
      </c>
      <c r="V14" t="s">
        <v>233</v>
      </c>
      <c r="W14" t="s">
        <v>88</v>
      </c>
      <c r="X14" t="s">
        <v>70</v>
      </c>
      <c r="Y14" s="3" t="s">
        <v>1021</v>
      </c>
      <c r="Z14" s="3" t="s">
        <v>1006</v>
      </c>
      <c r="AA14" s="3" t="s">
        <v>60</v>
      </c>
      <c r="AB14" s="1" t="s">
        <v>1008</v>
      </c>
      <c r="AC14" s="1" t="s">
        <v>48</v>
      </c>
      <c r="AD14" t="s">
        <v>59</v>
      </c>
      <c r="AE14"/>
      <c r="AF14" t="s">
        <v>48</v>
      </c>
      <c r="AG14" t="s">
        <v>48</v>
      </c>
      <c r="AH14" t="s">
        <v>48</v>
      </c>
      <c r="AL14" t="s">
        <v>1939</v>
      </c>
      <c r="AM14" t="s">
        <v>1938</v>
      </c>
      <c r="AN14" t="s">
        <v>1937</v>
      </c>
      <c r="AO14" t="s">
        <v>879</v>
      </c>
      <c r="AP14" t="s">
        <v>116</v>
      </c>
      <c r="AQ14" t="s">
        <v>117</v>
      </c>
      <c r="AR14">
        <v>44</v>
      </c>
      <c r="AS14">
        <v>0.1</v>
      </c>
      <c r="AV14" t="s">
        <v>236</v>
      </c>
      <c r="AW14" t="s">
        <v>633</v>
      </c>
      <c r="AX14" s="2" t="s">
        <v>63</v>
      </c>
      <c r="AY14" s="2" t="s">
        <v>63</v>
      </c>
      <c r="AZ14">
        <v>6.3</v>
      </c>
      <c r="BA14">
        <v>6.3</v>
      </c>
      <c r="BB14">
        <v>11.1</v>
      </c>
      <c r="BC14">
        <f>SUM(cna_product_database_catalog_website[[#This Row],[Box Length (cm)]]*cna_product_database_catalog_website[[#This Row],[Box Width (cm)]]*cna_product_database_catalog_website[[#This Row],[Box Height (cm)]]/1000000)</f>
        <v>4.4055899999999998E-4</v>
      </c>
      <c r="BD14">
        <f>SUM(cna_product_database_catalog_website[[#This Row],[Box CBM]]*35.3147)</f>
        <v>1.55582089173E-2</v>
      </c>
      <c r="BE14" t="s">
        <v>48</v>
      </c>
      <c r="BI1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4">
        <f>SUM(cna_product_database_catalog_website[[#This Row],[Carton CFT]]/61024)</f>
        <v>0</v>
      </c>
      <c r="BM14" t="s">
        <v>48</v>
      </c>
      <c r="BN14"/>
      <c r="BO14" t="s">
        <v>48</v>
      </c>
      <c r="BP14" t="s">
        <v>48</v>
      </c>
      <c r="BQ14" t="s">
        <v>48</v>
      </c>
      <c r="BS14" t="s">
        <v>48</v>
      </c>
      <c r="BT14" t="s">
        <v>48</v>
      </c>
      <c r="BU14" t="s">
        <v>48</v>
      </c>
      <c r="BW14" t="s">
        <v>48</v>
      </c>
      <c r="BX14" t="s">
        <v>48</v>
      </c>
      <c r="BY14" t="s">
        <v>48</v>
      </c>
      <c r="BZ14" t="s">
        <v>48</v>
      </c>
      <c r="CA14" t="s">
        <v>48</v>
      </c>
      <c r="CB14" t="s">
        <v>48</v>
      </c>
      <c r="CC14" t="s">
        <v>48</v>
      </c>
      <c r="CD14" t="s">
        <v>48</v>
      </c>
      <c r="CE14" t="s">
        <v>48</v>
      </c>
      <c r="CF14" t="s">
        <v>48</v>
      </c>
      <c r="CG14" t="s">
        <v>48</v>
      </c>
      <c r="CH14" t="s">
        <v>48</v>
      </c>
      <c r="CI14" t="s">
        <v>48</v>
      </c>
      <c r="CJ14" t="s">
        <v>48</v>
      </c>
    </row>
    <row r="15" spans="1:89" x14ac:dyDescent="0.25">
      <c r="A15" s="4" t="s">
        <v>2103</v>
      </c>
      <c r="B15" s="4" t="s">
        <v>2052</v>
      </c>
      <c r="C15" s="4" t="s">
        <v>1700</v>
      </c>
      <c r="D15" s="4" t="str">
        <f>cna_product_database_catalog_website[[#This Row],[MainCategory]]&amp;"&gt;"&amp;cna_product_database_catalog_website[[#This Row],[SubCategory1]]&amp;"&gt;"&amp;cna_product_database_catalog_website[[#This Row],[SubCategory2]]</f>
        <v>Bulbs&gt;A-Type&gt;A19 - Enclosed &amp; Dim 40K</v>
      </c>
      <c r="E15">
        <v>36</v>
      </c>
      <c r="F15" t="s">
        <v>248</v>
      </c>
      <c r="G15" s="3">
        <v>949</v>
      </c>
      <c r="H15" s="8">
        <v>1.7</v>
      </c>
      <c r="I15" t="s">
        <v>248</v>
      </c>
      <c r="J15" t="s">
        <v>248</v>
      </c>
      <c r="K15" t="s">
        <v>246</v>
      </c>
      <c r="L15" t="s">
        <v>247</v>
      </c>
      <c r="M15" s="12" t="str">
        <f>HYPERLINK(cna_product_database_catalog_website[[#This Row],[Spec Sheet Link]], cna_product_database_catalog_website[[#Headers],[Spec Sheet Link]])</f>
        <v>Spec Sheet Link</v>
      </c>
      <c r="N15" t="s">
        <v>47</v>
      </c>
      <c r="O15" s="3">
        <v>1</v>
      </c>
      <c r="P15" s="3">
        <v>1</v>
      </c>
      <c r="Q15" t="s">
        <v>239</v>
      </c>
      <c r="R15" t="s">
        <v>198</v>
      </c>
      <c r="S15" t="s">
        <v>121</v>
      </c>
      <c r="T15" t="s">
        <v>1094</v>
      </c>
      <c r="U15" t="s">
        <v>87</v>
      </c>
      <c r="V15" t="s">
        <v>233</v>
      </c>
      <c r="W15" t="s">
        <v>88</v>
      </c>
      <c r="X15" t="s">
        <v>58</v>
      </c>
      <c r="Y15" s="3" t="s">
        <v>1021</v>
      </c>
      <c r="Z15" s="3" t="s">
        <v>1006</v>
      </c>
      <c r="AA15" s="3" t="s">
        <v>60</v>
      </c>
      <c r="AB15" s="1" t="s">
        <v>1008</v>
      </c>
      <c r="AC15" s="1" t="s">
        <v>48</v>
      </c>
      <c r="AD15" t="s">
        <v>59</v>
      </c>
      <c r="AE15"/>
      <c r="AF15" t="s">
        <v>48</v>
      </c>
      <c r="AG15" t="s">
        <v>48</v>
      </c>
      <c r="AH15" t="s">
        <v>48</v>
      </c>
      <c r="AL15" t="s">
        <v>1939</v>
      </c>
      <c r="AM15" t="s">
        <v>1938</v>
      </c>
      <c r="AN15" t="s">
        <v>1937</v>
      </c>
      <c r="AO15" t="s">
        <v>879</v>
      </c>
      <c r="AP15" t="s">
        <v>116</v>
      </c>
      <c r="AQ15" t="s">
        <v>117</v>
      </c>
      <c r="AR15">
        <v>93</v>
      </c>
      <c r="AS15">
        <v>0.21</v>
      </c>
      <c r="AV15" t="s">
        <v>236</v>
      </c>
      <c r="AW15" t="s">
        <v>633</v>
      </c>
      <c r="AX15" s="2" t="s">
        <v>63</v>
      </c>
      <c r="AY15" s="2" t="s">
        <v>63</v>
      </c>
      <c r="AZ15">
        <v>6.3</v>
      </c>
      <c r="BA15">
        <v>6.3</v>
      </c>
      <c r="BB15">
        <v>11.1</v>
      </c>
      <c r="BC15">
        <f>SUM(cna_product_database_catalog_website[[#This Row],[Box Length (cm)]]*cna_product_database_catalog_website[[#This Row],[Box Width (cm)]]*cna_product_database_catalog_website[[#This Row],[Box Height (cm)]]/1000000)</f>
        <v>4.4055899999999998E-4</v>
      </c>
      <c r="BD15">
        <f>SUM(cna_product_database_catalog_website[[#This Row],[Box CBM]]*35.3147)</f>
        <v>1.55582089173E-2</v>
      </c>
      <c r="BE15" t="s">
        <v>48</v>
      </c>
      <c r="BI1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5">
        <f>SUM(cna_product_database_catalog_website[[#This Row],[Carton CFT]]/61024)</f>
        <v>0</v>
      </c>
      <c r="BM15" t="s">
        <v>48</v>
      </c>
      <c r="BN15"/>
      <c r="BO15" t="s">
        <v>48</v>
      </c>
      <c r="BP15" t="s">
        <v>48</v>
      </c>
      <c r="BQ15" t="s">
        <v>48</v>
      </c>
      <c r="BS15" t="s">
        <v>48</v>
      </c>
      <c r="BT15" t="s">
        <v>48</v>
      </c>
      <c r="BU15" t="s">
        <v>48</v>
      </c>
      <c r="BW15" t="s">
        <v>48</v>
      </c>
      <c r="BX15" t="s">
        <v>48</v>
      </c>
      <c r="BY15" t="s">
        <v>48</v>
      </c>
      <c r="BZ15" t="s">
        <v>48</v>
      </c>
      <c r="CA15" t="s">
        <v>48</v>
      </c>
      <c r="CB15" t="s">
        <v>48</v>
      </c>
      <c r="CC15" t="s">
        <v>48</v>
      </c>
      <c r="CD15" t="s">
        <v>48</v>
      </c>
      <c r="CE15" t="s">
        <v>48</v>
      </c>
      <c r="CF15" t="s">
        <v>48</v>
      </c>
      <c r="CG15" t="s">
        <v>48</v>
      </c>
      <c r="CH15" t="s">
        <v>48</v>
      </c>
      <c r="CI15" t="s">
        <v>48</v>
      </c>
      <c r="CJ15" t="s">
        <v>48</v>
      </c>
    </row>
    <row r="16" spans="1:89" x14ac:dyDescent="0.25">
      <c r="A16" s="4" t="s">
        <v>2103</v>
      </c>
      <c r="B16" s="4" t="s">
        <v>2052</v>
      </c>
      <c r="C16" s="4" t="s">
        <v>1701</v>
      </c>
      <c r="D16" s="4" t="str">
        <f>cna_product_database_catalog_website[[#This Row],[MainCategory]]&amp;"&gt;"&amp;cna_product_database_catalog_website[[#This Row],[SubCategory1]]&amp;"&gt;"&amp;cna_product_database_catalog_website[[#This Row],[SubCategory2]]</f>
        <v>Bulbs&gt;A-Type&gt;A19 - Enclosed &amp; Dim 50K</v>
      </c>
      <c r="E16">
        <v>37</v>
      </c>
      <c r="F16" t="s">
        <v>249</v>
      </c>
      <c r="G16" s="3">
        <v>1072</v>
      </c>
      <c r="H16" s="8">
        <v>1.7</v>
      </c>
      <c r="I16" t="s">
        <v>249</v>
      </c>
      <c r="J16" t="s">
        <v>249</v>
      </c>
      <c r="K16" t="s">
        <v>246</v>
      </c>
      <c r="L16" t="s">
        <v>247</v>
      </c>
      <c r="M16" s="12" t="str">
        <f>HYPERLINK(cna_product_database_catalog_website[[#This Row],[Spec Sheet Link]], cna_product_database_catalog_website[[#Headers],[Spec Sheet Link]])</f>
        <v>Spec Sheet Link</v>
      </c>
      <c r="N16" t="s">
        <v>47</v>
      </c>
      <c r="O16" s="3">
        <v>1</v>
      </c>
      <c r="P16" s="3">
        <v>1</v>
      </c>
      <c r="Q16" t="s">
        <v>239</v>
      </c>
      <c r="R16" t="s">
        <v>85</v>
      </c>
      <c r="S16" t="s">
        <v>121</v>
      </c>
      <c r="T16" t="s">
        <v>1094</v>
      </c>
      <c r="U16" t="s">
        <v>87</v>
      </c>
      <c r="V16" t="s">
        <v>233</v>
      </c>
      <c r="W16" t="s">
        <v>88</v>
      </c>
      <c r="X16" t="s">
        <v>803</v>
      </c>
      <c r="Y16" s="3" t="s">
        <v>1021</v>
      </c>
      <c r="Z16" s="3" t="s">
        <v>1006</v>
      </c>
      <c r="AA16" s="3" t="s">
        <v>60</v>
      </c>
      <c r="AB16" s="1" t="s">
        <v>1008</v>
      </c>
      <c r="AC16" s="1" t="s">
        <v>101</v>
      </c>
      <c r="AD16" t="s">
        <v>59</v>
      </c>
      <c r="AE16"/>
      <c r="AF16" t="s">
        <v>48</v>
      </c>
      <c r="AG16" t="s">
        <v>48</v>
      </c>
      <c r="AH16" t="s">
        <v>48</v>
      </c>
      <c r="AL16" t="s">
        <v>1939</v>
      </c>
      <c r="AM16" t="s">
        <v>1938</v>
      </c>
      <c r="AN16" t="s">
        <v>1937</v>
      </c>
      <c r="AO16" t="s">
        <v>879</v>
      </c>
      <c r="AP16" t="s">
        <v>116</v>
      </c>
      <c r="AQ16" t="s">
        <v>117</v>
      </c>
      <c r="AR16">
        <v>93</v>
      </c>
      <c r="AS16">
        <v>0.21</v>
      </c>
      <c r="AV16" t="s">
        <v>236</v>
      </c>
      <c r="AW16" t="s">
        <v>633</v>
      </c>
      <c r="AX16" s="2" t="s">
        <v>63</v>
      </c>
      <c r="AY16" s="2" t="s">
        <v>63</v>
      </c>
      <c r="AZ16">
        <v>6.3</v>
      </c>
      <c r="BA16">
        <v>6.3</v>
      </c>
      <c r="BB16">
        <v>11.1</v>
      </c>
      <c r="BC16">
        <f>SUM(cna_product_database_catalog_website[[#This Row],[Box Length (cm)]]*cna_product_database_catalog_website[[#This Row],[Box Width (cm)]]*cna_product_database_catalog_website[[#This Row],[Box Height (cm)]]/1000000)</f>
        <v>4.4055899999999998E-4</v>
      </c>
      <c r="BD16">
        <f>SUM(cna_product_database_catalog_website[[#This Row],[Box CBM]]*35.3147)</f>
        <v>1.55582089173E-2</v>
      </c>
      <c r="BE16" t="s">
        <v>48</v>
      </c>
      <c r="BI1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6">
        <f>SUM(cna_product_database_catalog_website[[#This Row],[Carton CFT]]/61024)</f>
        <v>0</v>
      </c>
      <c r="BM16" t="s">
        <v>48</v>
      </c>
      <c r="BN16"/>
      <c r="BO16" t="s">
        <v>48</v>
      </c>
      <c r="BP16" t="s">
        <v>48</v>
      </c>
      <c r="BQ16" t="s">
        <v>48</v>
      </c>
      <c r="BS16" t="s">
        <v>48</v>
      </c>
      <c r="BT16" t="s">
        <v>48</v>
      </c>
      <c r="BU16" t="s">
        <v>48</v>
      </c>
      <c r="BW16" t="s">
        <v>48</v>
      </c>
      <c r="BX16" t="s">
        <v>48</v>
      </c>
      <c r="BY16" t="s">
        <v>48</v>
      </c>
      <c r="BZ16" t="s">
        <v>48</v>
      </c>
      <c r="CA16" t="s">
        <v>48</v>
      </c>
      <c r="CB16" t="s">
        <v>48</v>
      </c>
      <c r="CC16" t="s">
        <v>48</v>
      </c>
      <c r="CD16" t="s">
        <v>48</v>
      </c>
      <c r="CE16" t="s">
        <v>48</v>
      </c>
      <c r="CF16" t="s">
        <v>48</v>
      </c>
      <c r="CG16" t="s">
        <v>48</v>
      </c>
      <c r="CH16" t="s">
        <v>48</v>
      </c>
      <c r="CI16" t="s">
        <v>48</v>
      </c>
      <c r="CJ16" t="s">
        <v>48</v>
      </c>
    </row>
    <row r="17" spans="1:88" s="4" customFormat="1" x14ac:dyDescent="0.25">
      <c r="A17" s="4" t="s">
        <v>2103</v>
      </c>
      <c r="B17" s="4" t="s">
        <v>2052</v>
      </c>
      <c r="C17" s="4" t="s">
        <v>1702</v>
      </c>
      <c r="D17" s="4" t="str">
        <f>cna_product_database_catalog_website[[#This Row],[MainCategory]]&amp;"&gt;"&amp;cna_product_database_catalog_website[[#This Row],[SubCategory1]]&amp;"&gt;"&amp;cna_product_database_catalog_website[[#This Row],[SubCategory2]]</f>
        <v>Bulbs&gt;A-Type&gt;A19 - Enclosed &amp; Dim 30K</v>
      </c>
      <c r="E17" s="4">
        <v>40</v>
      </c>
      <c r="F17" s="4" t="s">
        <v>1478</v>
      </c>
      <c r="G17" s="5">
        <v>1192</v>
      </c>
      <c r="H17" s="9">
        <v>1.25</v>
      </c>
      <c r="I17" s="4" t="s">
        <v>1478</v>
      </c>
      <c r="J17" s="4" t="s">
        <v>1478</v>
      </c>
      <c r="K17" s="4" t="s">
        <v>2047</v>
      </c>
      <c r="L17" s="4" t="s">
        <v>2048</v>
      </c>
      <c r="M17" s="12" t="str">
        <f>HYPERLINK(cna_product_database_catalog_website[[#This Row],[Spec Sheet Link]], cna_product_database_catalog_website[[#Headers],[Spec Sheet Link]])</f>
        <v>Spec Sheet Link</v>
      </c>
      <c r="N17" s="4" t="s">
        <v>47</v>
      </c>
      <c r="O17" s="5">
        <v>1</v>
      </c>
      <c r="P17" s="5">
        <v>1</v>
      </c>
      <c r="Q17" s="4" t="s">
        <v>239</v>
      </c>
      <c r="R17" s="4" t="s">
        <v>85</v>
      </c>
      <c r="S17" s="4" t="s">
        <v>121</v>
      </c>
      <c r="T17" s="4" t="s">
        <v>1094</v>
      </c>
      <c r="U17" s="4" t="s">
        <v>55</v>
      </c>
      <c r="V17" s="4" t="s">
        <v>233</v>
      </c>
      <c r="W17" s="4" t="s">
        <v>88</v>
      </c>
      <c r="X17" s="4" t="s">
        <v>78</v>
      </c>
      <c r="Y17" s="5" t="s">
        <v>1021</v>
      </c>
      <c r="Z17" s="5" t="s">
        <v>1006</v>
      </c>
      <c r="AA17" s="5" t="s">
        <v>60</v>
      </c>
      <c r="AB17" s="6" t="s">
        <v>1008</v>
      </c>
      <c r="AC17" s="6" t="s">
        <v>71</v>
      </c>
      <c r="AD17" s="4" t="s">
        <v>59</v>
      </c>
      <c r="AF17" s="4" t="s">
        <v>48</v>
      </c>
      <c r="AL17" s="4" t="s">
        <v>1454</v>
      </c>
      <c r="AM17" s="4" t="s">
        <v>1455</v>
      </c>
      <c r="AN17" s="4" t="s">
        <v>1456</v>
      </c>
      <c r="AO17" s="4" t="s">
        <v>879</v>
      </c>
      <c r="AP17" s="4" t="s">
        <v>116</v>
      </c>
      <c r="AQ17" s="4" t="s">
        <v>117</v>
      </c>
      <c r="AR17" s="4">
        <v>43</v>
      </c>
      <c r="AS17" s="4">
        <v>9.4E-2</v>
      </c>
      <c r="AV17" s="4" t="s">
        <v>236</v>
      </c>
      <c r="AW17" s="4" t="s">
        <v>1044</v>
      </c>
      <c r="AX17" s="7">
        <v>25</v>
      </c>
      <c r="AY17" s="7" t="s">
        <v>63</v>
      </c>
      <c r="AZ17" s="4">
        <v>6.3</v>
      </c>
      <c r="BA17" s="4">
        <v>6.3</v>
      </c>
      <c r="BB17" s="4">
        <v>11</v>
      </c>
      <c r="BC17" s="4">
        <f>SUM(cna_product_database_catalog_website[[#This Row],[Box Length (cm)]]*cna_product_database_catalog_website[[#This Row],[Box Width (cm)]]*cna_product_database_catalog_website[[#This Row],[Box Height (cm)]]/1000000)</f>
        <v>4.3658999999999999E-4</v>
      </c>
      <c r="BD17" s="4">
        <f>SUM(cna_product_database_catalog_website[[#This Row],[Box CBM]]*35.3147)</f>
        <v>1.5418044873000001E-2</v>
      </c>
      <c r="BE17" s="4" t="s">
        <v>48</v>
      </c>
      <c r="BI17" s="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7" s="4">
        <f>SUM(cna_product_database_catalog_website[[#This Row],[Carton CFT]]/61024)</f>
        <v>0</v>
      </c>
      <c r="BM17" s="4" t="s">
        <v>48</v>
      </c>
      <c r="BO17" s="4" t="s">
        <v>48</v>
      </c>
      <c r="BP17" s="4" t="s">
        <v>48</v>
      </c>
      <c r="BQ17" s="4" t="s">
        <v>48</v>
      </c>
      <c r="BS17" s="4" t="s">
        <v>48</v>
      </c>
      <c r="BT17" s="4" t="s">
        <v>48</v>
      </c>
      <c r="BU17" s="4" t="s">
        <v>48</v>
      </c>
      <c r="BW17" s="4" t="s">
        <v>48</v>
      </c>
      <c r="BX17" s="4" t="s">
        <v>48</v>
      </c>
      <c r="BY17" s="4" t="s">
        <v>48</v>
      </c>
      <c r="BZ17" s="4" t="s">
        <v>48</v>
      </c>
      <c r="CA17" s="4" t="s">
        <v>48</v>
      </c>
      <c r="CB17" s="4" t="s">
        <v>48</v>
      </c>
      <c r="CC17" s="4" t="s">
        <v>48</v>
      </c>
      <c r="CD17" s="4" t="s">
        <v>48</v>
      </c>
      <c r="CE17" s="4" t="s">
        <v>48</v>
      </c>
      <c r="CF17" s="4" t="s">
        <v>48</v>
      </c>
      <c r="CG17" s="4" t="s">
        <v>48</v>
      </c>
      <c r="CH17" s="4" t="s">
        <v>48</v>
      </c>
      <c r="CI17" s="4" t="s">
        <v>48</v>
      </c>
      <c r="CJ17" s="4" t="s">
        <v>48</v>
      </c>
    </row>
    <row r="18" spans="1:88" s="4" customFormat="1" x14ac:dyDescent="0.25">
      <c r="A18" s="4" t="s">
        <v>2103</v>
      </c>
      <c r="B18" s="4" t="s">
        <v>2052</v>
      </c>
      <c r="C18" s="4" t="s">
        <v>1812</v>
      </c>
      <c r="D18" s="4" t="str">
        <f>cna_product_database_catalog_website[[#This Row],[MainCategory]]&amp;"&gt;"&amp;cna_product_database_catalog_website[[#This Row],[SubCategory1]]&amp;"&gt;"&amp;cna_product_database_catalog_website[[#This Row],[SubCategory2]]</f>
        <v>Bulbs&gt;A-Type&gt;A19 - X-Filament - High Output 30K</v>
      </c>
      <c r="E18" s="4">
        <v>50</v>
      </c>
      <c r="F18" s="4" t="s">
        <v>1063</v>
      </c>
      <c r="G18" s="5">
        <v>1190</v>
      </c>
      <c r="H18" s="9">
        <v>3.5</v>
      </c>
      <c r="I18" s="4" t="s">
        <v>1063</v>
      </c>
      <c r="J18" s="4" t="s">
        <v>1063</v>
      </c>
      <c r="K18" s="4" t="s">
        <v>1064</v>
      </c>
      <c r="L18" s="4" t="s">
        <v>1067</v>
      </c>
      <c r="M18" s="12" t="str">
        <f>HYPERLINK(cna_product_database_catalog_website[[#This Row],[Spec Sheet Link]], cna_product_database_catalog_website[[#Headers],[Spec Sheet Link]])</f>
        <v>Spec Sheet Link</v>
      </c>
      <c r="N18" s="4" t="s">
        <v>47</v>
      </c>
      <c r="O18" s="5">
        <v>1</v>
      </c>
      <c r="P18" s="5">
        <v>1</v>
      </c>
      <c r="Q18" s="4" t="s">
        <v>1068</v>
      </c>
      <c r="R18" s="4" t="s">
        <v>85</v>
      </c>
      <c r="S18" s="4" t="s">
        <v>1069</v>
      </c>
      <c r="T18" s="4" t="s">
        <v>1071</v>
      </c>
      <c r="U18" s="4" t="s">
        <v>55</v>
      </c>
      <c r="V18" s="4" t="s">
        <v>877</v>
      </c>
      <c r="W18" s="4" t="s">
        <v>111</v>
      </c>
      <c r="X18" s="4" t="s">
        <v>78</v>
      </c>
      <c r="Y18" s="5" t="s">
        <v>1015</v>
      </c>
      <c r="Z18" s="5" t="s">
        <v>1006</v>
      </c>
      <c r="AA18" s="5" t="s">
        <v>60</v>
      </c>
      <c r="AB18" s="6" t="s">
        <v>1008</v>
      </c>
      <c r="AC18" s="6" t="s">
        <v>71</v>
      </c>
      <c r="AD18" s="4" t="s">
        <v>1072</v>
      </c>
      <c r="AL18" s="4" t="s">
        <v>124</v>
      </c>
      <c r="AM18" s="4" t="s">
        <v>122</v>
      </c>
      <c r="AN18" s="4" t="s">
        <v>123</v>
      </c>
      <c r="AO18" s="4" t="s">
        <v>115</v>
      </c>
      <c r="AP18" s="4" t="s">
        <v>116</v>
      </c>
      <c r="AQ18" s="4" t="s">
        <v>117</v>
      </c>
      <c r="AR18" s="4">
        <v>53</v>
      </c>
      <c r="AS18" s="4">
        <v>0.11600000000000001</v>
      </c>
      <c r="AV18" s="4" t="s">
        <v>1073</v>
      </c>
      <c r="AW18" s="4" t="s">
        <v>1044</v>
      </c>
      <c r="AX18" s="7">
        <v>25</v>
      </c>
      <c r="AY18" s="7">
        <v>100</v>
      </c>
      <c r="AZ18" s="4">
        <v>6.6</v>
      </c>
      <c r="BA18" s="4">
        <v>6.7</v>
      </c>
      <c r="BB18" s="4">
        <v>12.3</v>
      </c>
      <c r="BC18" s="4">
        <f>SUM(cna_product_database_catalog_website[[#This Row],[Box Length (cm)]]*cna_product_database_catalog_website[[#This Row],[Box Width (cm)]]*cna_product_database_catalog_website[[#This Row],[Box Height (cm)]]/1000000)</f>
        <v>5.4390600000000003E-4</v>
      </c>
      <c r="BD18" s="4">
        <f>SUM(cna_product_database_catalog_website[[#This Row],[Box CBM]]*35.3147)</f>
        <v>1.9207877218200001E-2</v>
      </c>
      <c r="BI18" s="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8" s="4">
        <f>SUM(cna_product_database_catalog_website[[#This Row],[Carton CFT]]/61024)</f>
        <v>0</v>
      </c>
    </row>
    <row r="19" spans="1:88" s="4" customFormat="1" x14ac:dyDescent="0.25">
      <c r="A19" s="4" t="s">
        <v>2103</v>
      </c>
      <c r="B19" s="4" t="s">
        <v>2052</v>
      </c>
      <c r="C19" s="4" t="s">
        <v>1703</v>
      </c>
      <c r="D19" s="4" t="str">
        <f>cna_product_database_catalog_website[[#This Row],[MainCategory]]&amp;"&gt;"&amp;cna_product_database_catalog_website[[#This Row],[SubCategory1]]&amp;"&gt;"&amp;cna_product_database_catalog_website[[#This Row],[SubCategory2]]</f>
        <v>Bulbs&gt;A-Type&gt;A19 - High Output 5CCT</v>
      </c>
      <c r="E19" s="4">
        <v>55</v>
      </c>
      <c r="F19" s="4" t="s">
        <v>1471</v>
      </c>
      <c r="G19" s="5">
        <v>1187</v>
      </c>
      <c r="H19" s="9">
        <v>3.9</v>
      </c>
      <c r="I19" s="4" t="s">
        <v>1471</v>
      </c>
      <c r="J19" s="4" t="s">
        <v>1471</v>
      </c>
      <c r="K19" s="4" t="s">
        <v>1473</v>
      </c>
      <c r="L19" s="4" t="s">
        <v>1472</v>
      </c>
      <c r="M19" s="12" t="str">
        <f>HYPERLINK(cna_product_database_catalog_website[[#This Row],[Spec Sheet Link]], cna_product_database_catalog_website[[#Headers],[Spec Sheet Link]])</f>
        <v>Spec Sheet Link</v>
      </c>
      <c r="N19" s="4" t="s">
        <v>47</v>
      </c>
      <c r="O19" s="5">
        <v>1</v>
      </c>
      <c r="P19" s="5">
        <v>1</v>
      </c>
      <c r="Q19" s="4" t="s">
        <v>253</v>
      </c>
      <c r="R19" s="4" t="s">
        <v>85</v>
      </c>
      <c r="S19" s="4" t="s">
        <v>254</v>
      </c>
      <c r="T19" s="4" t="s">
        <v>1095</v>
      </c>
      <c r="U19" s="4" t="s">
        <v>55</v>
      </c>
      <c r="V19" s="4" t="s">
        <v>255</v>
      </c>
      <c r="W19" s="4" t="s">
        <v>88</v>
      </c>
      <c r="X19" s="4" t="s">
        <v>244</v>
      </c>
      <c r="Y19" s="5" t="s">
        <v>1021</v>
      </c>
      <c r="Z19" s="5" t="s">
        <v>1006</v>
      </c>
      <c r="AA19" s="5" t="s">
        <v>60</v>
      </c>
      <c r="AB19" s="6" t="s">
        <v>1008</v>
      </c>
      <c r="AC19" s="6" t="s">
        <v>48</v>
      </c>
      <c r="AD19" s="4" t="s">
        <v>59</v>
      </c>
      <c r="AF19" s="4" t="s">
        <v>48</v>
      </c>
      <c r="AL19" s="4" t="s">
        <v>1475</v>
      </c>
      <c r="AM19" s="4" t="s">
        <v>1474</v>
      </c>
      <c r="AN19" s="4" t="s">
        <v>326</v>
      </c>
      <c r="AO19" s="4" t="s">
        <v>879</v>
      </c>
      <c r="AP19" s="4" t="s">
        <v>116</v>
      </c>
      <c r="AQ19" s="4" t="s">
        <v>117</v>
      </c>
      <c r="AR19" s="4">
        <v>78</v>
      </c>
      <c r="AS19" s="4">
        <v>0.17100000000000001</v>
      </c>
      <c r="AV19" s="4" t="s">
        <v>236</v>
      </c>
      <c r="AW19" s="4" t="s">
        <v>633</v>
      </c>
      <c r="AX19" s="7">
        <v>25</v>
      </c>
      <c r="AY19" s="7">
        <v>100</v>
      </c>
      <c r="AZ19" s="4">
        <v>6.3</v>
      </c>
      <c r="BA19" s="4">
        <v>6.3</v>
      </c>
      <c r="BB19" s="4">
        <v>12.5</v>
      </c>
      <c r="BC19" s="4">
        <f>SUM(cna_product_database_catalog_website[[#This Row],[Box Length (cm)]]*cna_product_database_catalog_website[[#This Row],[Box Width (cm)]]*cna_product_database_catalog_website[[#This Row],[Box Height (cm)]]/1000000)</f>
        <v>4.9612500000000004E-4</v>
      </c>
      <c r="BD19" s="4">
        <f>SUM(cna_product_database_catalog_website[[#This Row],[Box CBM]]*35.3147)</f>
        <v>1.7520505537500002E-2</v>
      </c>
      <c r="BE19" s="4" t="s">
        <v>48</v>
      </c>
      <c r="BI19" s="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9" s="4">
        <f>SUM(cna_product_database_catalog_website[[#This Row],[Carton CFT]]/61024)</f>
        <v>0</v>
      </c>
      <c r="BM19" s="4" t="s">
        <v>48</v>
      </c>
      <c r="BO19" s="4" t="s">
        <v>48</v>
      </c>
      <c r="BQ19" s="4" t="s">
        <v>48</v>
      </c>
      <c r="BS19" s="4" t="s">
        <v>48</v>
      </c>
      <c r="BT19" s="4" t="s">
        <v>48</v>
      </c>
      <c r="BU19" s="4" t="s">
        <v>48</v>
      </c>
      <c r="BW19" s="4" t="s">
        <v>48</v>
      </c>
      <c r="BX19" s="4" t="s">
        <v>48</v>
      </c>
      <c r="BY19" s="4" t="s">
        <v>48</v>
      </c>
      <c r="BZ19" s="4" t="s">
        <v>48</v>
      </c>
      <c r="CA19" s="4" t="s">
        <v>48</v>
      </c>
      <c r="CB19" s="4" t="s">
        <v>48</v>
      </c>
      <c r="CC19" s="4" t="s">
        <v>48</v>
      </c>
      <c r="CD19" s="4" t="s">
        <v>48</v>
      </c>
      <c r="CE19" s="4" t="s">
        <v>48</v>
      </c>
      <c r="CF19" s="4" t="s">
        <v>48</v>
      </c>
      <c r="CG19" s="4" t="s">
        <v>48</v>
      </c>
      <c r="CH19" s="4" t="s">
        <v>48</v>
      </c>
      <c r="CI19" s="4" t="s">
        <v>48</v>
      </c>
      <c r="CJ19" s="4" t="s">
        <v>48</v>
      </c>
    </row>
    <row r="20" spans="1:88" x14ac:dyDescent="0.25">
      <c r="A20" s="4" t="s">
        <v>2103</v>
      </c>
      <c r="B20" s="4" t="s">
        <v>2052</v>
      </c>
      <c r="C20" s="4" t="s">
        <v>1704</v>
      </c>
      <c r="D20" s="4" t="str">
        <f>cna_product_database_catalog_website[[#This Row],[MainCategory]]&amp;"&gt;"&amp;cna_product_database_catalog_website[[#This Row],[SubCategory1]]&amp;"&gt;"&amp;cna_product_database_catalog_website[[#This Row],[SubCategory2]]</f>
        <v>Bulbs&gt;A-Type&gt;A19 - High Output 27K</v>
      </c>
      <c r="E20">
        <v>56</v>
      </c>
      <c r="F20" t="s">
        <v>250</v>
      </c>
      <c r="G20" s="3">
        <v>1034</v>
      </c>
      <c r="H20" s="8">
        <v>2.9</v>
      </c>
      <c r="I20" t="s">
        <v>250</v>
      </c>
      <c r="J20" t="s">
        <v>250</v>
      </c>
      <c r="K20" t="s">
        <v>251</v>
      </c>
      <c r="L20" t="s">
        <v>252</v>
      </c>
      <c r="M20" s="12" t="str">
        <f>HYPERLINK(cna_product_database_catalog_website[[#This Row],[Spec Sheet Link]], cna_product_database_catalog_website[[#Headers],[Spec Sheet Link]])</f>
        <v>Spec Sheet Link</v>
      </c>
      <c r="N20" t="s">
        <v>47</v>
      </c>
      <c r="O20" s="3">
        <v>1</v>
      </c>
      <c r="P20" s="3">
        <v>1</v>
      </c>
      <c r="Q20" t="s">
        <v>253</v>
      </c>
      <c r="R20" t="s">
        <v>85</v>
      </c>
      <c r="S20" t="s">
        <v>254</v>
      </c>
      <c r="T20" t="s">
        <v>1095</v>
      </c>
      <c r="U20" t="s">
        <v>55</v>
      </c>
      <c r="V20" t="s">
        <v>255</v>
      </c>
      <c r="W20" t="s">
        <v>88</v>
      </c>
      <c r="X20" t="s">
        <v>70</v>
      </c>
      <c r="Y20" s="3" t="s">
        <v>1021</v>
      </c>
      <c r="Z20" s="3" t="s">
        <v>1006</v>
      </c>
      <c r="AA20" s="3" t="s">
        <v>60</v>
      </c>
      <c r="AB20" s="1" t="s">
        <v>1008</v>
      </c>
      <c r="AC20" s="1" t="s">
        <v>48</v>
      </c>
      <c r="AD20" t="s">
        <v>59</v>
      </c>
      <c r="AE20"/>
      <c r="AF20" t="s">
        <v>48</v>
      </c>
      <c r="AG20" t="s">
        <v>48</v>
      </c>
      <c r="AH20" t="s">
        <v>48</v>
      </c>
      <c r="AL20" t="s">
        <v>1941</v>
      </c>
      <c r="AM20" t="s">
        <v>1940</v>
      </c>
      <c r="AN20" t="s">
        <v>1942</v>
      </c>
      <c r="AO20" t="s">
        <v>879</v>
      </c>
      <c r="AP20" t="s">
        <v>116</v>
      </c>
      <c r="AQ20" t="s">
        <v>117</v>
      </c>
      <c r="AR20">
        <v>93</v>
      </c>
      <c r="AS20">
        <v>0.21</v>
      </c>
      <c r="AV20" t="s">
        <v>236</v>
      </c>
      <c r="AW20" t="s">
        <v>633</v>
      </c>
      <c r="AX20" s="2" t="s">
        <v>229</v>
      </c>
      <c r="AY20" s="2" t="s">
        <v>256</v>
      </c>
      <c r="AZ20">
        <v>6.3</v>
      </c>
      <c r="BA20">
        <v>6.2</v>
      </c>
      <c r="BB20">
        <v>12.3</v>
      </c>
      <c r="BC20">
        <f>SUM(cna_product_database_catalog_website[[#This Row],[Box Length (cm)]]*cna_product_database_catalog_website[[#This Row],[Box Width (cm)]]*cna_product_database_catalog_website[[#This Row],[Box Height (cm)]]/1000000)</f>
        <v>4.8043800000000002E-4</v>
      </c>
      <c r="BD20">
        <f>SUM(cna_product_database_catalog_website[[#This Row],[Box CBM]]*35.3147)</f>
        <v>1.6966523838600003E-2</v>
      </c>
      <c r="BE20" t="s">
        <v>48</v>
      </c>
      <c r="BI2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0">
        <f>SUM(cna_product_database_catalog_website[[#This Row],[Carton CFT]]/61024)</f>
        <v>0</v>
      </c>
      <c r="BM20" t="s">
        <v>48</v>
      </c>
      <c r="BN20"/>
      <c r="BO20" t="s">
        <v>48</v>
      </c>
      <c r="BP20" t="s">
        <v>48</v>
      </c>
      <c r="BQ20" t="s">
        <v>48</v>
      </c>
      <c r="BS20" t="s">
        <v>48</v>
      </c>
      <c r="BT20" t="s">
        <v>48</v>
      </c>
      <c r="BU20" t="s">
        <v>48</v>
      </c>
      <c r="BW20" t="s">
        <v>48</v>
      </c>
      <c r="BX20" t="s">
        <v>48</v>
      </c>
      <c r="BY20" t="s">
        <v>48</v>
      </c>
      <c r="BZ20" t="s">
        <v>48</v>
      </c>
      <c r="CA20" t="s">
        <v>48</v>
      </c>
      <c r="CB20" t="s">
        <v>48</v>
      </c>
      <c r="CC20" t="s">
        <v>48</v>
      </c>
      <c r="CD20" t="s">
        <v>48</v>
      </c>
      <c r="CE20" t="s">
        <v>48</v>
      </c>
      <c r="CF20" t="s">
        <v>48</v>
      </c>
      <c r="CG20" t="s">
        <v>48</v>
      </c>
      <c r="CH20" t="s">
        <v>48</v>
      </c>
      <c r="CI20" t="s">
        <v>48</v>
      </c>
      <c r="CJ20" t="s">
        <v>48</v>
      </c>
    </row>
    <row r="21" spans="1:88" s="4" customFormat="1" x14ac:dyDescent="0.25">
      <c r="A21" s="4" t="s">
        <v>2103</v>
      </c>
      <c r="B21" s="4" t="s">
        <v>2052</v>
      </c>
      <c r="C21" s="4" t="s">
        <v>1705</v>
      </c>
      <c r="D21" s="4" t="str">
        <f>cna_product_database_catalog_website[[#This Row],[MainCategory]]&amp;"&gt;"&amp;cna_product_database_catalog_website[[#This Row],[SubCategory1]]&amp;"&gt;"&amp;cna_product_database_catalog_website[[#This Row],[SubCategory2]]</f>
        <v>Bulbs&gt;A-Type&gt;A21 - High Output 40K</v>
      </c>
      <c r="E21" s="4">
        <v>60</v>
      </c>
      <c r="F21" s="4" t="s">
        <v>1878</v>
      </c>
      <c r="G21" s="5">
        <v>1161</v>
      </c>
      <c r="H21" s="9">
        <v>8.5</v>
      </c>
      <c r="I21" s="4" t="s">
        <v>1878</v>
      </c>
      <c r="J21" s="4" t="s">
        <v>260</v>
      </c>
      <c r="K21" s="4" t="s">
        <v>261</v>
      </c>
      <c r="L21" s="4" t="s">
        <v>257</v>
      </c>
      <c r="M21" s="12" t="str">
        <f>HYPERLINK(cna_product_database_catalog_website[[#This Row],[Spec Sheet Link]], cna_product_database_catalog_website[[#Headers],[Spec Sheet Link]])</f>
        <v>Spec Sheet Link</v>
      </c>
      <c r="N21" s="4" t="s">
        <v>47</v>
      </c>
      <c r="O21" s="5">
        <v>1</v>
      </c>
      <c r="P21" s="5">
        <v>1</v>
      </c>
      <c r="Q21" s="4" t="s">
        <v>262</v>
      </c>
      <c r="R21" s="4" t="s">
        <v>263</v>
      </c>
      <c r="S21" s="4" t="s">
        <v>264</v>
      </c>
      <c r="T21" s="4" t="s">
        <v>1096</v>
      </c>
      <c r="U21" s="4" t="s">
        <v>87</v>
      </c>
      <c r="V21" s="4" t="s">
        <v>265</v>
      </c>
      <c r="W21" s="4" t="s">
        <v>88</v>
      </c>
      <c r="X21" s="4" t="s">
        <v>58</v>
      </c>
      <c r="Y21" s="5" t="s">
        <v>1018</v>
      </c>
      <c r="Z21" s="5" t="s">
        <v>1006</v>
      </c>
      <c r="AA21" s="5" t="s">
        <v>60</v>
      </c>
      <c r="AB21" s="6" t="s">
        <v>1008</v>
      </c>
      <c r="AC21" s="6" t="s">
        <v>48</v>
      </c>
      <c r="AD21" t="s">
        <v>59</v>
      </c>
      <c r="AE21"/>
      <c r="AF21" s="4" t="s">
        <v>48</v>
      </c>
      <c r="AG21" s="4" t="s">
        <v>48</v>
      </c>
      <c r="AH21" s="4" t="s">
        <v>48</v>
      </c>
      <c r="AL21" s="4" t="s">
        <v>1943</v>
      </c>
      <c r="AM21" s="4" t="s">
        <v>1944</v>
      </c>
      <c r="AN21" s="4" t="s">
        <v>1945</v>
      </c>
      <c r="AO21" s="4" t="s">
        <v>1946</v>
      </c>
      <c r="AP21" s="4" t="s">
        <v>1538</v>
      </c>
      <c r="AQ21" s="4" t="s">
        <v>1947</v>
      </c>
      <c r="AR21" s="4">
        <v>205</v>
      </c>
      <c r="AS21" s="4">
        <v>0.45100000000000001</v>
      </c>
      <c r="AV21" s="4" t="s">
        <v>259</v>
      </c>
      <c r="AW21" t="s">
        <v>633</v>
      </c>
      <c r="AX21" s="7">
        <v>10</v>
      </c>
      <c r="AY21" s="7">
        <v>60</v>
      </c>
      <c r="AZ21" s="4">
        <v>8.1999999999999993</v>
      </c>
      <c r="BA21" s="4">
        <v>8</v>
      </c>
      <c r="BB21" s="4">
        <v>14.5</v>
      </c>
      <c r="BC21" s="4">
        <f>SUM(cna_product_database_catalog_website[[#This Row],[Box Length (cm)]]*cna_product_database_catalog_website[[#This Row],[Box Width (cm)]]*cna_product_database_catalog_website[[#This Row],[Box Height (cm)]]/1000000)</f>
        <v>9.5119999999999992E-4</v>
      </c>
      <c r="BD21" s="4">
        <f>SUM(cna_product_database_catalog_website[[#This Row],[Box CBM]]*35.3147)</f>
        <v>3.3591342640000001E-2</v>
      </c>
      <c r="BE21" s="4" t="s">
        <v>48</v>
      </c>
      <c r="BI21" s="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1" s="4">
        <f>SUM(cna_product_database_catalog_website[[#This Row],[Carton CFT]]/61024)</f>
        <v>0</v>
      </c>
      <c r="BM21" s="4" t="s">
        <v>48</v>
      </c>
      <c r="BO21" s="4" t="s">
        <v>48</v>
      </c>
      <c r="BP21" s="4" t="s">
        <v>48</v>
      </c>
      <c r="BQ21" s="4" t="s">
        <v>48</v>
      </c>
      <c r="BS21" s="4" t="s">
        <v>48</v>
      </c>
      <c r="BT21" s="4" t="s">
        <v>48</v>
      </c>
      <c r="BU21" s="4" t="s">
        <v>48</v>
      </c>
      <c r="BW21" s="4" t="s">
        <v>48</v>
      </c>
      <c r="BX21" s="4" t="s">
        <v>48</v>
      </c>
      <c r="BY21" s="4" t="s">
        <v>48</v>
      </c>
      <c r="BZ21" s="4" t="s">
        <v>48</v>
      </c>
      <c r="CA21" s="4" t="s">
        <v>48</v>
      </c>
      <c r="CB21" s="4" t="s">
        <v>48</v>
      </c>
      <c r="CC21" s="4" t="s">
        <v>48</v>
      </c>
      <c r="CD21" s="4" t="s">
        <v>48</v>
      </c>
      <c r="CE21" s="4" t="s">
        <v>48</v>
      </c>
      <c r="CF21" s="4" t="s">
        <v>48</v>
      </c>
      <c r="CG21" s="4" t="s">
        <v>48</v>
      </c>
      <c r="CH21" s="4" t="s">
        <v>48</v>
      </c>
      <c r="CI21" s="4" t="s">
        <v>48</v>
      </c>
      <c r="CJ21" s="4" t="s">
        <v>48</v>
      </c>
    </row>
    <row r="22" spans="1:88" x14ac:dyDescent="0.25">
      <c r="A22" s="4" t="s">
        <v>2103</v>
      </c>
      <c r="B22" s="4" t="s">
        <v>2052</v>
      </c>
      <c r="C22" s="4" t="s">
        <v>1706</v>
      </c>
      <c r="D22" s="4" t="str">
        <f>cna_product_database_catalog_website[[#This Row],[MainCategory]]&amp;"&gt;"&amp;cna_product_database_catalog_website[[#This Row],[SubCategory1]]&amp;"&gt;"&amp;cna_product_database_catalog_website[[#This Row],[SubCategory2]]</f>
        <v>Bulbs&gt;A-Type&gt;A21 - High Output 30K</v>
      </c>
      <c r="E22">
        <v>61</v>
      </c>
      <c r="F22" t="s">
        <v>266</v>
      </c>
      <c r="G22" s="3">
        <v>1058</v>
      </c>
      <c r="H22" s="8">
        <v>8.5</v>
      </c>
      <c r="I22" t="s">
        <v>266</v>
      </c>
      <c r="J22" t="s">
        <v>266</v>
      </c>
      <c r="K22" t="s">
        <v>267</v>
      </c>
      <c r="L22" t="s">
        <v>268</v>
      </c>
      <c r="M22" s="12" t="str">
        <f>HYPERLINK(cna_product_database_catalog_website[[#This Row],[Spec Sheet Link]], cna_product_database_catalog_website[[#Headers],[Spec Sheet Link]])</f>
        <v>Spec Sheet Link</v>
      </c>
      <c r="N22" t="s">
        <v>47</v>
      </c>
      <c r="O22" s="3">
        <v>1</v>
      </c>
      <c r="P22" s="3">
        <v>1</v>
      </c>
      <c r="Q22" t="s">
        <v>269</v>
      </c>
      <c r="R22" t="s">
        <v>198</v>
      </c>
      <c r="S22" t="s">
        <v>264</v>
      </c>
      <c r="T22" t="s">
        <v>1097</v>
      </c>
      <c r="U22" t="s">
        <v>87</v>
      </c>
      <c r="V22" t="s">
        <v>265</v>
      </c>
      <c r="W22" t="s">
        <v>88</v>
      </c>
      <c r="X22" t="s">
        <v>78</v>
      </c>
      <c r="Y22" s="3" t="s">
        <v>1018</v>
      </c>
      <c r="Z22" s="3" t="s">
        <v>1006</v>
      </c>
      <c r="AA22" s="3" t="s">
        <v>60</v>
      </c>
      <c r="AB22" s="1" t="s">
        <v>1008</v>
      </c>
      <c r="AC22" s="1" t="s">
        <v>48</v>
      </c>
      <c r="AD22" t="s">
        <v>59</v>
      </c>
      <c r="AE22"/>
      <c r="AF22" t="s">
        <v>48</v>
      </c>
      <c r="AG22" t="s">
        <v>48</v>
      </c>
      <c r="AH22" t="s">
        <v>48</v>
      </c>
      <c r="AL22" t="s">
        <v>1951</v>
      </c>
      <c r="AM22" t="s">
        <v>1952</v>
      </c>
      <c r="AN22" t="s">
        <v>201</v>
      </c>
      <c r="AO22" t="s">
        <v>1550</v>
      </c>
      <c r="AP22" t="s">
        <v>1953</v>
      </c>
      <c r="AQ22" t="s">
        <v>1954</v>
      </c>
      <c r="AR22">
        <v>95</v>
      </c>
      <c r="AS22">
        <v>0.21</v>
      </c>
      <c r="AV22" t="s">
        <v>259</v>
      </c>
      <c r="AW22" t="s">
        <v>633</v>
      </c>
      <c r="AX22" s="2" t="s">
        <v>229</v>
      </c>
      <c r="AY22" s="2" t="s">
        <v>256</v>
      </c>
      <c r="AZ22">
        <v>7.2</v>
      </c>
      <c r="BA22">
        <v>7</v>
      </c>
      <c r="BB22">
        <v>13.6</v>
      </c>
      <c r="BC22">
        <f>SUM(cna_product_database_catalog_website[[#This Row],[Box Length (cm)]]*cna_product_database_catalog_website[[#This Row],[Box Width (cm)]]*cna_product_database_catalog_website[[#This Row],[Box Height (cm)]]/1000000)</f>
        <v>6.8543999999999994E-4</v>
      </c>
      <c r="BD22">
        <f>SUM(cna_product_database_catalog_website[[#This Row],[Box CBM]]*35.3147)</f>
        <v>2.4206107968000001E-2</v>
      </c>
      <c r="BE22" t="s">
        <v>48</v>
      </c>
      <c r="BI2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2">
        <f>SUM(cna_product_database_catalog_website[[#This Row],[Carton CFT]]/61024)</f>
        <v>0</v>
      </c>
      <c r="BM22" t="s">
        <v>48</v>
      </c>
      <c r="BN22"/>
      <c r="BO22" t="s">
        <v>48</v>
      </c>
      <c r="BP22" t="s">
        <v>48</v>
      </c>
      <c r="BQ22" t="s">
        <v>48</v>
      </c>
      <c r="BS22" t="s">
        <v>48</v>
      </c>
      <c r="BT22" t="s">
        <v>48</v>
      </c>
      <c r="BU22" t="s">
        <v>48</v>
      </c>
      <c r="BW22" t="s">
        <v>48</v>
      </c>
      <c r="BX22" t="s">
        <v>48</v>
      </c>
      <c r="BY22" t="s">
        <v>48</v>
      </c>
      <c r="BZ22" t="s">
        <v>48</v>
      </c>
      <c r="CA22" t="s">
        <v>48</v>
      </c>
      <c r="CB22" t="s">
        <v>48</v>
      </c>
      <c r="CC22" t="s">
        <v>48</v>
      </c>
      <c r="CD22" t="s">
        <v>48</v>
      </c>
      <c r="CE22" t="s">
        <v>48</v>
      </c>
      <c r="CF22" t="s">
        <v>48</v>
      </c>
      <c r="CG22" t="s">
        <v>48</v>
      </c>
      <c r="CH22" t="s">
        <v>48</v>
      </c>
      <c r="CI22" t="s">
        <v>48</v>
      </c>
      <c r="CJ22" t="s">
        <v>48</v>
      </c>
    </row>
    <row r="23" spans="1:88" s="4" customFormat="1" x14ac:dyDescent="0.25">
      <c r="A23" s="4" t="s">
        <v>2103</v>
      </c>
      <c r="B23" s="4" t="s">
        <v>2053</v>
      </c>
      <c r="C23" s="4" t="s">
        <v>1686</v>
      </c>
      <c r="D23" s="4" t="str">
        <f>cna_product_database_catalog_website[[#This Row],[MainCategory]]&amp;"&gt;"&amp;cna_product_database_catalog_website[[#This Row],[SubCategory1]]&amp;"&gt;"&amp;cna_product_database_catalog_website[[#This Row],[SubCategory2]]</f>
        <v>Bulbs&gt;Candle&gt;B10 Chandelier 27K</v>
      </c>
      <c r="E23" s="4">
        <v>80</v>
      </c>
      <c r="F23" s="4" t="s">
        <v>1432</v>
      </c>
      <c r="G23" s="5">
        <v>1162</v>
      </c>
      <c r="H23" s="9">
        <v>2.25</v>
      </c>
      <c r="I23" s="4" t="s">
        <v>1432</v>
      </c>
      <c r="J23" s="4" t="s">
        <v>1446</v>
      </c>
      <c r="K23" s="4" t="s">
        <v>65</v>
      </c>
      <c r="L23" s="4" t="s">
        <v>66</v>
      </c>
      <c r="M23" s="12" t="str">
        <f>HYPERLINK(cna_product_database_catalog_website[[#This Row],[Spec Sheet Link]], cna_product_database_catalog_website[[#Headers],[Spec Sheet Link]])</f>
        <v>Spec Sheet Link</v>
      </c>
      <c r="N23" s="4" t="s">
        <v>47</v>
      </c>
      <c r="O23" s="5">
        <v>1</v>
      </c>
      <c r="P23" s="5">
        <v>1</v>
      </c>
      <c r="Q23" s="4" t="s">
        <v>67</v>
      </c>
      <c r="R23" s="4" t="s">
        <v>53</v>
      </c>
      <c r="S23" s="4" t="s">
        <v>68</v>
      </c>
      <c r="T23" s="4" t="s">
        <v>1045</v>
      </c>
      <c r="U23" s="4" t="s">
        <v>55</v>
      </c>
      <c r="V23" s="4" t="s">
        <v>69</v>
      </c>
      <c r="W23" s="4" t="s">
        <v>57</v>
      </c>
      <c r="X23" s="4" t="s">
        <v>70</v>
      </c>
      <c r="Y23" s="5" t="s">
        <v>1015</v>
      </c>
      <c r="Z23" s="5" t="s">
        <v>1006</v>
      </c>
      <c r="AA23" s="5" t="s">
        <v>60</v>
      </c>
      <c r="AB23" s="6" t="s">
        <v>1008</v>
      </c>
      <c r="AC23" s="6" t="s">
        <v>71</v>
      </c>
      <c r="AD23" s="4" t="s">
        <v>59</v>
      </c>
      <c r="AF23" s="4" t="s">
        <v>48</v>
      </c>
      <c r="AL23" s="4" t="s">
        <v>74</v>
      </c>
      <c r="AM23" s="4" t="s">
        <v>72</v>
      </c>
      <c r="AN23" s="4" t="s">
        <v>73</v>
      </c>
      <c r="AO23" s="4" t="s">
        <v>75</v>
      </c>
      <c r="AP23" s="4" t="s">
        <v>76</v>
      </c>
      <c r="AQ23" s="4" t="s">
        <v>77</v>
      </c>
      <c r="AR23" s="4">
        <v>24</v>
      </c>
      <c r="AS23" s="4">
        <v>5.1999999999999998E-2</v>
      </c>
      <c r="AV23" s="4" t="s">
        <v>64</v>
      </c>
      <c r="AW23" s="4" t="s">
        <v>1044</v>
      </c>
      <c r="AX23" s="7">
        <v>50</v>
      </c>
      <c r="AY23" s="7" t="s">
        <v>63</v>
      </c>
      <c r="AZ23" s="4">
        <v>4</v>
      </c>
      <c r="BA23" s="4">
        <v>4</v>
      </c>
      <c r="BB23" s="4">
        <v>11.2</v>
      </c>
      <c r="BC23" s="4">
        <f>SUM(cna_product_database_catalog_website[[#This Row],[Box Length (cm)]]*cna_product_database_catalog_website[[#This Row],[Box Width (cm)]]*cna_product_database_catalog_website[[#This Row],[Box Height (cm)]]/1000000)</f>
        <v>1.7919999999999999E-4</v>
      </c>
      <c r="BD23" s="4">
        <f>SUM(cna_product_database_catalog_website[[#This Row],[Box CBM]]*35.3147)</f>
        <v>6.3283942400000001E-3</v>
      </c>
      <c r="BE23" s="4" t="s">
        <v>48</v>
      </c>
      <c r="BI23" s="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3" s="4">
        <f>SUM(cna_product_database_catalog_website[[#This Row],[Carton CFT]]/61024)</f>
        <v>0</v>
      </c>
      <c r="BM23" s="4" t="s">
        <v>48</v>
      </c>
      <c r="BO23" s="4" t="s">
        <v>48</v>
      </c>
      <c r="BP23" s="4" t="s">
        <v>48</v>
      </c>
      <c r="BQ23" s="4" t="s">
        <v>48</v>
      </c>
      <c r="BS23" s="4" t="s">
        <v>48</v>
      </c>
      <c r="BT23" s="4" t="s">
        <v>48</v>
      </c>
      <c r="BU23" s="4" t="s">
        <v>48</v>
      </c>
      <c r="BW23" s="4" t="s">
        <v>48</v>
      </c>
      <c r="BX23" s="4" t="s">
        <v>48</v>
      </c>
      <c r="BY23" s="4" t="s">
        <v>48</v>
      </c>
      <c r="BZ23" s="4" t="s">
        <v>48</v>
      </c>
      <c r="CA23" s="4" t="s">
        <v>48</v>
      </c>
      <c r="CB23" s="4" t="s">
        <v>48</v>
      </c>
      <c r="CC23" s="4" t="s">
        <v>48</v>
      </c>
      <c r="CD23" s="4" t="s">
        <v>48</v>
      </c>
      <c r="CE23" s="4" t="s">
        <v>48</v>
      </c>
      <c r="CF23" s="4" t="s">
        <v>48</v>
      </c>
      <c r="CG23" s="4" t="s">
        <v>48</v>
      </c>
      <c r="CH23" s="4" t="s">
        <v>48</v>
      </c>
      <c r="CI23" s="4" t="s">
        <v>48</v>
      </c>
      <c r="CJ23" s="4" t="s">
        <v>48</v>
      </c>
    </row>
    <row r="24" spans="1:88" s="4" customFormat="1" x14ac:dyDescent="0.25">
      <c r="A24" s="4" t="s">
        <v>2103</v>
      </c>
      <c r="B24" s="4" t="s">
        <v>2053</v>
      </c>
      <c r="C24" s="4" t="s">
        <v>1687</v>
      </c>
      <c r="D24" s="4" t="str">
        <f>cna_product_database_catalog_website[[#This Row],[MainCategory]]&amp;"&gt;"&amp;cna_product_database_catalog_website[[#This Row],[SubCategory1]]&amp;"&gt;"&amp;cna_product_database_catalog_website[[#This Row],[SubCategory2]]</f>
        <v>Bulbs&gt;Candle&gt;B10 Chandelier 30K</v>
      </c>
      <c r="E24" s="4">
        <v>81</v>
      </c>
      <c r="F24" s="4" t="s">
        <v>1431</v>
      </c>
      <c r="G24" s="5">
        <v>1163</v>
      </c>
      <c r="H24" s="9">
        <v>2.25</v>
      </c>
      <c r="I24" s="4" t="s">
        <v>1431</v>
      </c>
      <c r="J24" s="4" t="s">
        <v>1447</v>
      </c>
      <c r="K24" s="4" t="s">
        <v>65</v>
      </c>
      <c r="L24" s="4" t="s">
        <v>66</v>
      </c>
      <c r="M24" s="12" t="str">
        <f>HYPERLINK(cna_product_database_catalog_website[[#This Row],[Spec Sheet Link]], cna_product_database_catalog_website[[#Headers],[Spec Sheet Link]])</f>
        <v>Spec Sheet Link</v>
      </c>
      <c r="N24" s="4" t="s">
        <v>47</v>
      </c>
      <c r="O24" s="5">
        <v>1</v>
      </c>
      <c r="P24" s="5">
        <v>1</v>
      </c>
      <c r="Q24" s="4" t="s">
        <v>67</v>
      </c>
      <c r="R24" s="4" t="s">
        <v>53</v>
      </c>
      <c r="S24" s="4" t="s">
        <v>68</v>
      </c>
      <c r="T24" s="4" t="s">
        <v>1045</v>
      </c>
      <c r="U24" s="4" t="s">
        <v>55</v>
      </c>
      <c r="V24" s="4" t="s">
        <v>69</v>
      </c>
      <c r="W24" s="4" t="s">
        <v>57</v>
      </c>
      <c r="X24" s="4" t="s">
        <v>78</v>
      </c>
      <c r="Y24" s="5" t="s">
        <v>1015</v>
      </c>
      <c r="Z24" s="5" t="s">
        <v>1006</v>
      </c>
      <c r="AA24" s="5" t="s">
        <v>60</v>
      </c>
      <c r="AB24" s="6" t="s">
        <v>1008</v>
      </c>
      <c r="AC24" s="6" t="s">
        <v>71</v>
      </c>
      <c r="AD24" s="4" t="s">
        <v>59</v>
      </c>
      <c r="AF24" s="4" t="s">
        <v>48</v>
      </c>
      <c r="AL24" s="4" t="s">
        <v>74</v>
      </c>
      <c r="AM24" s="4" t="s">
        <v>79</v>
      </c>
      <c r="AN24" s="4" t="s">
        <v>73</v>
      </c>
      <c r="AO24" s="4" t="s">
        <v>75</v>
      </c>
      <c r="AP24" s="4" t="s">
        <v>76</v>
      </c>
      <c r="AQ24" s="4" t="s">
        <v>77</v>
      </c>
      <c r="AR24" s="4">
        <v>24</v>
      </c>
      <c r="AS24" s="4">
        <v>5.1999999999999998E-2</v>
      </c>
      <c r="AV24" s="4" t="s">
        <v>64</v>
      </c>
      <c r="AW24" s="4" t="s">
        <v>1044</v>
      </c>
      <c r="AX24" s="7">
        <v>50</v>
      </c>
      <c r="AY24" s="7" t="s">
        <v>63</v>
      </c>
      <c r="AZ24" s="4">
        <v>4</v>
      </c>
      <c r="BA24" s="4">
        <v>4</v>
      </c>
      <c r="BB24" s="4">
        <v>11.2</v>
      </c>
      <c r="BC24" s="4">
        <f>SUM(cna_product_database_catalog_website[[#This Row],[Box Length (cm)]]*cna_product_database_catalog_website[[#This Row],[Box Width (cm)]]*cna_product_database_catalog_website[[#This Row],[Box Height (cm)]]/1000000)</f>
        <v>1.7919999999999999E-4</v>
      </c>
      <c r="BD24" s="4">
        <f>SUM(cna_product_database_catalog_website[[#This Row],[Box CBM]]*35.3147)</f>
        <v>6.3283942400000001E-3</v>
      </c>
      <c r="BE24" s="4" t="s">
        <v>48</v>
      </c>
      <c r="BI24" s="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4" s="4">
        <f>SUM(cna_product_database_catalog_website[[#This Row],[Carton CFT]]/61024)</f>
        <v>0</v>
      </c>
      <c r="BM24" s="4" t="s">
        <v>48</v>
      </c>
      <c r="BO24" s="4" t="s">
        <v>48</v>
      </c>
      <c r="BP24" s="4" t="s">
        <v>48</v>
      </c>
      <c r="BQ24" s="4" t="s">
        <v>48</v>
      </c>
      <c r="BS24" s="4" t="s">
        <v>48</v>
      </c>
      <c r="BT24" s="4" t="s">
        <v>48</v>
      </c>
      <c r="BU24" s="4" t="s">
        <v>48</v>
      </c>
      <c r="BW24" s="4" t="s">
        <v>48</v>
      </c>
      <c r="BX24" s="4" t="s">
        <v>48</v>
      </c>
      <c r="BY24" s="4" t="s">
        <v>48</v>
      </c>
      <c r="BZ24" s="4" t="s">
        <v>48</v>
      </c>
      <c r="CA24" s="4" t="s">
        <v>48</v>
      </c>
      <c r="CB24" s="4" t="s">
        <v>48</v>
      </c>
      <c r="CC24" s="4" t="s">
        <v>48</v>
      </c>
      <c r="CD24" s="4" t="s">
        <v>48</v>
      </c>
      <c r="CE24" s="4" t="s">
        <v>48</v>
      </c>
      <c r="CF24" s="4" t="s">
        <v>48</v>
      </c>
      <c r="CG24" s="4" t="s">
        <v>48</v>
      </c>
      <c r="CH24" s="4" t="s">
        <v>48</v>
      </c>
      <c r="CI24" s="4" t="s">
        <v>48</v>
      </c>
      <c r="CJ24" s="4" t="s">
        <v>48</v>
      </c>
    </row>
    <row r="25" spans="1:88" s="4" customFormat="1" x14ac:dyDescent="0.25">
      <c r="A25" s="4" t="s">
        <v>2103</v>
      </c>
      <c r="B25" s="4" t="s">
        <v>2053</v>
      </c>
      <c r="C25" s="4" t="s">
        <v>1688</v>
      </c>
      <c r="D25" s="4" t="str">
        <f>cna_product_database_catalog_website[[#This Row],[MainCategory]]&amp;"&gt;"&amp;cna_product_database_catalog_website[[#This Row],[SubCategory1]]&amp;"&gt;"&amp;cna_product_database_catalog_website[[#This Row],[SubCategory2]]</f>
        <v>Bulbs&gt;Candle&gt;B10 Chandelier 40K</v>
      </c>
      <c r="E25" s="4">
        <v>82</v>
      </c>
      <c r="F25" s="4" t="s">
        <v>1430</v>
      </c>
      <c r="G25" s="5">
        <v>1164</v>
      </c>
      <c r="H25" s="9">
        <v>2.25</v>
      </c>
      <c r="I25" s="4" t="s">
        <v>1430</v>
      </c>
      <c r="J25" s="4" t="s">
        <v>1448</v>
      </c>
      <c r="K25" s="4" t="s">
        <v>65</v>
      </c>
      <c r="L25" s="4" t="s">
        <v>66</v>
      </c>
      <c r="M25" s="12" t="str">
        <f>HYPERLINK(cna_product_database_catalog_website[[#This Row],[Spec Sheet Link]], cna_product_database_catalog_website[[#Headers],[Spec Sheet Link]])</f>
        <v>Spec Sheet Link</v>
      </c>
      <c r="N25" s="4" t="s">
        <v>47</v>
      </c>
      <c r="O25" s="5">
        <v>1</v>
      </c>
      <c r="P25" s="5">
        <v>1</v>
      </c>
      <c r="Q25" s="4" t="s">
        <v>67</v>
      </c>
      <c r="R25" s="4" t="s">
        <v>53</v>
      </c>
      <c r="S25" s="4" t="s">
        <v>68</v>
      </c>
      <c r="T25" s="4" t="s">
        <v>1045</v>
      </c>
      <c r="U25" s="4" t="s">
        <v>55</v>
      </c>
      <c r="V25" s="4" t="s">
        <v>69</v>
      </c>
      <c r="W25" s="4" t="s">
        <v>57</v>
      </c>
      <c r="X25" s="4" t="s">
        <v>58</v>
      </c>
      <c r="Y25" s="5" t="s">
        <v>1015</v>
      </c>
      <c r="Z25" s="5" t="s">
        <v>1006</v>
      </c>
      <c r="AA25" s="5" t="s">
        <v>60</v>
      </c>
      <c r="AB25" s="6" t="s">
        <v>1008</v>
      </c>
      <c r="AC25" s="6" t="s">
        <v>71</v>
      </c>
      <c r="AD25" s="4" t="s">
        <v>59</v>
      </c>
      <c r="AF25" s="4" t="s">
        <v>48</v>
      </c>
      <c r="AL25" s="4" t="s">
        <v>74</v>
      </c>
      <c r="AM25" s="4" t="s">
        <v>79</v>
      </c>
      <c r="AN25" s="4" t="s">
        <v>73</v>
      </c>
      <c r="AO25" s="4" t="s">
        <v>75</v>
      </c>
      <c r="AP25" s="4" t="s">
        <v>76</v>
      </c>
      <c r="AQ25" s="4" t="s">
        <v>77</v>
      </c>
      <c r="AR25" s="4">
        <v>24</v>
      </c>
      <c r="AS25" s="4">
        <v>5.1999999999999998E-2</v>
      </c>
      <c r="AV25" s="4" t="s">
        <v>64</v>
      </c>
      <c r="AW25" s="4" t="s">
        <v>1044</v>
      </c>
      <c r="AX25" s="7">
        <v>50</v>
      </c>
      <c r="AY25" s="7" t="s">
        <v>63</v>
      </c>
      <c r="AZ25" s="4">
        <v>4</v>
      </c>
      <c r="BA25" s="4">
        <v>4</v>
      </c>
      <c r="BB25" s="4">
        <v>11.2</v>
      </c>
      <c r="BC25" s="4">
        <f>SUM(cna_product_database_catalog_website[[#This Row],[Box Length (cm)]]*cna_product_database_catalog_website[[#This Row],[Box Width (cm)]]*cna_product_database_catalog_website[[#This Row],[Box Height (cm)]]/1000000)</f>
        <v>1.7919999999999999E-4</v>
      </c>
      <c r="BD25" s="4">
        <f>SUM(cna_product_database_catalog_website[[#This Row],[Box CBM]]*35.3147)</f>
        <v>6.3283942400000001E-3</v>
      </c>
      <c r="BE25" s="4" t="s">
        <v>48</v>
      </c>
      <c r="BI25" s="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5" s="4">
        <f>SUM(cna_product_database_catalog_website[[#This Row],[Carton CFT]]/61024)</f>
        <v>0</v>
      </c>
      <c r="BM25" s="4" t="s">
        <v>48</v>
      </c>
      <c r="BO25" s="4" t="s">
        <v>48</v>
      </c>
      <c r="BP25" s="4" t="s">
        <v>48</v>
      </c>
      <c r="BQ25" s="4" t="s">
        <v>48</v>
      </c>
      <c r="BS25" s="4" t="s">
        <v>48</v>
      </c>
      <c r="BT25" s="4" t="s">
        <v>48</v>
      </c>
      <c r="BU25" s="4" t="s">
        <v>48</v>
      </c>
      <c r="BW25" s="4" t="s">
        <v>48</v>
      </c>
      <c r="BX25" s="4" t="s">
        <v>48</v>
      </c>
      <c r="BY25" s="4" t="s">
        <v>48</v>
      </c>
      <c r="BZ25" s="4" t="s">
        <v>48</v>
      </c>
      <c r="CA25" s="4" t="s">
        <v>48</v>
      </c>
      <c r="CB25" s="4" t="s">
        <v>48</v>
      </c>
      <c r="CC25" s="4" t="s">
        <v>48</v>
      </c>
      <c r="CD25" s="4" t="s">
        <v>48</v>
      </c>
      <c r="CE25" s="4" t="s">
        <v>48</v>
      </c>
      <c r="CF25" s="4" t="s">
        <v>48</v>
      </c>
      <c r="CG25" s="4" t="s">
        <v>48</v>
      </c>
      <c r="CH25" s="4" t="s">
        <v>48</v>
      </c>
      <c r="CI25" s="4" t="s">
        <v>48</v>
      </c>
      <c r="CJ25" s="4" t="s">
        <v>48</v>
      </c>
    </row>
    <row r="26" spans="1:88" s="4" customFormat="1" x14ac:dyDescent="0.25">
      <c r="A26" s="4" t="s">
        <v>2103</v>
      </c>
      <c r="B26" s="4" t="s">
        <v>2053</v>
      </c>
      <c r="C26" s="4" t="s">
        <v>1689</v>
      </c>
      <c r="D26" s="4" t="str">
        <f>cna_product_database_catalog_website[[#This Row],[MainCategory]]&amp;"&gt;"&amp;cna_product_database_catalog_website[[#This Row],[SubCategory1]]&amp;"&gt;"&amp;cna_product_database_catalog_website[[#This Row],[SubCategory2]]</f>
        <v>Bulbs&gt;Candle&gt;B10 Chandelier 50K</v>
      </c>
      <c r="E26" s="4">
        <v>83</v>
      </c>
      <c r="F26" s="4" t="s">
        <v>1429</v>
      </c>
      <c r="G26" s="5">
        <v>1165</v>
      </c>
      <c r="H26" s="9">
        <v>2.25</v>
      </c>
      <c r="I26" s="4" t="s">
        <v>1429</v>
      </c>
      <c r="J26" s="4" t="s">
        <v>1449</v>
      </c>
      <c r="K26" s="4" t="s">
        <v>65</v>
      </c>
      <c r="L26" s="4" t="s">
        <v>66</v>
      </c>
      <c r="M26" s="12" t="str">
        <f>HYPERLINK(cna_product_database_catalog_website[[#This Row],[Spec Sheet Link]], cna_product_database_catalog_website[[#Headers],[Spec Sheet Link]])</f>
        <v>Spec Sheet Link</v>
      </c>
      <c r="N26" s="4" t="s">
        <v>47</v>
      </c>
      <c r="O26" s="5">
        <v>1</v>
      </c>
      <c r="P26" s="5">
        <v>1</v>
      </c>
      <c r="Q26" s="4" t="s">
        <v>67</v>
      </c>
      <c r="R26" s="4" t="s">
        <v>53</v>
      </c>
      <c r="S26" s="4" t="s">
        <v>68</v>
      </c>
      <c r="T26" s="4" t="s">
        <v>1045</v>
      </c>
      <c r="U26" s="4" t="s">
        <v>55</v>
      </c>
      <c r="V26" s="4" t="s">
        <v>69</v>
      </c>
      <c r="W26" s="4" t="s">
        <v>57</v>
      </c>
      <c r="X26" s="4" t="s">
        <v>803</v>
      </c>
      <c r="Y26" s="5" t="s">
        <v>1015</v>
      </c>
      <c r="Z26" s="5" t="s">
        <v>1006</v>
      </c>
      <c r="AA26" s="5" t="s">
        <v>60</v>
      </c>
      <c r="AB26" s="6" t="s">
        <v>1008</v>
      </c>
      <c r="AC26" s="6" t="s">
        <v>71</v>
      </c>
      <c r="AD26" s="4" t="s">
        <v>59</v>
      </c>
      <c r="AF26" s="4" t="s">
        <v>48</v>
      </c>
      <c r="AL26" s="4" t="s">
        <v>74</v>
      </c>
      <c r="AM26" s="4" t="s">
        <v>79</v>
      </c>
      <c r="AN26" s="4" t="s">
        <v>73</v>
      </c>
      <c r="AO26" s="4" t="s">
        <v>75</v>
      </c>
      <c r="AP26" s="4" t="s">
        <v>76</v>
      </c>
      <c r="AQ26" s="4" t="s">
        <v>77</v>
      </c>
      <c r="AR26" s="4">
        <v>24</v>
      </c>
      <c r="AS26" s="4">
        <v>5.1999999999999998E-2</v>
      </c>
      <c r="AV26" s="4" t="s">
        <v>64</v>
      </c>
      <c r="AW26" s="4" t="s">
        <v>1044</v>
      </c>
      <c r="AX26" s="7">
        <v>50</v>
      </c>
      <c r="AY26" s="7" t="s">
        <v>63</v>
      </c>
      <c r="AZ26" s="4">
        <v>4</v>
      </c>
      <c r="BA26" s="4">
        <v>4</v>
      </c>
      <c r="BB26" s="4">
        <v>11.2</v>
      </c>
      <c r="BC26" s="4">
        <f>SUM(cna_product_database_catalog_website[[#This Row],[Box Length (cm)]]*cna_product_database_catalog_website[[#This Row],[Box Width (cm)]]*cna_product_database_catalog_website[[#This Row],[Box Height (cm)]]/1000000)</f>
        <v>1.7919999999999999E-4</v>
      </c>
      <c r="BD26" s="4">
        <f>SUM(cna_product_database_catalog_website[[#This Row],[Box CBM]]*35.3147)</f>
        <v>6.3283942400000001E-3</v>
      </c>
      <c r="BE26" s="4" t="s">
        <v>48</v>
      </c>
      <c r="BI26" s="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" s="4">
        <f>SUM(cna_product_database_catalog_website[[#This Row],[Carton CFT]]/61024)</f>
        <v>0</v>
      </c>
      <c r="BM26" s="4" t="s">
        <v>48</v>
      </c>
      <c r="BO26" s="4" t="s">
        <v>48</v>
      </c>
      <c r="BP26" s="4" t="s">
        <v>48</v>
      </c>
      <c r="BQ26" s="4" t="s">
        <v>48</v>
      </c>
      <c r="BS26" s="4" t="s">
        <v>48</v>
      </c>
      <c r="BT26" s="4" t="s">
        <v>48</v>
      </c>
      <c r="BU26" s="4" t="s">
        <v>48</v>
      </c>
      <c r="BW26" s="4" t="s">
        <v>48</v>
      </c>
      <c r="BX26" s="4" t="s">
        <v>48</v>
      </c>
      <c r="BY26" s="4" t="s">
        <v>48</v>
      </c>
      <c r="BZ26" s="4" t="s">
        <v>48</v>
      </c>
      <c r="CA26" s="4" t="s">
        <v>48</v>
      </c>
      <c r="CB26" s="4" t="s">
        <v>48</v>
      </c>
      <c r="CC26" s="4" t="s">
        <v>48</v>
      </c>
      <c r="CD26" s="4" t="s">
        <v>48</v>
      </c>
      <c r="CE26" s="4" t="s">
        <v>48</v>
      </c>
      <c r="CF26" s="4" t="s">
        <v>48</v>
      </c>
      <c r="CG26" s="4" t="s">
        <v>48</v>
      </c>
      <c r="CH26" s="4" t="s">
        <v>48</v>
      </c>
      <c r="CI26" s="4" t="s">
        <v>48</v>
      </c>
      <c r="CJ26" s="4" t="s">
        <v>48</v>
      </c>
    </row>
    <row r="27" spans="1:88" s="4" customFormat="1" x14ac:dyDescent="0.25">
      <c r="A27" s="4" t="s">
        <v>2103</v>
      </c>
      <c r="B27" s="4" t="s">
        <v>2053</v>
      </c>
      <c r="C27" s="4" t="s">
        <v>1814</v>
      </c>
      <c r="D27" s="4" t="str">
        <f>cna_product_database_catalog_website[[#This Row],[MainCategory]]&amp;"&gt;"&amp;cna_product_database_catalog_website[[#This Row],[SubCategory1]]&amp;"&gt;"&amp;cna_product_database_catalog_website[[#This Row],[SubCategory2]]</f>
        <v>Bulbs&gt;Candle&gt;B10 Chandelier - White Filament 30K</v>
      </c>
      <c r="E27" s="4">
        <v>84</v>
      </c>
      <c r="F27" s="4" t="s">
        <v>1461</v>
      </c>
      <c r="G27" s="5">
        <v>1195</v>
      </c>
      <c r="H27" s="9">
        <v>2.7</v>
      </c>
      <c r="I27" s="4" t="s">
        <v>1461</v>
      </c>
      <c r="J27" s="4" t="s">
        <v>1462</v>
      </c>
      <c r="K27" s="4" t="s">
        <v>1463</v>
      </c>
      <c r="L27" s="4" t="s">
        <v>1464</v>
      </c>
      <c r="M27" s="12" t="str">
        <f>HYPERLINK(cna_product_database_catalog_website[[#This Row],[Spec Sheet Link]], cna_product_database_catalog_website[[#Headers],[Spec Sheet Link]])</f>
        <v>Spec Sheet Link</v>
      </c>
      <c r="N27" s="4" t="s">
        <v>47</v>
      </c>
      <c r="O27" s="5">
        <v>1</v>
      </c>
      <c r="P27" s="5">
        <v>1</v>
      </c>
      <c r="Q27" s="4" t="s">
        <v>110</v>
      </c>
      <c r="R27" s="4" t="s">
        <v>53</v>
      </c>
      <c r="S27" s="4" t="s">
        <v>68</v>
      </c>
      <c r="T27" s="4" t="s">
        <v>1045</v>
      </c>
      <c r="U27" s="4" t="s">
        <v>55</v>
      </c>
      <c r="V27" s="4" t="s">
        <v>69</v>
      </c>
      <c r="W27" s="4" t="s">
        <v>57</v>
      </c>
      <c r="X27" s="4" t="s">
        <v>78</v>
      </c>
      <c r="Y27" s="5" t="s">
        <v>1015</v>
      </c>
      <c r="Z27" s="5" t="s">
        <v>1006</v>
      </c>
      <c r="AA27" s="5" t="s">
        <v>60</v>
      </c>
      <c r="AB27" s="6" t="s">
        <v>1008</v>
      </c>
      <c r="AC27" s="6" t="s">
        <v>71</v>
      </c>
      <c r="AD27" s="4" t="s">
        <v>450</v>
      </c>
      <c r="AF27" s="4" t="s">
        <v>48</v>
      </c>
      <c r="AL27" s="4" t="s">
        <v>1465</v>
      </c>
      <c r="AM27" s="4" t="s">
        <v>1466</v>
      </c>
      <c r="AN27" s="4" t="s">
        <v>435</v>
      </c>
      <c r="AO27" s="4" t="s">
        <v>75</v>
      </c>
      <c r="AP27" s="4" t="s">
        <v>76</v>
      </c>
      <c r="AQ27" s="4" t="s">
        <v>77</v>
      </c>
      <c r="AR27" s="4">
        <v>29</v>
      </c>
      <c r="AS27" s="4">
        <v>6.3E-2</v>
      </c>
      <c r="AV27" s="4" t="s">
        <v>64</v>
      </c>
      <c r="AW27" s="4" t="s">
        <v>1044</v>
      </c>
      <c r="AX27" s="7">
        <v>50</v>
      </c>
      <c r="AY27" s="7" t="s">
        <v>63</v>
      </c>
      <c r="AZ27" s="4">
        <v>4</v>
      </c>
      <c r="BA27" s="4">
        <v>4</v>
      </c>
      <c r="BB27" s="4">
        <v>11.2</v>
      </c>
      <c r="BC27" s="4">
        <f>SUM(cna_product_database_catalog_website[[#This Row],[Box Length (cm)]]*cna_product_database_catalog_website[[#This Row],[Box Width (cm)]]*cna_product_database_catalog_website[[#This Row],[Box Height (cm)]]/1000000)</f>
        <v>1.7919999999999999E-4</v>
      </c>
      <c r="BD27" s="4">
        <f>SUM(cna_product_database_catalog_website[[#This Row],[Box CBM]]*35.3147)</f>
        <v>6.3283942400000001E-3</v>
      </c>
      <c r="BE27" s="4" t="s">
        <v>48</v>
      </c>
      <c r="BI27" s="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" s="4">
        <f>SUM(cna_product_database_catalog_website[[#This Row],[Carton CFT]]/61024)</f>
        <v>0</v>
      </c>
      <c r="BM27" s="4" t="s">
        <v>48</v>
      </c>
      <c r="BO27" s="4" t="s">
        <v>48</v>
      </c>
      <c r="BP27" s="4" t="s">
        <v>48</v>
      </c>
      <c r="BQ27" s="4" t="s">
        <v>48</v>
      </c>
      <c r="BS27" s="4" t="s">
        <v>48</v>
      </c>
      <c r="BT27" s="4" t="s">
        <v>48</v>
      </c>
      <c r="BU27" s="4" t="s">
        <v>48</v>
      </c>
      <c r="BW27" s="4" t="s">
        <v>48</v>
      </c>
      <c r="BX27" s="4" t="s">
        <v>48</v>
      </c>
      <c r="BY27" s="4" t="s">
        <v>48</v>
      </c>
      <c r="BZ27" s="4" t="s">
        <v>48</v>
      </c>
      <c r="CA27" s="4" t="s">
        <v>48</v>
      </c>
      <c r="CB27" s="4" t="s">
        <v>48</v>
      </c>
      <c r="CC27" s="4" t="s">
        <v>48</v>
      </c>
      <c r="CD27" s="4" t="s">
        <v>48</v>
      </c>
      <c r="CE27" s="4" t="s">
        <v>48</v>
      </c>
      <c r="CF27" s="4" t="s">
        <v>48</v>
      </c>
      <c r="CG27" s="4" t="s">
        <v>48</v>
      </c>
      <c r="CH27" s="4" t="s">
        <v>48</v>
      </c>
      <c r="CI27" s="4" t="s">
        <v>48</v>
      </c>
      <c r="CJ27" s="4" t="s">
        <v>48</v>
      </c>
    </row>
    <row r="28" spans="1:88" x14ac:dyDescent="0.25">
      <c r="A28" s="4" t="s">
        <v>2103</v>
      </c>
      <c r="B28" s="4" t="s">
        <v>2054</v>
      </c>
      <c r="C28" s="4" t="s">
        <v>1816</v>
      </c>
      <c r="D28" s="4" t="str">
        <f>cna_product_database_catalog_website[[#This Row],[MainCategory]]&amp;"&gt;"&amp;cna_product_database_catalog_website[[#This Row],[SubCategory1]]&amp;"&gt;"&amp;cna_product_database_catalog_website[[#This Row],[SubCategory2]]</f>
        <v>Bulbs&gt;Globe&gt;G16 Clear 30K - E12</v>
      </c>
      <c r="E28" s="4">
        <v>90</v>
      </c>
      <c r="F28" t="s">
        <v>1078</v>
      </c>
      <c r="G28" s="3">
        <v>1118</v>
      </c>
      <c r="H28" s="8">
        <v>2.2999999999999998</v>
      </c>
      <c r="I28" t="s">
        <v>1078</v>
      </c>
      <c r="J28" t="s">
        <v>1078</v>
      </c>
      <c r="K28" t="s">
        <v>125</v>
      </c>
      <c r="L28" t="s">
        <v>126</v>
      </c>
      <c r="M28" s="12" t="str">
        <f>HYPERLINK(cna_product_database_catalog_website[[#This Row],[Spec Sheet Link]], cna_product_database_catalog_website[[#Headers],[Spec Sheet Link]])</f>
        <v>Spec Sheet Link</v>
      </c>
      <c r="N28" t="s">
        <v>47</v>
      </c>
      <c r="O28" s="3">
        <v>1</v>
      </c>
      <c r="P28" s="3">
        <v>1</v>
      </c>
      <c r="Q28" t="s">
        <v>110</v>
      </c>
      <c r="R28" t="s">
        <v>85</v>
      </c>
      <c r="S28" t="s">
        <v>68</v>
      </c>
      <c r="T28" t="s">
        <v>1088</v>
      </c>
      <c r="U28" t="s">
        <v>55</v>
      </c>
      <c r="V28" t="s">
        <v>127</v>
      </c>
      <c r="W28" t="s">
        <v>57</v>
      </c>
      <c r="X28" t="s">
        <v>78</v>
      </c>
      <c r="Y28" s="3" t="s">
        <v>1015</v>
      </c>
      <c r="Z28" s="3" t="s">
        <v>1006</v>
      </c>
      <c r="AA28" s="3" t="s">
        <v>60</v>
      </c>
      <c r="AB28" s="1" t="s">
        <v>1008</v>
      </c>
      <c r="AC28" s="1" t="s">
        <v>101</v>
      </c>
      <c r="AD28" t="s">
        <v>59</v>
      </c>
      <c r="AE28"/>
      <c r="AF28" t="s">
        <v>48</v>
      </c>
      <c r="AL28" t="s">
        <v>130</v>
      </c>
      <c r="AM28" t="s">
        <v>128</v>
      </c>
      <c r="AN28" t="s">
        <v>129</v>
      </c>
      <c r="AO28" t="s">
        <v>131</v>
      </c>
      <c r="AP28" t="s">
        <v>132</v>
      </c>
      <c r="AQ28" t="s">
        <v>133</v>
      </c>
      <c r="AR28">
        <v>45</v>
      </c>
      <c r="AS28">
        <v>0.1</v>
      </c>
      <c r="AV28" t="s">
        <v>134</v>
      </c>
      <c r="AW28" t="s">
        <v>1044</v>
      </c>
      <c r="AX28" s="2">
        <v>25</v>
      </c>
      <c r="AY28" s="2">
        <v>100</v>
      </c>
      <c r="AZ28">
        <v>5.6</v>
      </c>
      <c r="BA28">
        <v>5.6</v>
      </c>
      <c r="BB28">
        <v>9.1</v>
      </c>
      <c r="BC28">
        <f>SUM(cna_product_database_catalog_website[[#This Row],[Box Length (cm)]]*cna_product_database_catalog_website[[#This Row],[Box Width (cm)]]*cna_product_database_catalog_website[[#This Row],[Box Height (cm)]]/1000000)</f>
        <v>2.85376E-4</v>
      </c>
      <c r="BD28">
        <f>SUM(cna_product_database_catalog_website[[#This Row],[Box CBM]]*35.3147)</f>
        <v>1.0077967827200001E-2</v>
      </c>
      <c r="BE28" t="s">
        <v>48</v>
      </c>
      <c r="BI2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">
        <f>SUM(cna_product_database_catalog_website[[#This Row],[Carton CFT]]/61024)</f>
        <v>0</v>
      </c>
      <c r="BM28" t="s">
        <v>48</v>
      </c>
      <c r="BN28"/>
      <c r="BO28" t="s">
        <v>48</v>
      </c>
      <c r="BP28" t="s">
        <v>48</v>
      </c>
      <c r="BQ28" t="s">
        <v>48</v>
      </c>
      <c r="BS28" t="s">
        <v>48</v>
      </c>
      <c r="BT28" t="s">
        <v>48</v>
      </c>
      <c r="BU28" t="s">
        <v>48</v>
      </c>
      <c r="BW28" t="s">
        <v>48</v>
      </c>
      <c r="BX28" t="s">
        <v>48</v>
      </c>
      <c r="BY28" t="s">
        <v>48</v>
      </c>
      <c r="BZ28" t="s">
        <v>48</v>
      </c>
      <c r="CA28" t="s">
        <v>48</v>
      </c>
      <c r="CB28" t="s">
        <v>48</v>
      </c>
      <c r="CC28" t="s">
        <v>48</v>
      </c>
      <c r="CD28" t="s">
        <v>48</v>
      </c>
      <c r="CE28" t="s">
        <v>48</v>
      </c>
      <c r="CF28" t="s">
        <v>48</v>
      </c>
      <c r="CG28" t="s">
        <v>48</v>
      </c>
      <c r="CH28" t="s">
        <v>48</v>
      </c>
      <c r="CI28" t="s">
        <v>48</v>
      </c>
      <c r="CJ28" t="s">
        <v>48</v>
      </c>
    </row>
    <row r="29" spans="1:88" x14ac:dyDescent="0.25">
      <c r="A29" s="4" t="s">
        <v>2103</v>
      </c>
      <c r="B29" s="4" t="s">
        <v>2054</v>
      </c>
      <c r="C29" s="4" t="s">
        <v>1815</v>
      </c>
      <c r="D29" s="4" t="str">
        <f>cna_product_database_catalog_website[[#This Row],[MainCategory]]&amp;"&gt;"&amp;cna_product_database_catalog_website[[#This Row],[SubCategory1]]&amp;"&gt;"&amp;cna_product_database_catalog_website[[#This Row],[SubCategory2]]</f>
        <v>Bulbs&gt;Globe&gt;G16 Milky / Opaque - E12 30K</v>
      </c>
      <c r="E29" s="4">
        <v>91</v>
      </c>
      <c r="F29" t="s">
        <v>1079</v>
      </c>
      <c r="G29" s="3">
        <v>1119</v>
      </c>
      <c r="H29" s="8">
        <v>2.6</v>
      </c>
      <c r="I29" t="s">
        <v>1079</v>
      </c>
      <c r="J29" t="s">
        <v>1079</v>
      </c>
      <c r="K29" t="s">
        <v>135</v>
      </c>
      <c r="L29" t="s">
        <v>136</v>
      </c>
      <c r="M29" s="12" t="str">
        <f>HYPERLINK(cna_product_database_catalog_website[[#This Row],[Spec Sheet Link]], cna_product_database_catalog_website[[#Headers],[Spec Sheet Link]])</f>
        <v>Spec Sheet Link</v>
      </c>
      <c r="N29" t="s">
        <v>47</v>
      </c>
      <c r="O29" s="3">
        <v>1</v>
      </c>
      <c r="P29" s="3">
        <v>1</v>
      </c>
      <c r="Q29" t="s">
        <v>110</v>
      </c>
      <c r="R29" t="s">
        <v>85</v>
      </c>
      <c r="S29" t="s">
        <v>68</v>
      </c>
      <c r="T29" t="s">
        <v>1088</v>
      </c>
      <c r="U29" t="s">
        <v>55</v>
      </c>
      <c r="V29" t="s">
        <v>127</v>
      </c>
      <c r="W29" t="s">
        <v>57</v>
      </c>
      <c r="X29" t="s">
        <v>78</v>
      </c>
      <c r="Y29" s="3" t="s">
        <v>1015</v>
      </c>
      <c r="Z29" s="3" t="s">
        <v>1006</v>
      </c>
      <c r="AA29" s="3" t="s">
        <v>60</v>
      </c>
      <c r="AB29" s="1" t="s">
        <v>1008</v>
      </c>
      <c r="AC29" s="1" t="s">
        <v>101</v>
      </c>
      <c r="AD29" t="s">
        <v>59</v>
      </c>
      <c r="AE29"/>
      <c r="AF29" t="s">
        <v>48</v>
      </c>
      <c r="AL29" t="s">
        <v>130</v>
      </c>
      <c r="AM29" t="s">
        <v>128</v>
      </c>
      <c r="AN29" t="s">
        <v>129</v>
      </c>
      <c r="AO29" t="s">
        <v>131</v>
      </c>
      <c r="AP29" t="s">
        <v>132</v>
      </c>
      <c r="AQ29" t="s">
        <v>133</v>
      </c>
      <c r="AR29">
        <v>45</v>
      </c>
      <c r="AS29">
        <v>0.1</v>
      </c>
      <c r="AV29" t="s">
        <v>137</v>
      </c>
      <c r="AW29" t="s">
        <v>1044</v>
      </c>
      <c r="AX29" s="2">
        <v>25</v>
      </c>
      <c r="AY29" s="2">
        <v>100</v>
      </c>
      <c r="AZ29">
        <v>5.6</v>
      </c>
      <c r="BA29">
        <v>5.6</v>
      </c>
      <c r="BB29">
        <v>9.1</v>
      </c>
      <c r="BC29">
        <f>SUM(cna_product_database_catalog_website[[#This Row],[Box Length (cm)]]*cna_product_database_catalog_website[[#This Row],[Box Width (cm)]]*cna_product_database_catalog_website[[#This Row],[Box Height (cm)]]/1000000)</f>
        <v>2.85376E-4</v>
      </c>
      <c r="BD29">
        <f>SUM(cna_product_database_catalog_website[[#This Row],[Box CBM]]*35.3147)</f>
        <v>1.0077967827200001E-2</v>
      </c>
      <c r="BE29" t="s">
        <v>48</v>
      </c>
      <c r="BI2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">
        <f>SUM(cna_product_database_catalog_website[[#This Row],[Carton CFT]]/61024)</f>
        <v>0</v>
      </c>
      <c r="BM29" t="s">
        <v>48</v>
      </c>
      <c r="BN29"/>
      <c r="BO29" t="s">
        <v>48</v>
      </c>
      <c r="BP29" t="s">
        <v>48</v>
      </c>
      <c r="BQ29" t="s">
        <v>48</v>
      </c>
      <c r="BS29" t="s">
        <v>48</v>
      </c>
      <c r="BT29" t="s">
        <v>48</v>
      </c>
      <c r="BU29" t="s">
        <v>48</v>
      </c>
      <c r="BW29" t="s">
        <v>48</v>
      </c>
      <c r="BX29" t="s">
        <v>48</v>
      </c>
      <c r="BY29" t="s">
        <v>48</v>
      </c>
      <c r="BZ29" t="s">
        <v>48</v>
      </c>
      <c r="CA29" t="s">
        <v>48</v>
      </c>
      <c r="CB29" t="s">
        <v>48</v>
      </c>
      <c r="CC29" t="s">
        <v>48</v>
      </c>
      <c r="CD29" t="s">
        <v>48</v>
      </c>
      <c r="CE29" t="s">
        <v>48</v>
      </c>
      <c r="CF29" t="s">
        <v>48</v>
      </c>
      <c r="CG29" t="s">
        <v>48</v>
      </c>
      <c r="CH29" t="s">
        <v>48</v>
      </c>
      <c r="CI29" t="s">
        <v>48</v>
      </c>
      <c r="CJ29" t="s">
        <v>48</v>
      </c>
    </row>
    <row r="30" spans="1:88" x14ac:dyDescent="0.25">
      <c r="A30" s="4" t="s">
        <v>2103</v>
      </c>
      <c r="B30" s="4" t="s">
        <v>2054</v>
      </c>
      <c r="C30" s="4" t="s">
        <v>1817</v>
      </c>
      <c r="D30" s="4" t="str">
        <f>cna_product_database_catalog_website[[#This Row],[MainCategory]]&amp;"&gt;"&amp;cna_product_database_catalog_website[[#This Row],[SubCategory1]]&amp;"&gt;"&amp;cna_product_database_catalog_website[[#This Row],[SubCategory2]]</f>
        <v xml:space="preserve">Bulbs&gt;Globe&gt;G16 Clear 30K - E26 </v>
      </c>
      <c r="E30" s="4">
        <v>92</v>
      </c>
      <c r="F30" t="s">
        <v>1080</v>
      </c>
      <c r="G30" s="3">
        <v>1213</v>
      </c>
      <c r="H30" s="8">
        <v>2.9</v>
      </c>
      <c r="I30" t="s">
        <v>1080</v>
      </c>
      <c r="J30" t="s">
        <v>1080</v>
      </c>
      <c r="K30" t="s">
        <v>138</v>
      </c>
      <c r="L30" t="s">
        <v>139</v>
      </c>
      <c r="M30" s="12" t="str">
        <f>HYPERLINK(cna_product_database_catalog_website[[#This Row],[Spec Sheet Link]], cna_product_database_catalog_website[[#Headers],[Spec Sheet Link]])</f>
        <v>Spec Sheet Link</v>
      </c>
      <c r="N30" t="s">
        <v>47</v>
      </c>
      <c r="O30" s="3">
        <v>1</v>
      </c>
      <c r="P30" s="3">
        <v>1</v>
      </c>
      <c r="Q30" t="s">
        <v>110</v>
      </c>
      <c r="R30" t="s">
        <v>85</v>
      </c>
      <c r="S30" t="s">
        <v>68</v>
      </c>
      <c r="T30" t="s">
        <v>1088</v>
      </c>
      <c r="U30" t="s">
        <v>55</v>
      </c>
      <c r="V30" t="s">
        <v>127</v>
      </c>
      <c r="W30" t="s">
        <v>88</v>
      </c>
      <c r="X30" t="s">
        <v>78</v>
      </c>
      <c r="Y30" s="3" t="s">
        <v>1015</v>
      </c>
      <c r="Z30" s="3" t="s">
        <v>1006</v>
      </c>
      <c r="AA30" s="3" t="s">
        <v>60</v>
      </c>
      <c r="AB30" s="1" t="s">
        <v>1008</v>
      </c>
      <c r="AC30" s="1" t="s">
        <v>101</v>
      </c>
      <c r="AD30" t="s">
        <v>59</v>
      </c>
      <c r="AE30"/>
      <c r="AF30" t="s">
        <v>48</v>
      </c>
      <c r="AL30" t="s">
        <v>142</v>
      </c>
      <c r="AM30" t="s">
        <v>140</v>
      </c>
      <c r="AN30" t="s">
        <v>141</v>
      </c>
      <c r="AO30" t="s">
        <v>131</v>
      </c>
      <c r="AP30" t="s">
        <v>132</v>
      </c>
      <c r="AQ30" t="s">
        <v>133</v>
      </c>
      <c r="AR30">
        <v>45</v>
      </c>
      <c r="AS30">
        <v>0.1</v>
      </c>
      <c r="AV30" t="s">
        <v>134</v>
      </c>
      <c r="AW30" t="s">
        <v>1044</v>
      </c>
      <c r="AX30" s="2">
        <v>25</v>
      </c>
      <c r="AY30" s="2">
        <v>100</v>
      </c>
      <c r="AZ30">
        <v>5.6</v>
      </c>
      <c r="BA30">
        <v>5.6</v>
      </c>
      <c r="BB30">
        <v>9.1</v>
      </c>
      <c r="BC30">
        <f>SUM(cna_product_database_catalog_website[[#This Row],[Box Length (cm)]]*cna_product_database_catalog_website[[#This Row],[Box Width (cm)]]*cna_product_database_catalog_website[[#This Row],[Box Height (cm)]]/1000000)</f>
        <v>2.85376E-4</v>
      </c>
      <c r="BD30">
        <f>SUM(cna_product_database_catalog_website[[#This Row],[Box CBM]]*35.3147)</f>
        <v>1.0077967827200001E-2</v>
      </c>
      <c r="BE30" t="s">
        <v>48</v>
      </c>
      <c r="BI3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">
        <f>SUM(cna_product_database_catalog_website[[#This Row],[Carton CFT]]/61024)</f>
        <v>0</v>
      </c>
      <c r="BM30" t="s">
        <v>48</v>
      </c>
      <c r="BN30"/>
      <c r="BO30" t="s">
        <v>48</v>
      </c>
      <c r="BP30" t="s">
        <v>48</v>
      </c>
      <c r="BQ30" t="s">
        <v>48</v>
      </c>
      <c r="BS30" t="s">
        <v>48</v>
      </c>
      <c r="BT30" t="s">
        <v>48</v>
      </c>
      <c r="BU30" t="s">
        <v>48</v>
      </c>
      <c r="BW30" t="s">
        <v>48</v>
      </c>
      <c r="BX30" t="s">
        <v>48</v>
      </c>
      <c r="BY30" t="s">
        <v>48</v>
      </c>
      <c r="BZ30" t="s">
        <v>48</v>
      </c>
      <c r="CA30" t="s">
        <v>48</v>
      </c>
      <c r="CB30" t="s">
        <v>48</v>
      </c>
      <c r="CC30" t="s">
        <v>48</v>
      </c>
      <c r="CD30" t="s">
        <v>48</v>
      </c>
      <c r="CE30" t="s">
        <v>48</v>
      </c>
      <c r="CF30" t="s">
        <v>48</v>
      </c>
      <c r="CG30" t="s">
        <v>48</v>
      </c>
      <c r="CH30" t="s">
        <v>48</v>
      </c>
      <c r="CI30" t="s">
        <v>48</v>
      </c>
      <c r="CJ30" t="s">
        <v>48</v>
      </c>
    </row>
    <row r="31" spans="1:88" x14ac:dyDescent="0.25">
      <c r="A31" s="4" t="s">
        <v>2103</v>
      </c>
      <c r="B31" s="4" t="s">
        <v>2054</v>
      </c>
      <c r="C31" s="4" t="s">
        <v>1818</v>
      </c>
      <c r="D31" s="4" t="str">
        <f>cna_product_database_catalog_website[[#This Row],[MainCategory]]&amp;"&gt;"&amp;cna_product_database_catalog_website[[#This Row],[SubCategory1]]&amp;"&gt;"&amp;cna_product_database_catalog_website[[#This Row],[SubCategory2]]</f>
        <v>Bulbs&gt;Globe&gt;G25 Clear 30K</v>
      </c>
      <c r="E31" s="4">
        <v>95</v>
      </c>
      <c r="F31" t="s">
        <v>1075</v>
      </c>
      <c r="G31" s="3">
        <v>814</v>
      </c>
      <c r="H31" s="8">
        <v>2.9</v>
      </c>
      <c r="I31" t="s">
        <v>1075</v>
      </c>
      <c r="J31" t="s">
        <v>1075</v>
      </c>
      <c r="K31" t="s">
        <v>143</v>
      </c>
      <c r="L31" t="s">
        <v>144</v>
      </c>
      <c r="M31" s="12" t="str">
        <f>HYPERLINK(cna_product_database_catalog_website[[#This Row],[Spec Sheet Link]], cna_product_database_catalog_website[[#Headers],[Spec Sheet Link]])</f>
        <v>Spec Sheet Link</v>
      </c>
      <c r="N31" t="s">
        <v>47</v>
      </c>
      <c r="O31" s="3">
        <v>1</v>
      </c>
      <c r="P31" s="3">
        <v>1</v>
      </c>
      <c r="Q31" t="s">
        <v>145</v>
      </c>
      <c r="R31" t="s">
        <v>85</v>
      </c>
      <c r="S31" t="s">
        <v>100</v>
      </c>
      <c r="T31" t="s">
        <v>1089</v>
      </c>
      <c r="U31" t="s">
        <v>55</v>
      </c>
      <c r="V31" t="s">
        <v>127</v>
      </c>
      <c r="W31" t="s">
        <v>88</v>
      </c>
      <c r="X31" t="s">
        <v>78</v>
      </c>
      <c r="Y31" s="3" t="s">
        <v>1015</v>
      </c>
      <c r="Z31" s="3" t="s">
        <v>1006</v>
      </c>
      <c r="AA31" s="3" t="s">
        <v>60</v>
      </c>
      <c r="AB31" s="1" t="s">
        <v>1008</v>
      </c>
      <c r="AC31" s="1" t="s">
        <v>101</v>
      </c>
      <c r="AD31" t="s">
        <v>59</v>
      </c>
      <c r="AE31"/>
      <c r="AF31" t="s">
        <v>48</v>
      </c>
      <c r="AL31" t="s">
        <v>148</v>
      </c>
      <c r="AM31" t="s">
        <v>146</v>
      </c>
      <c r="AN31" t="s">
        <v>147</v>
      </c>
      <c r="AO31" t="s">
        <v>128</v>
      </c>
      <c r="AP31" t="s">
        <v>149</v>
      </c>
      <c r="AQ31" t="s">
        <v>150</v>
      </c>
      <c r="AR31">
        <v>88</v>
      </c>
      <c r="AS31">
        <v>0.19</v>
      </c>
      <c r="AV31" t="s">
        <v>151</v>
      </c>
      <c r="AW31" t="s">
        <v>1044</v>
      </c>
      <c r="AX31" s="2" t="s">
        <v>80</v>
      </c>
      <c r="AY31" s="2">
        <v>50</v>
      </c>
      <c r="AZ31">
        <v>8.9</v>
      </c>
      <c r="BA31">
        <v>8.6999999999999993</v>
      </c>
      <c r="BB31">
        <v>13</v>
      </c>
      <c r="BC31">
        <f>SUM(cna_product_database_catalog_website[[#This Row],[Box Length (cm)]]*cna_product_database_catalog_website[[#This Row],[Box Width (cm)]]*cna_product_database_catalog_website[[#This Row],[Box Height (cm)]]/1000000)</f>
        <v>1.0065899999999999E-3</v>
      </c>
      <c r="BD31">
        <f>SUM(cna_product_database_catalog_website[[#This Row],[Box CBM]]*35.3147)</f>
        <v>3.5547423873E-2</v>
      </c>
      <c r="BE31" t="s">
        <v>48</v>
      </c>
      <c r="BI3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">
        <f>SUM(cna_product_database_catalog_website[[#This Row],[Carton CFT]]/61024)</f>
        <v>0</v>
      </c>
      <c r="BM31" t="s">
        <v>48</v>
      </c>
      <c r="BN31"/>
      <c r="BO31" t="s">
        <v>48</v>
      </c>
      <c r="BP31" t="s">
        <v>48</v>
      </c>
      <c r="BQ31" t="s">
        <v>48</v>
      </c>
      <c r="BS31" t="s">
        <v>48</v>
      </c>
      <c r="BT31" t="s">
        <v>48</v>
      </c>
      <c r="BU31" t="s">
        <v>48</v>
      </c>
      <c r="BW31" t="s">
        <v>48</v>
      </c>
      <c r="BX31" t="s">
        <v>48</v>
      </c>
      <c r="BY31" t="s">
        <v>48</v>
      </c>
      <c r="BZ31" t="s">
        <v>48</v>
      </c>
      <c r="CA31" t="s">
        <v>48</v>
      </c>
      <c r="CB31" t="s">
        <v>48</v>
      </c>
      <c r="CC31" t="s">
        <v>48</v>
      </c>
      <c r="CD31" t="s">
        <v>48</v>
      </c>
      <c r="CE31" t="s">
        <v>48</v>
      </c>
      <c r="CF31" t="s">
        <v>48</v>
      </c>
      <c r="CG31" t="s">
        <v>48</v>
      </c>
      <c r="CH31" t="s">
        <v>48</v>
      </c>
      <c r="CI31" t="s">
        <v>48</v>
      </c>
      <c r="CJ31" t="s">
        <v>48</v>
      </c>
    </row>
    <row r="32" spans="1:88" x14ac:dyDescent="0.25">
      <c r="A32" s="4" t="s">
        <v>2103</v>
      </c>
      <c r="B32" s="4" t="s">
        <v>2054</v>
      </c>
      <c r="C32" s="4" t="s">
        <v>1690</v>
      </c>
      <c r="D32" s="4" t="str">
        <f>cna_product_database_catalog_website[[#This Row],[MainCategory]]&amp;"&gt;"&amp;cna_product_database_catalog_website[[#This Row],[SubCategory1]]&amp;"&gt;"&amp;cna_product_database_catalog_website[[#This Row],[SubCategory2]]</f>
        <v>Bulbs&gt;Globe&gt;G25 Milky / Opaque 27K</v>
      </c>
      <c r="E32" s="4">
        <v>96</v>
      </c>
      <c r="F32" t="s">
        <v>1082</v>
      </c>
      <c r="G32" s="3">
        <v>1127</v>
      </c>
      <c r="H32" s="8">
        <v>3.5</v>
      </c>
      <c r="I32" t="s">
        <v>1082</v>
      </c>
      <c r="J32" t="s">
        <v>1082</v>
      </c>
      <c r="K32" t="s">
        <v>152</v>
      </c>
      <c r="L32" t="s">
        <v>153</v>
      </c>
      <c r="M32" s="12" t="str">
        <f>HYPERLINK(cna_product_database_catalog_website[[#This Row],[Spec Sheet Link]], cna_product_database_catalog_website[[#Headers],[Spec Sheet Link]])</f>
        <v>Spec Sheet Link</v>
      </c>
      <c r="N32" t="s">
        <v>47</v>
      </c>
      <c r="O32" s="3">
        <v>1</v>
      </c>
      <c r="P32" s="3">
        <v>1</v>
      </c>
      <c r="Q32" t="s">
        <v>154</v>
      </c>
      <c r="R32" t="s">
        <v>85</v>
      </c>
      <c r="S32" t="s">
        <v>100</v>
      </c>
      <c r="T32" t="s">
        <v>1089</v>
      </c>
      <c r="U32" t="s">
        <v>55</v>
      </c>
      <c r="V32" t="s">
        <v>56</v>
      </c>
      <c r="W32" t="s">
        <v>111</v>
      </c>
      <c r="X32" t="s">
        <v>70</v>
      </c>
      <c r="Y32" s="3" t="s">
        <v>1015</v>
      </c>
      <c r="Z32" s="3" t="s">
        <v>1006</v>
      </c>
      <c r="AA32" s="3" t="s">
        <v>60</v>
      </c>
      <c r="AB32" s="1" t="s">
        <v>1008</v>
      </c>
      <c r="AC32" s="1" t="s">
        <v>101</v>
      </c>
      <c r="AD32" t="s">
        <v>59</v>
      </c>
      <c r="AE32"/>
      <c r="AF32" t="s">
        <v>48</v>
      </c>
      <c r="AL32" t="s">
        <v>148</v>
      </c>
      <c r="AM32" t="s">
        <v>146</v>
      </c>
      <c r="AN32" t="s">
        <v>147</v>
      </c>
      <c r="AO32" t="s">
        <v>155</v>
      </c>
      <c r="AP32" t="s">
        <v>149</v>
      </c>
      <c r="AQ32" t="s">
        <v>150</v>
      </c>
      <c r="AR32">
        <v>88</v>
      </c>
      <c r="AS32">
        <v>0.19</v>
      </c>
      <c r="AV32" t="s">
        <v>156</v>
      </c>
      <c r="AW32" t="s">
        <v>1044</v>
      </c>
      <c r="AX32" s="2">
        <v>25</v>
      </c>
      <c r="AY32" s="2">
        <v>50</v>
      </c>
      <c r="AZ32">
        <v>8.9</v>
      </c>
      <c r="BA32">
        <v>8.6999999999999993</v>
      </c>
      <c r="BB32">
        <v>13</v>
      </c>
      <c r="BC32">
        <f>SUM(cna_product_database_catalog_website[[#This Row],[Box Length (cm)]]*cna_product_database_catalog_website[[#This Row],[Box Width (cm)]]*cna_product_database_catalog_website[[#This Row],[Box Height (cm)]]/1000000)</f>
        <v>1.0065899999999999E-3</v>
      </c>
      <c r="BD32">
        <f>SUM(cna_product_database_catalog_website[[#This Row],[Box CBM]]*35.3147)</f>
        <v>3.5547423873E-2</v>
      </c>
      <c r="BE32" t="s">
        <v>48</v>
      </c>
      <c r="BI3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">
        <f>SUM(cna_product_database_catalog_website[[#This Row],[Carton CFT]]/61024)</f>
        <v>0</v>
      </c>
      <c r="BM32" t="s">
        <v>48</v>
      </c>
      <c r="BN32"/>
      <c r="BO32" t="s">
        <v>48</v>
      </c>
      <c r="BP32" t="s">
        <v>48</v>
      </c>
      <c r="BQ32" t="s">
        <v>48</v>
      </c>
      <c r="BS32" t="s">
        <v>48</v>
      </c>
      <c r="BT32" t="s">
        <v>48</v>
      </c>
      <c r="BU32" t="s">
        <v>48</v>
      </c>
      <c r="BW32" t="s">
        <v>48</v>
      </c>
      <c r="BX32" t="s">
        <v>48</v>
      </c>
      <c r="BY32" t="s">
        <v>48</v>
      </c>
      <c r="BZ32" t="s">
        <v>48</v>
      </c>
      <c r="CA32" t="s">
        <v>48</v>
      </c>
      <c r="CB32" t="s">
        <v>48</v>
      </c>
      <c r="CC32" t="s">
        <v>48</v>
      </c>
      <c r="CD32" t="s">
        <v>48</v>
      </c>
      <c r="CE32" t="s">
        <v>48</v>
      </c>
      <c r="CF32" t="s">
        <v>48</v>
      </c>
      <c r="CG32" t="s">
        <v>48</v>
      </c>
      <c r="CH32" t="s">
        <v>48</v>
      </c>
      <c r="CI32" t="s">
        <v>48</v>
      </c>
      <c r="CJ32" t="s">
        <v>48</v>
      </c>
    </row>
    <row r="33" spans="1:88" x14ac:dyDescent="0.25">
      <c r="A33" s="4" t="s">
        <v>2103</v>
      </c>
      <c r="B33" s="4" t="s">
        <v>2054</v>
      </c>
      <c r="C33" s="4" t="s">
        <v>1691</v>
      </c>
      <c r="D33" s="4" t="str">
        <f>cna_product_database_catalog_website[[#This Row],[MainCategory]]&amp;"&gt;"&amp;cna_product_database_catalog_website[[#This Row],[SubCategory1]]&amp;"&gt;"&amp;cna_product_database_catalog_website[[#This Row],[SubCategory2]]</f>
        <v>Bulbs&gt;Globe&gt;G25 Milky / Opaque 30K</v>
      </c>
      <c r="E33" s="4">
        <v>97</v>
      </c>
      <c r="F33" t="s">
        <v>1081</v>
      </c>
      <c r="G33" s="3">
        <v>1120</v>
      </c>
      <c r="H33" s="8">
        <v>3.5</v>
      </c>
      <c r="I33" t="s">
        <v>1081</v>
      </c>
      <c r="J33" t="s">
        <v>1081</v>
      </c>
      <c r="K33" t="s">
        <v>152</v>
      </c>
      <c r="L33" t="s">
        <v>157</v>
      </c>
      <c r="M33" s="12" t="str">
        <f>HYPERLINK(cna_product_database_catalog_website[[#This Row],[Spec Sheet Link]], cna_product_database_catalog_website[[#Headers],[Spec Sheet Link]])</f>
        <v>Spec Sheet Link</v>
      </c>
      <c r="N33" t="s">
        <v>47</v>
      </c>
      <c r="O33" s="3">
        <v>1</v>
      </c>
      <c r="P33" s="3">
        <v>1</v>
      </c>
      <c r="Q33" t="s">
        <v>154</v>
      </c>
      <c r="R33" t="s">
        <v>85</v>
      </c>
      <c r="S33" t="s">
        <v>100</v>
      </c>
      <c r="T33" t="s">
        <v>1089</v>
      </c>
      <c r="U33" t="s">
        <v>55</v>
      </c>
      <c r="V33" t="s">
        <v>56</v>
      </c>
      <c r="W33" t="s">
        <v>111</v>
      </c>
      <c r="X33" t="s">
        <v>78</v>
      </c>
      <c r="Y33" s="3" t="s">
        <v>1015</v>
      </c>
      <c r="Z33" s="3" t="s">
        <v>1006</v>
      </c>
      <c r="AA33" s="3" t="s">
        <v>60</v>
      </c>
      <c r="AB33" s="1" t="s">
        <v>1008</v>
      </c>
      <c r="AC33" s="1" t="s">
        <v>101</v>
      </c>
      <c r="AD33" t="s">
        <v>59</v>
      </c>
      <c r="AE33"/>
      <c r="AF33" t="s">
        <v>48</v>
      </c>
      <c r="AL33" t="s">
        <v>148</v>
      </c>
      <c r="AM33" t="s">
        <v>146</v>
      </c>
      <c r="AN33" t="s">
        <v>147</v>
      </c>
      <c r="AO33" t="s">
        <v>155</v>
      </c>
      <c r="AP33" t="s">
        <v>149</v>
      </c>
      <c r="AQ33" t="s">
        <v>150</v>
      </c>
      <c r="AR33">
        <v>88</v>
      </c>
      <c r="AS33">
        <v>0.19</v>
      </c>
      <c r="AV33" t="s">
        <v>156</v>
      </c>
      <c r="AW33" t="s">
        <v>1044</v>
      </c>
      <c r="AX33" s="2">
        <v>25</v>
      </c>
      <c r="AY33" s="2">
        <v>50</v>
      </c>
      <c r="AZ33">
        <v>8.9</v>
      </c>
      <c r="BA33">
        <v>8.6999999999999993</v>
      </c>
      <c r="BB33">
        <v>13</v>
      </c>
      <c r="BC33">
        <f>SUM(cna_product_database_catalog_website[[#This Row],[Box Length (cm)]]*cna_product_database_catalog_website[[#This Row],[Box Width (cm)]]*cna_product_database_catalog_website[[#This Row],[Box Height (cm)]]/1000000)</f>
        <v>1.0065899999999999E-3</v>
      </c>
      <c r="BD33">
        <f>SUM(cna_product_database_catalog_website[[#This Row],[Box CBM]]*35.3147)</f>
        <v>3.5547423873E-2</v>
      </c>
      <c r="BE33" t="s">
        <v>48</v>
      </c>
      <c r="BI3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">
        <f>SUM(cna_product_database_catalog_website[[#This Row],[Carton CFT]]/61024)</f>
        <v>0</v>
      </c>
      <c r="BM33" t="s">
        <v>48</v>
      </c>
      <c r="BN33"/>
      <c r="BO33" t="s">
        <v>48</v>
      </c>
      <c r="BP33" t="s">
        <v>48</v>
      </c>
      <c r="BQ33" t="s">
        <v>48</v>
      </c>
      <c r="BS33" t="s">
        <v>48</v>
      </c>
      <c r="BT33" t="s">
        <v>48</v>
      </c>
      <c r="BU33" t="s">
        <v>48</v>
      </c>
      <c r="BW33" t="s">
        <v>48</v>
      </c>
      <c r="BX33" t="s">
        <v>48</v>
      </c>
      <c r="BY33" t="s">
        <v>48</v>
      </c>
      <c r="BZ33" t="s">
        <v>48</v>
      </c>
      <c r="CA33" t="s">
        <v>48</v>
      </c>
      <c r="CB33" t="s">
        <v>48</v>
      </c>
      <c r="CC33" t="s">
        <v>48</v>
      </c>
      <c r="CD33" t="s">
        <v>48</v>
      </c>
      <c r="CE33" t="s">
        <v>48</v>
      </c>
      <c r="CF33" t="s">
        <v>48</v>
      </c>
      <c r="CG33" t="s">
        <v>48</v>
      </c>
      <c r="CH33" t="s">
        <v>48</v>
      </c>
      <c r="CI33" t="s">
        <v>48</v>
      </c>
      <c r="CJ33" t="s">
        <v>48</v>
      </c>
    </row>
    <row r="34" spans="1:88" s="4" customFormat="1" x14ac:dyDescent="0.25">
      <c r="A34" s="4" t="s">
        <v>2103</v>
      </c>
      <c r="B34" s="4" t="s">
        <v>2055</v>
      </c>
      <c r="C34" s="4" t="s">
        <v>1819</v>
      </c>
      <c r="D34" s="4" t="str">
        <f>cna_product_database_catalog_website[[#This Row],[MainCategory]]&amp;"&gt;"&amp;cna_product_database_catalog_website[[#This Row],[SubCategory1]]&amp;"&gt;"&amp;cna_product_database_catalog_website[[#This Row],[SubCategory2]]</f>
        <v>Bulbs&gt;Vintage&gt;S14 27K</v>
      </c>
      <c r="E34" s="4">
        <v>105</v>
      </c>
      <c r="F34" s="4" t="s">
        <v>81</v>
      </c>
      <c r="G34" s="5">
        <v>1207</v>
      </c>
      <c r="H34" s="9">
        <v>1.5</v>
      </c>
      <c r="I34" s="4" t="s">
        <v>81</v>
      </c>
      <c r="J34" s="4" t="s">
        <v>81</v>
      </c>
      <c r="K34" s="4" t="s">
        <v>82</v>
      </c>
      <c r="L34" s="4" t="s">
        <v>83</v>
      </c>
      <c r="M34" s="12" t="str">
        <f>HYPERLINK(cna_product_database_catalog_website[[#This Row],[Spec Sheet Link]], cna_product_database_catalog_website[[#Headers],[Spec Sheet Link]])</f>
        <v>Spec Sheet Link</v>
      </c>
      <c r="N34" s="4" t="s">
        <v>47</v>
      </c>
      <c r="O34" s="5">
        <v>1</v>
      </c>
      <c r="P34" s="5">
        <v>1</v>
      </c>
      <c r="Q34" s="4" t="s">
        <v>84</v>
      </c>
      <c r="R34" s="4" t="s">
        <v>85</v>
      </c>
      <c r="S34" s="4" t="s">
        <v>86</v>
      </c>
      <c r="T34" s="4" t="s">
        <v>1046</v>
      </c>
      <c r="U34" s="4" t="s">
        <v>87</v>
      </c>
      <c r="V34" s="4" t="s">
        <v>48</v>
      </c>
      <c r="W34" s="4" t="s">
        <v>88</v>
      </c>
      <c r="X34" s="4" t="s">
        <v>70</v>
      </c>
      <c r="Y34" s="5" t="s">
        <v>1015</v>
      </c>
      <c r="Z34" s="5" t="s">
        <v>1006</v>
      </c>
      <c r="AA34" s="5" t="s">
        <v>96</v>
      </c>
      <c r="AB34" s="6" t="s">
        <v>1047</v>
      </c>
      <c r="AC34" s="6" t="s">
        <v>434</v>
      </c>
      <c r="AD34" s="4" t="s">
        <v>450</v>
      </c>
      <c r="AF34" s="4" t="s">
        <v>48</v>
      </c>
      <c r="AL34" s="4" t="s">
        <v>91</v>
      </c>
      <c r="AM34" s="4" t="s">
        <v>89</v>
      </c>
      <c r="AN34" s="4" t="s">
        <v>90</v>
      </c>
      <c r="AO34" s="4" t="s">
        <v>92</v>
      </c>
      <c r="AP34" s="4" t="s">
        <v>93</v>
      </c>
      <c r="AQ34" s="4" t="s">
        <v>94</v>
      </c>
      <c r="AR34" s="4">
        <v>18</v>
      </c>
      <c r="AS34" s="4">
        <v>4.1000000000000002E-2</v>
      </c>
      <c r="AV34" s="4" t="s">
        <v>95</v>
      </c>
      <c r="AW34" s="4" t="s">
        <v>633</v>
      </c>
      <c r="AX34" s="7">
        <v>1</v>
      </c>
      <c r="AY34" s="7">
        <v>300</v>
      </c>
      <c r="AZ34" s="4">
        <v>4.9000000000000004</v>
      </c>
      <c r="BA34" s="4">
        <v>4.8</v>
      </c>
      <c r="BB34" s="4">
        <v>8.6999999999999993</v>
      </c>
      <c r="BC34" s="4">
        <f>SUM(cna_product_database_catalog_website[[#This Row],[Box Length (cm)]]*cna_product_database_catalog_website[[#This Row],[Box Width (cm)]]*cna_product_database_catalog_website[[#This Row],[Box Height (cm)]]/1000000)</f>
        <v>2.0462399999999996E-4</v>
      </c>
      <c r="BD34" s="4">
        <f>SUM(cna_product_database_catalog_website[[#This Row],[Box CBM]]*35.3147)</f>
        <v>7.2262351727999993E-3</v>
      </c>
      <c r="BE34" s="4" t="s">
        <v>48</v>
      </c>
      <c r="BI34" s="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" s="4">
        <f>SUM(cna_product_database_catalog_website[[#This Row],[Carton CFT]]/61024)</f>
        <v>0</v>
      </c>
      <c r="BM34" s="4" t="s">
        <v>48</v>
      </c>
      <c r="BO34" s="4" t="s">
        <v>48</v>
      </c>
      <c r="BP34" s="4" t="s">
        <v>48</v>
      </c>
      <c r="BQ34" s="4" t="s">
        <v>48</v>
      </c>
      <c r="BS34" s="4" t="s">
        <v>48</v>
      </c>
      <c r="BT34" s="4" t="s">
        <v>48</v>
      </c>
      <c r="BU34" s="4" t="s">
        <v>48</v>
      </c>
      <c r="BW34" s="4" t="s">
        <v>48</v>
      </c>
      <c r="BX34" s="4" t="s">
        <v>48</v>
      </c>
      <c r="BY34" s="4" t="s">
        <v>48</v>
      </c>
      <c r="BZ34" s="4" t="s">
        <v>48</v>
      </c>
      <c r="CA34" s="4" t="s">
        <v>48</v>
      </c>
      <c r="CB34" s="4" t="s">
        <v>48</v>
      </c>
      <c r="CC34" s="4" t="s">
        <v>48</v>
      </c>
      <c r="CD34" s="4" t="s">
        <v>48</v>
      </c>
      <c r="CE34" s="4" t="s">
        <v>48</v>
      </c>
      <c r="CF34" s="4" t="s">
        <v>48</v>
      </c>
      <c r="CG34" s="4" t="s">
        <v>48</v>
      </c>
      <c r="CH34" s="4" t="s">
        <v>48</v>
      </c>
      <c r="CI34" s="4" t="s">
        <v>48</v>
      </c>
      <c r="CJ34" s="4" t="s">
        <v>48</v>
      </c>
    </row>
    <row r="35" spans="1:88" x14ac:dyDescent="0.25">
      <c r="A35" s="4" t="s">
        <v>2103</v>
      </c>
      <c r="B35" s="4" t="s">
        <v>2055</v>
      </c>
      <c r="C35" s="4" t="s">
        <v>1820</v>
      </c>
      <c r="D35" s="4" t="str">
        <f>cna_product_database_catalog_website[[#This Row],[MainCategory]]&amp;"&gt;"&amp;cna_product_database_catalog_website[[#This Row],[SubCategory1]]&amp;"&gt;"&amp;cna_product_database_catalog_website[[#This Row],[SubCategory2]]</f>
        <v>Bulbs&gt;Vintage&gt;ST19 Vintage Amber 22K</v>
      </c>
      <c r="E35" s="4">
        <v>110</v>
      </c>
      <c r="F35" t="s">
        <v>158</v>
      </c>
      <c r="G35" s="3">
        <v>983</v>
      </c>
      <c r="H35" s="8">
        <v>2.7</v>
      </c>
      <c r="I35" t="s">
        <v>158</v>
      </c>
      <c r="J35" t="s">
        <v>158</v>
      </c>
      <c r="K35" t="s">
        <v>159</v>
      </c>
      <c r="L35" t="s">
        <v>160</v>
      </c>
      <c r="M35" s="12" t="str">
        <f>HYPERLINK(cna_product_database_catalog_website[[#This Row],[Spec Sheet Link]], cna_product_database_catalog_website[[#Headers],[Spec Sheet Link]])</f>
        <v>Spec Sheet Link</v>
      </c>
      <c r="N35" t="s">
        <v>47</v>
      </c>
      <c r="O35" s="3">
        <v>1</v>
      </c>
      <c r="P35" s="3">
        <v>1</v>
      </c>
      <c r="Q35" t="s">
        <v>110</v>
      </c>
      <c r="R35" t="s">
        <v>53</v>
      </c>
      <c r="S35" t="s">
        <v>161</v>
      </c>
      <c r="T35" t="s">
        <v>1091</v>
      </c>
      <c r="U35" t="s">
        <v>55</v>
      </c>
      <c r="V35" t="s">
        <v>127</v>
      </c>
      <c r="W35" t="s">
        <v>88</v>
      </c>
      <c r="X35" t="s">
        <v>162</v>
      </c>
      <c r="Y35" s="3" t="s">
        <v>1015</v>
      </c>
      <c r="Z35" s="3" t="s">
        <v>1006</v>
      </c>
      <c r="AA35" s="3" t="s">
        <v>60</v>
      </c>
      <c r="AB35" s="1" t="s">
        <v>1008</v>
      </c>
      <c r="AC35" s="1" t="s">
        <v>101</v>
      </c>
      <c r="AD35" t="s">
        <v>59</v>
      </c>
      <c r="AE35"/>
      <c r="AF35" t="s">
        <v>48</v>
      </c>
      <c r="AL35" t="s">
        <v>165</v>
      </c>
      <c r="AM35" t="s">
        <v>163</v>
      </c>
      <c r="AN35" t="s">
        <v>164</v>
      </c>
      <c r="AO35" t="s">
        <v>166</v>
      </c>
      <c r="AP35" t="s">
        <v>167</v>
      </c>
      <c r="AQ35" t="s">
        <v>168</v>
      </c>
      <c r="AR35">
        <v>61</v>
      </c>
      <c r="AS35">
        <v>0.13</v>
      </c>
      <c r="AV35" t="s">
        <v>170</v>
      </c>
      <c r="AW35" t="s">
        <v>1044</v>
      </c>
      <c r="AX35" s="2" t="s">
        <v>80</v>
      </c>
      <c r="AY35" s="2" t="s">
        <v>169</v>
      </c>
      <c r="AZ35">
        <v>6.5</v>
      </c>
      <c r="BA35">
        <v>6.5</v>
      </c>
      <c r="BB35">
        <v>15</v>
      </c>
      <c r="BC35">
        <f>SUM(cna_product_database_catalog_website[[#This Row],[Box Length (cm)]]*cna_product_database_catalog_website[[#This Row],[Box Width (cm)]]*cna_product_database_catalog_website[[#This Row],[Box Height (cm)]]/1000000)</f>
        <v>6.3374999999999998E-4</v>
      </c>
      <c r="BD35">
        <f>SUM(cna_product_database_catalog_website[[#This Row],[Box CBM]]*35.3147)</f>
        <v>2.2380691125000001E-2</v>
      </c>
      <c r="BE35" t="s">
        <v>48</v>
      </c>
      <c r="BI3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5">
        <f>SUM(cna_product_database_catalog_website[[#This Row],[Carton CFT]]/61024)</f>
        <v>0</v>
      </c>
      <c r="BM35" t="s">
        <v>48</v>
      </c>
      <c r="BN35"/>
      <c r="BO35" t="s">
        <v>48</v>
      </c>
      <c r="BP35" t="s">
        <v>48</v>
      </c>
      <c r="BQ35" t="s">
        <v>48</v>
      </c>
      <c r="BS35" t="s">
        <v>48</v>
      </c>
      <c r="BT35" t="s">
        <v>48</v>
      </c>
      <c r="BU35" t="s">
        <v>48</v>
      </c>
      <c r="BW35" t="s">
        <v>48</v>
      </c>
      <c r="BX35" t="s">
        <v>48</v>
      </c>
      <c r="BY35" t="s">
        <v>48</v>
      </c>
      <c r="BZ35" t="s">
        <v>48</v>
      </c>
      <c r="CA35" t="s">
        <v>48</v>
      </c>
      <c r="CB35" t="s">
        <v>48</v>
      </c>
      <c r="CC35" t="s">
        <v>48</v>
      </c>
      <c r="CD35" t="s">
        <v>48</v>
      </c>
      <c r="CE35" t="s">
        <v>48</v>
      </c>
      <c r="CF35" t="s">
        <v>48</v>
      </c>
      <c r="CG35" t="s">
        <v>48</v>
      </c>
      <c r="CH35" t="s">
        <v>48</v>
      </c>
      <c r="CI35" t="s">
        <v>48</v>
      </c>
      <c r="CJ35" t="s">
        <v>48</v>
      </c>
    </row>
    <row r="36" spans="1:88" s="4" customFormat="1" x14ac:dyDescent="0.25">
      <c r="A36" s="4" t="s">
        <v>2103</v>
      </c>
      <c r="B36" s="4" t="s">
        <v>2055</v>
      </c>
      <c r="C36" s="4" t="s">
        <v>1692</v>
      </c>
      <c r="D36" s="4" t="str">
        <f>cna_product_database_catalog_website[[#This Row],[MainCategory]]&amp;"&gt;"&amp;cna_product_database_catalog_website[[#This Row],[SubCategory1]]&amp;"&gt;"&amp;cna_product_database_catalog_website[[#This Row],[SubCategory2]]</f>
        <v>Bulbs&gt;Vintage&gt;ST19 Vintage - X Filament 22K</v>
      </c>
      <c r="E36" s="4">
        <v>112</v>
      </c>
      <c r="F36" s="4" t="s">
        <v>2051</v>
      </c>
      <c r="G36" s="5">
        <v>1166</v>
      </c>
      <c r="H36" s="9">
        <v>2.7</v>
      </c>
      <c r="I36" s="4" t="s">
        <v>2051</v>
      </c>
      <c r="J36" s="4" t="s">
        <v>2051</v>
      </c>
      <c r="K36" s="4" t="s">
        <v>46</v>
      </c>
      <c r="M36" s="12"/>
      <c r="N36" s="4" t="s">
        <v>47</v>
      </c>
      <c r="O36" s="5">
        <v>1</v>
      </c>
      <c r="P36" s="5">
        <v>1</v>
      </c>
      <c r="Q36" s="4" t="s">
        <v>110</v>
      </c>
      <c r="R36" s="4" t="s">
        <v>53</v>
      </c>
      <c r="S36" s="4" t="s">
        <v>161</v>
      </c>
      <c r="T36" t="s">
        <v>1091</v>
      </c>
      <c r="U36" s="4" t="s">
        <v>55</v>
      </c>
      <c r="V36" s="4" t="s">
        <v>127</v>
      </c>
      <c r="W36" s="4" t="s">
        <v>88</v>
      </c>
      <c r="X36" s="4" t="s">
        <v>162</v>
      </c>
      <c r="Y36" s="5" t="s">
        <v>1015</v>
      </c>
      <c r="Z36" s="5" t="s">
        <v>1006</v>
      </c>
      <c r="AA36" s="5" t="s">
        <v>60</v>
      </c>
      <c r="AB36" s="6" t="s">
        <v>1008</v>
      </c>
      <c r="AC36" s="6" t="s">
        <v>71</v>
      </c>
      <c r="AD36" s="4" t="s">
        <v>59</v>
      </c>
      <c r="AF36" s="4" t="s">
        <v>48</v>
      </c>
      <c r="AL36" s="4" t="s">
        <v>165</v>
      </c>
      <c r="AM36" s="4" t="s">
        <v>163</v>
      </c>
      <c r="AN36" s="4" t="s">
        <v>164</v>
      </c>
      <c r="AO36" s="4" t="s">
        <v>166</v>
      </c>
      <c r="AP36" s="4" t="s">
        <v>167</v>
      </c>
      <c r="AQ36" s="4" t="s">
        <v>168</v>
      </c>
      <c r="AR36" s="4">
        <v>61</v>
      </c>
      <c r="AS36" s="4">
        <v>0.13</v>
      </c>
      <c r="AV36" s="4" t="s">
        <v>170</v>
      </c>
      <c r="AW36" s="4" t="s">
        <v>1044</v>
      </c>
      <c r="AX36" s="7" t="s">
        <v>80</v>
      </c>
      <c r="AY36" s="7" t="s">
        <v>169</v>
      </c>
      <c r="AZ36">
        <v>6.5</v>
      </c>
      <c r="BA36">
        <v>6.5</v>
      </c>
      <c r="BB36">
        <v>15</v>
      </c>
      <c r="BC36" s="4">
        <f>SUM(cna_product_database_catalog_website[[#This Row],[Box Length (cm)]]*cna_product_database_catalog_website[[#This Row],[Box Width (cm)]]*cna_product_database_catalog_website[[#This Row],[Box Height (cm)]]/1000000)</f>
        <v>6.3374999999999998E-4</v>
      </c>
      <c r="BD36" s="4">
        <f>SUM(cna_product_database_catalog_website[[#This Row],[Box CBM]]*35.3147)</f>
        <v>2.2380691125000001E-2</v>
      </c>
      <c r="BE36" s="4" t="s">
        <v>48</v>
      </c>
      <c r="BI36" s="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6" s="4">
        <f>SUM(cna_product_database_catalog_website[[#This Row],[Carton CFT]]/61024)</f>
        <v>0</v>
      </c>
      <c r="BM36" s="4" t="s">
        <v>48</v>
      </c>
      <c r="BO36" s="4" t="s">
        <v>48</v>
      </c>
      <c r="BP36" s="4" t="s">
        <v>48</v>
      </c>
      <c r="BQ36" s="4" t="s">
        <v>48</v>
      </c>
      <c r="BS36" s="4" t="s">
        <v>48</v>
      </c>
      <c r="BT36" s="4" t="s">
        <v>48</v>
      </c>
      <c r="BU36" s="4" t="s">
        <v>48</v>
      </c>
      <c r="BW36" s="4" t="s">
        <v>48</v>
      </c>
      <c r="BX36" s="4" t="s">
        <v>48</v>
      </c>
      <c r="BY36" s="4" t="s">
        <v>48</v>
      </c>
      <c r="BZ36" s="4" t="s">
        <v>48</v>
      </c>
      <c r="CA36" s="4" t="s">
        <v>48</v>
      </c>
      <c r="CB36" s="4" t="s">
        <v>48</v>
      </c>
      <c r="CC36" s="4" t="s">
        <v>48</v>
      </c>
      <c r="CD36" s="4" t="s">
        <v>48</v>
      </c>
      <c r="CE36" s="4" t="s">
        <v>48</v>
      </c>
      <c r="CF36" s="4" t="s">
        <v>48</v>
      </c>
      <c r="CG36" s="4" t="s">
        <v>48</v>
      </c>
      <c r="CH36" s="4" t="s">
        <v>48</v>
      </c>
      <c r="CI36" s="4" t="s">
        <v>48</v>
      </c>
      <c r="CJ36" s="4" t="s">
        <v>48</v>
      </c>
    </row>
    <row r="37" spans="1:88" s="4" customFormat="1" x14ac:dyDescent="0.25">
      <c r="A37" s="4" t="s">
        <v>2103</v>
      </c>
      <c r="B37" s="4" t="s">
        <v>2055</v>
      </c>
      <c r="C37" s="4" t="s">
        <v>1693</v>
      </c>
      <c r="D37" s="4" t="str">
        <f>cna_product_database_catalog_website[[#This Row],[MainCategory]]&amp;"&gt;"&amp;cna_product_database_catalog_website[[#This Row],[SubCategory1]]&amp;"&gt;"&amp;cna_product_database_catalog_website[[#This Row],[SubCategory2]]</f>
        <v>Bulbs&gt;Vintage&gt;ST19 Vintage - X Filament 27K</v>
      </c>
      <c r="E37" s="4">
        <v>113</v>
      </c>
      <c r="F37" s="4" t="s">
        <v>1083</v>
      </c>
      <c r="G37" s="5">
        <v>1167</v>
      </c>
      <c r="H37" s="9">
        <v>2.7</v>
      </c>
      <c r="I37" s="4" t="s">
        <v>1083</v>
      </c>
      <c r="J37" s="4" t="s">
        <v>1083</v>
      </c>
      <c r="K37" s="4" t="s">
        <v>1086</v>
      </c>
      <c r="L37" s="4" t="s">
        <v>1087</v>
      </c>
      <c r="M37" s="12" t="str">
        <f>HYPERLINK(cna_product_database_catalog_website[[#This Row],[Spec Sheet Link]], cna_product_database_catalog_website[[#Headers],[Spec Sheet Link]])</f>
        <v>Spec Sheet Link</v>
      </c>
      <c r="N37" s="4" t="s">
        <v>47</v>
      </c>
      <c r="O37" s="5">
        <v>1</v>
      </c>
      <c r="P37" s="5">
        <v>1</v>
      </c>
      <c r="Q37" s="4" t="s">
        <v>110</v>
      </c>
      <c r="R37" s="4" t="s">
        <v>53</v>
      </c>
      <c r="S37" s="4" t="s">
        <v>68</v>
      </c>
      <c r="T37" s="4" t="s">
        <v>1088</v>
      </c>
      <c r="U37" s="4" t="s">
        <v>55</v>
      </c>
      <c r="V37" s="4" t="s">
        <v>127</v>
      </c>
      <c r="W37" s="4" t="s">
        <v>111</v>
      </c>
      <c r="X37" s="4" t="s">
        <v>70</v>
      </c>
      <c r="Y37" s="5" t="s">
        <v>1015</v>
      </c>
      <c r="Z37" s="5" t="s">
        <v>1006</v>
      </c>
      <c r="AA37" s="5" t="s">
        <v>60</v>
      </c>
      <c r="AB37" s="6" t="s">
        <v>1008</v>
      </c>
      <c r="AC37" s="6" t="s">
        <v>71</v>
      </c>
      <c r="AD37" s="4" t="s">
        <v>59</v>
      </c>
      <c r="AF37" s="4" t="s">
        <v>48</v>
      </c>
      <c r="AL37" s="4" t="s">
        <v>173</v>
      </c>
      <c r="AM37" s="4" t="s">
        <v>171</v>
      </c>
      <c r="AN37" s="4" t="s">
        <v>172</v>
      </c>
      <c r="AO37" s="4" t="s">
        <v>174</v>
      </c>
      <c r="AP37" s="4" t="s">
        <v>175</v>
      </c>
      <c r="AQ37" s="4" t="s">
        <v>176</v>
      </c>
      <c r="AR37" s="4">
        <v>61</v>
      </c>
      <c r="AS37" s="4">
        <v>0.13</v>
      </c>
      <c r="AV37" s="4" t="s">
        <v>170</v>
      </c>
      <c r="AW37" s="4" t="s">
        <v>1044</v>
      </c>
      <c r="AX37" s="7" t="s">
        <v>80</v>
      </c>
      <c r="AY37" s="7" t="s">
        <v>169</v>
      </c>
      <c r="AZ37">
        <v>6.5</v>
      </c>
      <c r="BA37">
        <v>6.5</v>
      </c>
      <c r="BB37">
        <v>15</v>
      </c>
      <c r="BC37" s="4">
        <f>SUM(cna_product_database_catalog_website[[#This Row],[Box Length (cm)]]*cna_product_database_catalog_website[[#This Row],[Box Width (cm)]]*cna_product_database_catalog_website[[#This Row],[Box Height (cm)]]/1000000)</f>
        <v>6.3374999999999998E-4</v>
      </c>
      <c r="BD37" s="4">
        <f>SUM(cna_product_database_catalog_website[[#This Row],[Box CBM]]*35.3147)</f>
        <v>2.2380691125000001E-2</v>
      </c>
      <c r="BE37" s="4" t="s">
        <v>48</v>
      </c>
      <c r="BI37" s="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7" s="4">
        <f>SUM(cna_product_database_catalog_website[[#This Row],[Carton CFT]]/61024)</f>
        <v>0</v>
      </c>
      <c r="BM37" s="4" t="s">
        <v>48</v>
      </c>
      <c r="BO37" s="4" t="s">
        <v>48</v>
      </c>
      <c r="BP37" s="4" t="s">
        <v>48</v>
      </c>
      <c r="BQ37" s="4" t="s">
        <v>48</v>
      </c>
      <c r="BS37" s="4" t="s">
        <v>48</v>
      </c>
      <c r="BT37" s="4" t="s">
        <v>48</v>
      </c>
      <c r="BU37" s="4" t="s">
        <v>48</v>
      </c>
      <c r="BW37" s="4" t="s">
        <v>48</v>
      </c>
      <c r="BX37" s="4" t="s">
        <v>48</v>
      </c>
      <c r="BY37" s="4" t="s">
        <v>48</v>
      </c>
      <c r="BZ37" s="4" t="s">
        <v>48</v>
      </c>
      <c r="CA37" s="4" t="s">
        <v>48</v>
      </c>
      <c r="CB37" s="4" t="s">
        <v>48</v>
      </c>
      <c r="CC37" s="4" t="s">
        <v>48</v>
      </c>
      <c r="CD37" s="4" t="s">
        <v>48</v>
      </c>
      <c r="CE37" s="4" t="s">
        <v>48</v>
      </c>
      <c r="CF37" s="4" t="s">
        <v>48</v>
      </c>
      <c r="CG37" s="4" t="s">
        <v>48</v>
      </c>
      <c r="CH37" s="4" t="s">
        <v>48</v>
      </c>
      <c r="CI37" s="4" t="s">
        <v>48</v>
      </c>
      <c r="CJ37" s="4" t="s">
        <v>48</v>
      </c>
    </row>
    <row r="38" spans="1:88" s="4" customFormat="1" x14ac:dyDescent="0.25">
      <c r="A38" s="4" t="s">
        <v>2103</v>
      </c>
      <c r="B38" s="4" t="s">
        <v>2055</v>
      </c>
      <c r="C38" s="4" t="s">
        <v>1694</v>
      </c>
      <c r="D38" s="4" t="str">
        <f>cna_product_database_catalog_website[[#This Row],[MainCategory]]&amp;"&gt;"&amp;cna_product_database_catalog_website[[#This Row],[SubCategory1]]&amp;"&gt;"&amp;cna_product_database_catalog_website[[#This Row],[SubCategory2]]</f>
        <v>Bulbs&gt;Vintage&gt;ST19 Vintage - X Filament 30K</v>
      </c>
      <c r="E38" s="4">
        <v>114</v>
      </c>
      <c r="F38" s="4" t="s">
        <v>1084</v>
      </c>
      <c r="G38" s="5">
        <v>1168</v>
      </c>
      <c r="H38" s="9">
        <v>2.7</v>
      </c>
      <c r="I38" s="4" t="s">
        <v>1084</v>
      </c>
      <c r="J38" s="4" t="s">
        <v>1084</v>
      </c>
      <c r="K38" s="4" t="s">
        <v>1086</v>
      </c>
      <c r="L38" s="4" t="s">
        <v>1087</v>
      </c>
      <c r="M38" s="12" t="str">
        <f>HYPERLINK(cna_product_database_catalog_website[[#This Row],[Spec Sheet Link]], cna_product_database_catalog_website[[#Headers],[Spec Sheet Link]])</f>
        <v>Spec Sheet Link</v>
      </c>
      <c r="N38" s="4" t="s">
        <v>47</v>
      </c>
      <c r="O38" s="5">
        <v>1</v>
      </c>
      <c r="P38" s="5">
        <v>1</v>
      </c>
      <c r="Q38" s="4" t="s">
        <v>110</v>
      </c>
      <c r="R38" s="4" t="s">
        <v>53</v>
      </c>
      <c r="S38" s="4" t="s">
        <v>68</v>
      </c>
      <c r="T38" s="4" t="s">
        <v>1088</v>
      </c>
      <c r="U38" s="4" t="s">
        <v>55</v>
      </c>
      <c r="V38" s="4" t="s">
        <v>127</v>
      </c>
      <c r="W38" s="4" t="s">
        <v>111</v>
      </c>
      <c r="X38" s="4" t="s">
        <v>78</v>
      </c>
      <c r="Y38" s="5" t="s">
        <v>1015</v>
      </c>
      <c r="Z38" s="5" t="s">
        <v>1006</v>
      </c>
      <c r="AA38" s="5" t="s">
        <v>60</v>
      </c>
      <c r="AB38" s="6" t="s">
        <v>1008</v>
      </c>
      <c r="AC38" s="6" t="s">
        <v>71</v>
      </c>
      <c r="AD38" s="4" t="s">
        <v>59</v>
      </c>
      <c r="AF38" s="4" t="s">
        <v>48</v>
      </c>
      <c r="AL38" s="4" t="s">
        <v>173</v>
      </c>
      <c r="AM38" s="4" t="s">
        <v>171</v>
      </c>
      <c r="AN38" s="4" t="s">
        <v>172</v>
      </c>
      <c r="AO38" s="4" t="s">
        <v>174</v>
      </c>
      <c r="AP38" s="4" t="s">
        <v>175</v>
      </c>
      <c r="AQ38" s="4" t="s">
        <v>176</v>
      </c>
      <c r="AR38" s="4">
        <v>61</v>
      </c>
      <c r="AS38" s="4">
        <v>0.13</v>
      </c>
      <c r="AV38" s="4" t="s">
        <v>170</v>
      </c>
      <c r="AW38" s="4" t="s">
        <v>1044</v>
      </c>
      <c r="AX38" s="7" t="s">
        <v>80</v>
      </c>
      <c r="AY38" s="7" t="s">
        <v>169</v>
      </c>
      <c r="AZ38">
        <v>6.5</v>
      </c>
      <c r="BA38">
        <v>6.5</v>
      </c>
      <c r="BB38">
        <v>15</v>
      </c>
      <c r="BC38" s="4">
        <f>SUM(cna_product_database_catalog_website[[#This Row],[Box Length (cm)]]*cna_product_database_catalog_website[[#This Row],[Box Width (cm)]]*cna_product_database_catalog_website[[#This Row],[Box Height (cm)]]/1000000)</f>
        <v>6.3374999999999998E-4</v>
      </c>
      <c r="BD38" s="4">
        <f>SUM(cna_product_database_catalog_website[[#This Row],[Box CBM]]*35.3147)</f>
        <v>2.2380691125000001E-2</v>
      </c>
      <c r="BE38" s="4" t="s">
        <v>48</v>
      </c>
      <c r="BI38" s="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8" s="4">
        <f>SUM(cna_product_database_catalog_website[[#This Row],[Carton CFT]]/61024)</f>
        <v>0</v>
      </c>
      <c r="BM38" s="4" t="s">
        <v>48</v>
      </c>
      <c r="BO38" s="4" t="s">
        <v>48</v>
      </c>
      <c r="BP38" s="4" t="s">
        <v>48</v>
      </c>
      <c r="BQ38" s="4" t="s">
        <v>48</v>
      </c>
      <c r="BS38" s="4" t="s">
        <v>48</v>
      </c>
      <c r="BT38" s="4" t="s">
        <v>48</v>
      </c>
      <c r="BU38" s="4" t="s">
        <v>48</v>
      </c>
      <c r="BW38" s="4" t="s">
        <v>48</v>
      </c>
      <c r="BX38" s="4" t="s">
        <v>48</v>
      </c>
      <c r="BY38" s="4" t="s">
        <v>48</v>
      </c>
      <c r="BZ38" s="4" t="s">
        <v>48</v>
      </c>
      <c r="CA38" s="4" t="s">
        <v>48</v>
      </c>
      <c r="CB38" s="4" t="s">
        <v>48</v>
      </c>
      <c r="CC38" s="4" t="s">
        <v>48</v>
      </c>
      <c r="CD38" s="4" t="s">
        <v>48</v>
      </c>
      <c r="CE38" s="4" t="s">
        <v>48</v>
      </c>
      <c r="CF38" s="4" t="s">
        <v>48</v>
      </c>
      <c r="CG38" s="4" t="s">
        <v>48</v>
      </c>
      <c r="CH38" s="4" t="s">
        <v>48</v>
      </c>
      <c r="CI38" s="4" t="s">
        <v>48</v>
      </c>
      <c r="CJ38" s="4" t="s">
        <v>48</v>
      </c>
    </row>
    <row r="39" spans="1:88" s="4" customFormat="1" x14ac:dyDescent="0.25">
      <c r="A39" s="4" t="s">
        <v>2103</v>
      </c>
      <c r="B39" s="4" t="s">
        <v>2055</v>
      </c>
      <c r="C39" s="4" t="s">
        <v>1695</v>
      </c>
      <c r="D39" s="4" t="str">
        <f>cna_product_database_catalog_website[[#This Row],[MainCategory]]&amp;"&gt;"&amp;cna_product_database_catalog_website[[#This Row],[SubCategory1]]&amp;"&gt;"&amp;cna_product_database_catalog_website[[#This Row],[SubCategory2]]</f>
        <v>Bulbs&gt;Vintage&gt;ST19 Vintage - X Filament 40K</v>
      </c>
      <c r="E39" s="4">
        <v>115</v>
      </c>
      <c r="F39" s="4" t="s">
        <v>1085</v>
      </c>
      <c r="G39" s="5">
        <v>1169</v>
      </c>
      <c r="H39" s="9">
        <v>2.7</v>
      </c>
      <c r="I39" s="4" t="s">
        <v>1085</v>
      </c>
      <c r="J39" s="4" t="s">
        <v>1085</v>
      </c>
      <c r="K39" s="4" t="s">
        <v>1086</v>
      </c>
      <c r="L39" s="4" t="s">
        <v>1087</v>
      </c>
      <c r="M39" s="12" t="str">
        <f>HYPERLINK(cna_product_database_catalog_website[[#This Row],[Spec Sheet Link]], cna_product_database_catalog_website[[#Headers],[Spec Sheet Link]])</f>
        <v>Spec Sheet Link</v>
      </c>
      <c r="N39" s="4" t="s">
        <v>47</v>
      </c>
      <c r="O39" s="5">
        <v>1</v>
      </c>
      <c r="P39" s="5">
        <v>1</v>
      </c>
      <c r="Q39" s="4" t="s">
        <v>110</v>
      </c>
      <c r="R39" s="4" t="s">
        <v>53</v>
      </c>
      <c r="S39" s="4" t="s">
        <v>68</v>
      </c>
      <c r="T39" s="4" t="s">
        <v>1088</v>
      </c>
      <c r="U39" s="4" t="s">
        <v>55</v>
      </c>
      <c r="V39" s="4" t="s">
        <v>127</v>
      </c>
      <c r="W39" s="4" t="s">
        <v>88</v>
      </c>
      <c r="X39" s="4" t="s">
        <v>58</v>
      </c>
      <c r="Y39" s="5" t="s">
        <v>1015</v>
      </c>
      <c r="Z39" s="5" t="s">
        <v>1006</v>
      </c>
      <c r="AA39" s="5" t="s">
        <v>60</v>
      </c>
      <c r="AB39" s="6" t="s">
        <v>1008</v>
      </c>
      <c r="AC39" s="6" t="s">
        <v>71</v>
      </c>
      <c r="AD39" s="4" t="s">
        <v>59</v>
      </c>
      <c r="AF39" s="4" t="s">
        <v>48</v>
      </c>
      <c r="AL39" s="4" t="s">
        <v>165</v>
      </c>
      <c r="AM39" s="4" t="s">
        <v>163</v>
      </c>
      <c r="AN39" s="4" t="s">
        <v>164</v>
      </c>
      <c r="AO39" s="4" t="s">
        <v>166</v>
      </c>
      <c r="AP39" s="4" t="s">
        <v>167</v>
      </c>
      <c r="AQ39" s="4" t="s">
        <v>168</v>
      </c>
      <c r="AR39" s="4">
        <v>61</v>
      </c>
      <c r="AS39" s="4">
        <v>0.13</v>
      </c>
      <c r="AV39" s="4" t="s">
        <v>170</v>
      </c>
      <c r="AW39" s="4" t="s">
        <v>1044</v>
      </c>
      <c r="AX39" s="7" t="s">
        <v>80</v>
      </c>
      <c r="AY39" s="7" t="s">
        <v>169</v>
      </c>
      <c r="AZ39">
        <v>6.5</v>
      </c>
      <c r="BA39">
        <v>6.5</v>
      </c>
      <c r="BB39">
        <v>15</v>
      </c>
      <c r="BC39" s="4">
        <f>SUM(cna_product_database_catalog_website[[#This Row],[Box Length (cm)]]*cna_product_database_catalog_website[[#This Row],[Box Width (cm)]]*cna_product_database_catalog_website[[#This Row],[Box Height (cm)]]/1000000)</f>
        <v>6.3374999999999998E-4</v>
      </c>
      <c r="BD39" s="4">
        <f>SUM(cna_product_database_catalog_website[[#This Row],[Box CBM]]*35.3147)</f>
        <v>2.2380691125000001E-2</v>
      </c>
      <c r="BE39" s="4" t="s">
        <v>48</v>
      </c>
      <c r="BI39" s="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9" s="4">
        <f>SUM(cna_product_database_catalog_website[[#This Row],[Carton CFT]]/61024)</f>
        <v>0</v>
      </c>
      <c r="BM39" s="4" t="s">
        <v>48</v>
      </c>
      <c r="BO39" s="4" t="s">
        <v>48</v>
      </c>
      <c r="BP39" s="4" t="s">
        <v>48</v>
      </c>
      <c r="BQ39" s="4" t="s">
        <v>48</v>
      </c>
      <c r="BS39" s="4" t="s">
        <v>48</v>
      </c>
      <c r="BT39" s="4" t="s">
        <v>48</v>
      </c>
      <c r="BU39" s="4" t="s">
        <v>48</v>
      </c>
      <c r="BW39" s="4" t="s">
        <v>48</v>
      </c>
      <c r="BX39" s="4" t="s">
        <v>48</v>
      </c>
      <c r="BY39" s="4" t="s">
        <v>48</v>
      </c>
      <c r="BZ39" s="4" t="s">
        <v>48</v>
      </c>
      <c r="CA39" s="4" t="s">
        <v>48</v>
      </c>
      <c r="CB39" s="4" t="s">
        <v>48</v>
      </c>
      <c r="CC39" s="4" t="s">
        <v>48</v>
      </c>
      <c r="CD39" s="4" t="s">
        <v>48</v>
      </c>
      <c r="CE39" s="4" t="s">
        <v>48</v>
      </c>
      <c r="CF39" s="4" t="s">
        <v>48</v>
      </c>
      <c r="CG39" s="4" t="s">
        <v>48</v>
      </c>
      <c r="CH39" s="4" t="s">
        <v>48</v>
      </c>
      <c r="CI39" s="4" t="s">
        <v>48</v>
      </c>
      <c r="CJ39" s="4" t="s">
        <v>48</v>
      </c>
    </row>
    <row r="40" spans="1:88" s="4" customFormat="1" x14ac:dyDescent="0.25">
      <c r="A40" s="4" t="s">
        <v>2103</v>
      </c>
      <c r="B40" s="4" t="s">
        <v>2055</v>
      </c>
      <c r="C40" s="4" t="s">
        <v>1821</v>
      </c>
      <c r="D40" s="4" t="str">
        <f>cna_product_database_catalog_website[[#This Row],[MainCategory]]&amp;"&gt;"&amp;cna_product_database_catalog_website[[#This Row],[SubCategory1]]&amp;"&gt;"&amp;cna_product_database_catalog_website[[#This Row],[SubCategory2]]</f>
        <v>Bulbs&gt;Vintage&gt;ST19 Vintage - White Filament 30K</v>
      </c>
      <c r="E40" s="4">
        <v>120</v>
      </c>
      <c r="F40" s="4" t="s">
        <v>1467</v>
      </c>
      <c r="G40" s="5">
        <v>1197</v>
      </c>
      <c r="H40" s="9">
        <v>3.5</v>
      </c>
      <c r="I40" s="4" t="s">
        <v>1467</v>
      </c>
      <c r="J40" s="4" t="s">
        <v>1468</v>
      </c>
      <c r="K40" s="4" t="s">
        <v>1469</v>
      </c>
      <c r="L40" s="4" t="s">
        <v>1470</v>
      </c>
      <c r="M40" s="12" t="str">
        <f>HYPERLINK(cna_product_database_catalog_website[[#This Row],[Spec Sheet Link]], cna_product_database_catalog_website[[#Headers],[Spec Sheet Link]])</f>
        <v>Spec Sheet Link</v>
      </c>
      <c r="N40" s="4" t="s">
        <v>47</v>
      </c>
      <c r="O40" s="5">
        <v>1</v>
      </c>
      <c r="P40" s="5">
        <v>1</v>
      </c>
      <c r="Q40" s="4" t="s">
        <v>228</v>
      </c>
      <c r="R40" s="4" t="s">
        <v>53</v>
      </c>
      <c r="S40" s="4" t="s">
        <v>121</v>
      </c>
      <c r="T40" s="4" t="s">
        <v>1453</v>
      </c>
      <c r="U40" s="4" t="s">
        <v>55</v>
      </c>
      <c r="V40" s="4" t="s">
        <v>127</v>
      </c>
      <c r="W40" s="4" t="s">
        <v>88</v>
      </c>
      <c r="X40" s="4" t="s">
        <v>78</v>
      </c>
      <c r="Y40" s="5" t="s">
        <v>1015</v>
      </c>
      <c r="Z40" s="5" t="s">
        <v>1006</v>
      </c>
      <c r="AA40" s="5" t="s">
        <v>60</v>
      </c>
      <c r="AB40" s="6" t="s">
        <v>1008</v>
      </c>
      <c r="AC40" s="6" t="s">
        <v>71</v>
      </c>
      <c r="AD40" s="4" t="s">
        <v>450</v>
      </c>
      <c r="AF40" s="4" t="s">
        <v>48</v>
      </c>
      <c r="AL40" s="4" t="s">
        <v>173</v>
      </c>
      <c r="AM40" s="4" t="s">
        <v>171</v>
      </c>
      <c r="AN40" s="4" t="s">
        <v>172</v>
      </c>
      <c r="AO40" s="4" t="s">
        <v>115</v>
      </c>
      <c r="AP40" s="4" t="s">
        <v>116</v>
      </c>
      <c r="AQ40" s="4" t="s">
        <v>117</v>
      </c>
      <c r="AR40" s="4">
        <v>63</v>
      </c>
      <c r="AS40" s="4">
        <v>0.13800000000000001</v>
      </c>
      <c r="AV40" s="4" t="s">
        <v>170</v>
      </c>
      <c r="AW40" s="4" t="s">
        <v>1044</v>
      </c>
      <c r="AX40" s="7" t="s">
        <v>80</v>
      </c>
      <c r="AY40" s="7">
        <v>100</v>
      </c>
      <c r="AZ40">
        <v>6.5</v>
      </c>
      <c r="BA40">
        <v>6.5</v>
      </c>
      <c r="BB40">
        <v>15</v>
      </c>
      <c r="BC40" s="4">
        <f>SUM(cna_product_database_catalog_website[[#This Row],[Box Length (cm)]]*cna_product_database_catalog_website[[#This Row],[Box Width (cm)]]*cna_product_database_catalog_website[[#This Row],[Box Height (cm)]]/1000000)</f>
        <v>6.3374999999999998E-4</v>
      </c>
      <c r="BD40" s="4">
        <f>SUM(cna_product_database_catalog_website[[#This Row],[Box CBM]]*35.3147)</f>
        <v>2.2380691125000001E-2</v>
      </c>
      <c r="BE40" s="4" t="s">
        <v>48</v>
      </c>
      <c r="BI40" s="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40" s="4">
        <f>SUM(cna_product_database_catalog_website[[#This Row],[Carton CFT]]/61024)</f>
        <v>0</v>
      </c>
      <c r="BM40" s="4" t="s">
        <v>48</v>
      </c>
      <c r="BO40" s="4" t="s">
        <v>48</v>
      </c>
      <c r="BP40" s="4" t="s">
        <v>48</v>
      </c>
      <c r="BQ40" s="4" t="s">
        <v>48</v>
      </c>
      <c r="BS40" s="4" t="s">
        <v>48</v>
      </c>
      <c r="BT40" s="4" t="s">
        <v>48</v>
      </c>
      <c r="BU40" s="4" t="s">
        <v>48</v>
      </c>
      <c r="BW40" s="4" t="s">
        <v>48</v>
      </c>
      <c r="BX40" s="4" t="s">
        <v>48</v>
      </c>
      <c r="BY40" s="4" t="s">
        <v>48</v>
      </c>
      <c r="BZ40" s="4" t="s">
        <v>48</v>
      </c>
      <c r="CA40" s="4" t="s">
        <v>48</v>
      </c>
      <c r="CB40" s="4" t="s">
        <v>48</v>
      </c>
      <c r="CC40" s="4" t="s">
        <v>48</v>
      </c>
      <c r="CD40" s="4" t="s">
        <v>48</v>
      </c>
      <c r="CE40" s="4" t="s">
        <v>48</v>
      </c>
      <c r="CF40" s="4" t="s">
        <v>48</v>
      </c>
      <c r="CG40" s="4" t="s">
        <v>48</v>
      </c>
      <c r="CH40" s="4" t="s">
        <v>48</v>
      </c>
      <c r="CI40" s="4" t="s">
        <v>48</v>
      </c>
      <c r="CJ40" s="4" t="s">
        <v>48</v>
      </c>
    </row>
    <row r="41" spans="1:88" s="4" customFormat="1" x14ac:dyDescent="0.25">
      <c r="A41" s="4" t="s">
        <v>2103</v>
      </c>
      <c r="B41" s="4" t="s">
        <v>2055</v>
      </c>
      <c r="C41" s="4" t="s">
        <v>1822</v>
      </c>
      <c r="D41" s="4" t="str">
        <f>cna_product_database_catalog_website[[#This Row],[MainCategory]]&amp;"&gt;"&amp;cna_product_database_catalog_website[[#This Row],[SubCategory1]]&amp;"&gt;"&amp;cna_product_database_catalog_website[[#This Row],[SubCategory2]]</f>
        <v>Bulbs&gt;Vintage&gt;ST19 Vintage - Curved Filament 30K</v>
      </c>
      <c r="E41" s="4">
        <v>125</v>
      </c>
      <c r="F41" s="4" t="s">
        <v>1438</v>
      </c>
      <c r="G41" s="5">
        <v>1172</v>
      </c>
      <c r="H41" s="9">
        <v>3.75</v>
      </c>
      <c r="I41" s="4" t="s">
        <v>1438</v>
      </c>
      <c r="J41" s="4" t="s">
        <v>1450</v>
      </c>
      <c r="K41" s="4" t="s">
        <v>177</v>
      </c>
      <c r="L41" s="4" t="s">
        <v>1087</v>
      </c>
      <c r="M41" s="12" t="str">
        <f>HYPERLINK(cna_product_database_catalog_website[[#This Row],[Spec Sheet Link]], cna_product_database_catalog_website[[#Headers],[Spec Sheet Link]])</f>
        <v>Spec Sheet Link</v>
      </c>
      <c r="N41" s="4" t="s">
        <v>47</v>
      </c>
      <c r="O41" s="5">
        <v>1</v>
      </c>
      <c r="P41" s="5">
        <v>1</v>
      </c>
      <c r="Q41" s="4" t="s">
        <v>178</v>
      </c>
      <c r="R41" s="4" t="s">
        <v>53</v>
      </c>
      <c r="S41" s="4" t="s">
        <v>121</v>
      </c>
      <c r="T41" s="4" t="s">
        <v>1088</v>
      </c>
      <c r="U41" s="4" t="s">
        <v>55</v>
      </c>
      <c r="V41" s="4" t="s">
        <v>69</v>
      </c>
      <c r="W41" s="4" t="s">
        <v>111</v>
      </c>
      <c r="X41" s="4" t="s">
        <v>78</v>
      </c>
      <c r="Y41" s="5" t="s">
        <v>1015</v>
      </c>
      <c r="Z41" s="5" t="s">
        <v>1006</v>
      </c>
      <c r="AA41" s="5" t="s">
        <v>60</v>
      </c>
      <c r="AB41" s="6" t="s">
        <v>1008</v>
      </c>
      <c r="AC41" s="6" t="s">
        <v>71</v>
      </c>
      <c r="AD41" s="4" t="s">
        <v>59</v>
      </c>
      <c r="AF41" s="4" t="s">
        <v>48</v>
      </c>
      <c r="AL41" s="4" t="s">
        <v>181</v>
      </c>
      <c r="AM41" s="4" t="s">
        <v>179</v>
      </c>
      <c r="AN41" s="4" t="s">
        <v>180</v>
      </c>
      <c r="AO41" s="4" t="s">
        <v>182</v>
      </c>
      <c r="AP41" s="4" t="s">
        <v>183</v>
      </c>
      <c r="AQ41" s="4" t="s">
        <v>184</v>
      </c>
      <c r="AR41" s="4">
        <v>52</v>
      </c>
      <c r="AS41" s="4">
        <v>0.114</v>
      </c>
      <c r="AV41" s="4" t="s">
        <v>170</v>
      </c>
      <c r="AW41" s="4" t="s">
        <v>1044</v>
      </c>
      <c r="AX41" s="7">
        <v>50</v>
      </c>
      <c r="AY41" s="7">
        <v>50</v>
      </c>
      <c r="AZ41">
        <v>6.5</v>
      </c>
      <c r="BA41">
        <v>6.5</v>
      </c>
      <c r="BB41">
        <v>15</v>
      </c>
      <c r="BC41" s="4">
        <f>SUM(cna_product_database_catalog_website[[#This Row],[Box Length (cm)]]*cna_product_database_catalog_website[[#This Row],[Box Width (cm)]]*cna_product_database_catalog_website[[#This Row],[Box Height (cm)]]/1000000)</f>
        <v>6.3374999999999998E-4</v>
      </c>
      <c r="BD41" s="4">
        <f>SUM(cna_product_database_catalog_website[[#This Row],[Box CBM]]*35.3147)</f>
        <v>2.2380691125000001E-2</v>
      </c>
      <c r="BE41" s="4" t="s">
        <v>48</v>
      </c>
      <c r="BI41" s="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41" s="4">
        <f>SUM(cna_product_database_catalog_website[[#This Row],[Carton CFT]]/61024)</f>
        <v>0</v>
      </c>
      <c r="BM41" s="4" t="s">
        <v>48</v>
      </c>
      <c r="BO41" s="4" t="s">
        <v>48</v>
      </c>
      <c r="BP41" s="4" t="s">
        <v>48</v>
      </c>
      <c r="BQ41" s="4" t="s">
        <v>48</v>
      </c>
      <c r="BS41" s="4" t="s">
        <v>48</v>
      </c>
      <c r="BT41" s="4" t="s">
        <v>48</v>
      </c>
      <c r="BU41" s="4" t="s">
        <v>48</v>
      </c>
      <c r="BW41" s="4" t="s">
        <v>48</v>
      </c>
      <c r="BX41" s="4" t="s">
        <v>48</v>
      </c>
      <c r="BY41" s="4" t="s">
        <v>48</v>
      </c>
      <c r="BZ41" s="4" t="s">
        <v>48</v>
      </c>
      <c r="CA41" s="4" t="s">
        <v>48</v>
      </c>
      <c r="CB41" s="4" t="s">
        <v>48</v>
      </c>
      <c r="CC41" s="4" t="s">
        <v>48</v>
      </c>
      <c r="CD41" s="4" t="s">
        <v>48</v>
      </c>
      <c r="CE41" s="4" t="s">
        <v>48</v>
      </c>
      <c r="CF41" s="4" t="s">
        <v>48</v>
      </c>
      <c r="CG41" s="4" t="s">
        <v>48</v>
      </c>
      <c r="CH41" s="4" t="s">
        <v>48</v>
      </c>
      <c r="CI41" s="4" t="s">
        <v>48</v>
      </c>
      <c r="CJ41" s="4" t="s">
        <v>48</v>
      </c>
    </row>
    <row r="42" spans="1:88" x14ac:dyDescent="0.25">
      <c r="A42" s="4" t="s">
        <v>2103</v>
      </c>
      <c r="B42" s="4" t="s">
        <v>2056</v>
      </c>
      <c r="C42" s="4" t="s">
        <v>1696</v>
      </c>
      <c r="D42" s="4" t="str">
        <f>cna_product_database_catalog_website[[#This Row],[MainCategory]]&amp;"&gt;"&amp;cna_product_database_catalog_website[[#This Row],[SubCategory1]]&amp;"&gt;"&amp;cna_product_database_catalog_website[[#This Row],[SubCategory2]]</f>
        <v>Bulbs&gt;T-Type&gt;T10 Clear 30K</v>
      </c>
      <c r="E42" s="4">
        <v>135</v>
      </c>
      <c r="F42" t="s">
        <v>195</v>
      </c>
      <c r="G42" s="3">
        <v>831</v>
      </c>
      <c r="H42" s="8">
        <v>3.5</v>
      </c>
      <c r="I42" t="s">
        <v>195</v>
      </c>
      <c r="J42" t="s">
        <v>195</v>
      </c>
      <c r="K42" t="s">
        <v>196</v>
      </c>
      <c r="L42" t="s">
        <v>197</v>
      </c>
      <c r="M42" s="12" t="str">
        <f>HYPERLINK(cna_product_database_catalog_website[[#This Row],[Spec Sheet Link]], cna_product_database_catalog_website[[#Headers],[Spec Sheet Link]])</f>
        <v>Spec Sheet Link</v>
      </c>
      <c r="N42" t="s">
        <v>47</v>
      </c>
      <c r="O42" s="3">
        <v>1</v>
      </c>
      <c r="P42" s="3">
        <v>1</v>
      </c>
      <c r="Q42" t="s">
        <v>99</v>
      </c>
      <c r="R42" t="s">
        <v>198</v>
      </c>
      <c r="S42" t="s">
        <v>100</v>
      </c>
      <c r="T42" t="s">
        <v>1054</v>
      </c>
      <c r="U42" t="s">
        <v>55</v>
      </c>
      <c r="V42" t="s">
        <v>199</v>
      </c>
      <c r="W42" t="s">
        <v>88</v>
      </c>
      <c r="X42" t="s">
        <v>78</v>
      </c>
      <c r="Y42" s="3" t="s">
        <v>1015</v>
      </c>
      <c r="Z42" s="3" t="s">
        <v>1006</v>
      </c>
      <c r="AA42" s="3" t="s">
        <v>60</v>
      </c>
      <c r="AB42" s="1" t="s">
        <v>1008</v>
      </c>
      <c r="AC42" s="1" t="s">
        <v>101</v>
      </c>
      <c r="AD42" t="s">
        <v>59</v>
      </c>
      <c r="AE42"/>
      <c r="AF42" t="s">
        <v>48</v>
      </c>
      <c r="AL42" t="s">
        <v>202</v>
      </c>
      <c r="AM42" t="s">
        <v>200</v>
      </c>
      <c r="AN42" t="s">
        <v>201</v>
      </c>
      <c r="AO42" t="s">
        <v>203</v>
      </c>
      <c r="AP42" t="s">
        <v>62</v>
      </c>
      <c r="AQ42" t="s">
        <v>204</v>
      </c>
      <c r="AR42">
        <v>43</v>
      </c>
      <c r="AS42">
        <v>0.09</v>
      </c>
      <c r="AV42" t="s">
        <v>205</v>
      </c>
      <c r="AW42" t="s">
        <v>1044</v>
      </c>
      <c r="AX42" s="2" t="s">
        <v>80</v>
      </c>
      <c r="AY42" s="2" t="s">
        <v>63</v>
      </c>
      <c r="AZ42">
        <v>4.2</v>
      </c>
      <c r="BA42">
        <v>4.2</v>
      </c>
      <c r="BB42">
        <v>14</v>
      </c>
      <c r="BC42">
        <f>SUM(cna_product_database_catalog_website[[#This Row],[Box Length (cm)]]*cna_product_database_catalog_website[[#This Row],[Box Width (cm)]]*cna_product_database_catalog_website[[#This Row],[Box Height (cm)]]/1000000)</f>
        <v>2.4696000000000001E-4</v>
      </c>
      <c r="BD42">
        <f>SUM(cna_product_database_catalog_website[[#This Row],[Box CBM]]*35.3147)</f>
        <v>8.721318312000001E-3</v>
      </c>
      <c r="BE42" t="s">
        <v>48</v>
      </c>
      <c r="BI4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42">
        <f>SUM(cna_product_database_catalog_website[[#This Row],[Carton CFT]]/61024)</f>
        <v>0</v>
      </c>
      <c r="BM42" t="s">
        <v>48</v>
      </c>
      <c r="BN42"/>
      <c r="BO42" t="s">
        <v>48</v>
      </c>
      <c r="BP42" t="s">
        <v>48</v>
      </c>
      <c r="BQ42" t="s">
        <v>48</v>
      </c>
      <c r="BS42" t="s">
        <v>48</v>
      </c>
      <c r="BT42" t="s">
        <v>48</v>
      </c>
      <c r="BU42" t="s">
        <v>48</v>
      </c>
      <c r="BW42" t="s">
        <v>48</v>
      </c>
      <c r="BX42" t="s">
        <v>48</v>
      </c>
      <c r="BY42" t="s">
        <v>48</v>
      </c>
      <c r="BZ42" t="s">
        <v>48</v>
      </c>
      <c r="CA42" t="s">
        <v>48</v>
      </c>
      <c r="CB42" t="s">
        <v>48</v>
      </c>
      <c r="CC42" t="s">
        <v>48</v>
      </c>
      <c r="CD42" t="s">
        <v>48</v>
      </c>
      <c r="CE42" t="s">
        <v>48</v>
      </c>
      <c r="CF42" t="s">
        <v>48</v>
      </c>
      <c r="CG42" t="s">
        <v>48</v>
      </c>
      <c r="CH42" t="s">
        <v>48</v>
      </c>
      <c r="CI42" t="s">
        <v>48</v>
      </c>
      <c r="CJ42" t="s">
        <v>48</v>
      </c>
    </row>
    <row r="43" spans="1:88" x14ac:dyDescent="0.25">
      <c r="A43" s="4" t="s">
        <v>2103</v>
      </c>
      <c r="B43" s="4" t="s">
        <v>2056</v>
      </c>
      <c r="C43" s="4" t="s">
        <v>1823</v>
      </c>
      <c r="D43" s="4" t="str">
        <f>cna_product_database_catalog_website[[#This Row],[MainCategory]]&amp;"&gt;"&amp;cna_product_database_catalog_website[[#This Row],[SubCategory1]]&amp;"&gt;"&amp;cna_product_database_catalog_website[[#This Row],[SubCategory2]]</f>
        <v>Bulbs&gt;T-Type&gt;T25 Clear 30K</v>
      </c>
      <c r="E43" s="4">
        <v>140</v>
      </c>
      <c r="F43" t="s">
        <v>1076</v>
      </c>
      <c r="G43" s="3">
        <v>1050</v>
      </c>
      <c r="H43" s="8">
        <v>2.5</v>
      </c>
      <c r="I43" t="s">
        <v>1076</v>
      </c>
      <c r="J43" t="s">
        <v>1076</v>
      </c>
      <c r="K43" t="s">
        <v>185</v>
      </c>
      <c r="L43" t="s">
        <v>186</v>
      </c>
      <c r="M43" s="12" t="str">
        <f>HYPERLINK(cna_product_database_catalog_website[[#This Row],[Spec Sheet Link]], cna_product_database_catalog_website[[#Headers],[Spec Sheet Link]])</f>
        <v>Spec Sheet Link</v>
      </c>
      <c r="N43" t="s">
        <v>47</v>
      </c>
      <c r="O43" s="3">
        <v>1</v>
      </c>
      <c r="P43" s="3">
        <v>1</v>
      </c>
      <c r="Q43" t="s">
        <v>52</v>
      </c>
      <c r="R43" t="s">
        <v>85</v>
      </c>
      <c r="S43" t="s">
        <v>54</v>
      </c>
      <c r="T43" t="s">
        <v>1054</v>
      </c>
      <c r="U43" t="s">
        <v>55</v>
      </c>
      <c r="V43" t="s">
        <v>56</v>
      </c>
      <c r="W43" t="s">
        <v>57</v>
      </c>
      <c r="X43" t="s">
        <v>78</v>
      </c>
      <c r="Y43" s="3" t="s">
        <v>1015</v>
      </c>
      <c r="Z43" s="3" t="s">
        <v>1006</v>
      </c>
      <c r="AA43" s="3" t="s">
        <v>60</v>
      </c>
      <c r="AB43" s="1" t="s">
        <v>1008</v>
      </c>
      <c r="AC43" s="1" t="s">
        <v>101</v>
      </c>
      <c r="AD43" t="s">
        <v>59</v>
      </c>
      <c r="AE43"/>
      <c r="AF43" t="s">
        <v>48</v>
      </c>
      <c r="AL43" t="s">
        <v>189</v>
      </c>
      <c r="AM43" t="s">
        <v>187</v>
      </c>
      <c r="AN43" t="s">
        <v>188</v>
      </c>
      <c r="AO43" t="s">
        <v>190</v>
      </c>
      <c r="AP43" t="s">
        <v>191</v>
      </c>
      <c r="AQ43" t="s">
        <v>192</v>
      </c>
      <c r="AR43">
        <v>16</v>
      </c>
      <c r="AS43">
        <v>0.04</v>
      </c>
      <c r="AV43" t="s">
        <v>193</v>
      </c>
      <c r="AW43" t="s">
        <v>1044</v>
      </c>
      <c r="AX43" s="2" t="s">
        <v>63</v>
      </c>
      <c r="AY43" s="2" t="s">
        <v>63</v>
      </c>
      <c r="AZ43">
        <v>2.9</v>
      </c>
      <c r="BA43">
        <v>2.9</v>
      </c>
      <c r="BB43">
        <v>8.8000000000000007</v>
      </c>
      <c r="BC43">
        <f>SUM(cna_product_database_catalog_website[[#This Row],[Box Length (cm)]]*cna_product_database_catalog_website[[#This Row],[Box Width (cm)]]*cna_product_database_catalog_website[[#This Row],[Box Height (cm)]]/1000000)</f>
        <v>7.4008000000000014E-5</v>
      </c>
      <c r="BD43">
        <f>SUM(cna_product_database_catalog_website[[#This Row],[Box CBM]]*35.3147)</f>
        <v>2.6135703176000005E-3</v>
      </c>
      <c r="BE43" t="s">
        <v>48</v>
      </c>
      <c r="BI4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43">
        <f>SUM(cna_product_database_catalog_website[[#This Row],[Carton CFT]]/61024)</f>
        <v>0</v>
      </c>
      <c r="BM43" t="s">
        <v>48</v>
      </c>
      <c r="BN43"/>
      <c r="BO43" t="s">
        <v>48</v>
      </c>
      <c r="BP43" t="s">
        <v>48</v>
      </c>
      <c r="BQ43" t="s">
        <v>48</v>
      </c>
      <c r="BS43" t="s">
        <v>48</v>
      </c>
      <c r="BT43" t="s">
        <v>48</v>
      </c>
      <c r="BU43" t="s">
        <v>48</v>
      </c>
      <c r="BW43" t="s">
        <v>48</v>
      </c>
      <c r="BX43" t="s">
        <v>48</v>
      </c>
      <c r="BY43" t="s">
        <v>48</v>
      </c>
      <c r="BZ43" t="s">
        <v>48</v>
      </c>
      <c r="CA43" t="s">
        <v>48</v>
      </c>
      <c r="CB43" t="s">
        <v>48</v>
      </c>
      <c r="CC43" t="s">
        <v>48</v>
      </c>
      <c r="CD43" t="s">
        <v>48</v>
      </c>
      <c r="CE43" t="s">
        <v>48</v>
      </c>
      <c r="CF43" t="s">
        <v>48</v>
      </c>
      <c r="CG43" t="s">
        <v>48</v>
      </c>
      <c r="CH43" t="s">
        <v>48</v>
      </c>
      <c r="CI43" t="s">
        <v>48</v>
      </c>
      <c r="CJ43" t="s">
        <v>48</v>
      </c>
    </row>
    <row r="44" spans="1:88" s="4" customFormat="1" x14ac:dyDescent="0.25">
      <c r="A44" s="4" t="s">
        <v>2103</v>
      </c>
      <c r="B44" s="4" t="s">
        <v>2056</v>
      </c>
      <c r="C44" s="4" t="s">
        <v>1824</v>
      </c>
      <c r="D44" s="4" t="str">
        <f>cna_product_database_catalog_website[[#This Row],[MainCategory]]&amp;"&gt;"&amp;cna_product_database_catalog_website[[#This Row],[SubCategory1]]&amp;"&gt;"&amp;cna_product_database_catalog_website[[#This Row],[SubCategory2]]</f>
        <v>Bulbs&gt;T-Type&gt;T25 Milky / Opaque 30K</v>
      </c>
      <c r="E44" s="4">
        <v>141</v>
      </c>
      <c r="F44" s="4" t="s">
        <v>1110</v>
      </c>
      <c r="G44" s="5">
        <v>1137</v>
      </c>
      <c r="H44" s="9">
        <v>2.5</v>
      </c>
      <c r="I44" s="4" t="s">
        <v>1110</v>
      </c>
      <c r="J44" s="4" t="s">
        <v>1110</v>
      </c>
      <c r="K44" s="4" t="s">
        <v>1933</v>
      </c>
      <c r="L44" s="4" t="s">
        <v>1934</v>
      </c>
      <c r="M44" s="12" t="str">
        <f>HYPERLINK(cna_product_database_catalog_website[[#This Row],[Spec Sheet Link]], cna_product_database_catalog_website[[#Headers],[Spec Sheet Link]])</f>
        <v>Spec Sheet Link</v>
      </c>
      <c r="N44" s="4" t="s">
        <v>47</v>
      </c>
      <c r="O44" s="5">
        <v>1</v>
      </c>
      <c r="P44" s="5">
        <v>1</v>
      </c>
      <c r="Q44" s="4" t="s">
        <v>52</v>
      </c>
      <c r="R44" s="4" t="s">
        <v>85</v>
      </c>
      <c r="S44" s="4" t="s">
        <v>194</v>
      </c>
      <c r="T44" s="4" t="s">
        <v>1054</v>
      </c>
      <c r="U44" s="4" t="s">
        <v>55</v>
      </c>
      <c r="V44" s="4" t="s">
        <v>56</v>
      </c>
      <c r="W44" s="4" t="s">
        <v>57</v>
      </c>
      <c r="X44" s="4" t="s">
        <v>78</v>
      </c>
      <c r="Y44" s="5" t="s">
        <v>1015</v>
      </c>
      <c r="Z44" s="5" t="s">
        <v>1006</v>
      </c>
      <c r="AA44" s="5" t="s">
        <v>60</v>
      </c>
      <c r="AB44" s="6" t="s">
        <v>1008</v>
      </c>
      <c r="AC44" s="6" t="s">
        <v>101</v>
      </c>
      <c r="AD44" s="4" t="s">
        <v>59</v>
      </c>
      <c r="AF44" s="4" t="s">
        <v>48</v>
      </c>
      <c r="AL44" s="4" t="s">
        <v>189</v>
      </c>
      <c r="AM44" s="4" t="s">
        <v>187</v>
      </c>
      <c r="AN44" s="4" t="s">
        <v>188</v>
      </c>
      <c r="AO44" s="4" t="s">
        <v>190</v>
      </c>
      <c r="AP44" s="4" t="s">
        <v>191</v>
      </c>
      <c r="AQ44" s="4" t="s">
        <v>192</v>
      </c>
      <c r="AR44" s="4">
        <v>100</v>
      </c>
      <c r="AS44" s="4">
        <v>0.22</v>
      </c>
      <c r="AV44" s="4" t="s">
        <v>1992</v>
      </c>
      <c r="AW44" s="4" t="s">
        <v>1044</v>
      </c>
      <c r="AX44" s="7" t="s">
        <v>63</v>
      </c>
      <c r="AY44" s="7" t="s">
        <v>63</v>
      </c>
      <c r="AZ44">
        <v>2.9</v>
      </c>
      <c r="BA44">
        <v>2.9</v>
      </c>
      <c r="BB44">
        <v>8.8000000000000007</v>
      </c>
      <c r="BC44" s="4">
        <f>SUM(cna_product_database_catalog_website[[#This Row],[Box Length (cm)]]*cna_product_database_catalog_website[[#This Row],[Box Width (cm)]]*cna_product_database_catalog_website[[#This Row],[Box Height (cm)]]/1000000)</f>
        <v>7.4008000000000014E-5</v>
      </c>
      <c r="BD44" s="4">
        <f>SUM(cna_product_database_catalog_website[[#This Row],[Box CBM]]*35.3147)</f>
        <v>2.6135703176000005E-3</v>
      </c>
      <c r="BE44" s="4" t="s">
        <v>48</v>
      </c>
      <c r="BI44" s="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44" s="4">
        <f>SUM(cna_product_database_catalog_website[[#This Row],[Carton CFT]]/61024)</f>
        <v>0</v>
      </c>
      <c r="BM44" s="4" t="s">
        <v>48</v>
      </c>
      <c r="BO44" s="4" t="s">
        <v>48</v>
      </c>
      <c r="BP44" s="4" t="s">
        <v>48</v>
      </c>
      <c r="BQ44" s="4" t="s">
        <v>48</v>
      </c>
      <c r="BS44" s="4" t="s">
        <v>48</v>
      </c>
      <c r="BT44" s="4" t="s">
        <v>48</v>
      </c>
      <c r="BU44" s="4" t="s">
        <v>48</v>
      </c>
      <c r="BW44" s="4" t="s">
        <v>48</v>
      </c>
      <c r="BX44" s="4" t="s">
        <v>48</v>
      </c>
      <c r="BY44" s="4" t="s">
        <v>48</v>
      </c>
      <c r="BZ44" s="4" t="s">
        <v>48</v>
      </c>
      <c r="CA44" s="4" t="s">
        <v>48</v>
      </c>
      <c r="CB44" s="4" t="s">
        <v>48</v>
      </c>
      <c r="CC44" s="4" t="s">
        <v>48</v>
      </c>
      <c r="CD44" s="4" t="s">
        <v>48</v>
      </c>
      <c r="CE44" s="4" t="s">
        <v>48</v>
      </c>
      <c r="CF44" s="4" t="s">
        <v>48</v>
      </c>
      <c r="CG44" s="4" t="s">
        <v>48</v>
      </c>
      <c r="CH44" s="4" t="s">
        <v>48</v>
      </c>
      <c r="CI44" s="4" t="s">
        <v>48</v>
      </c>
      <c r="CJ44" s="4" t="s">
        <v>48</v>
      </c>
    </row>
    <row r="45" spans="1:88" x14ac:dyDescent="0.25">
      <c r="A45" s="4" t="s">
        <v>2103</v>
      </c>
      <c r="B45" s="4" t="s">
        <v>2056</v>
      </c>
      <c r="C45" s="4" t="s">
        <v>1825</v>
      </c>
      <c r="D45" s="4" t="str">
        <f>cna_product_database_catalog_website[[#This Row],[MainCategory]]&amp;"&gt;"&amp;cna_product_database_catalog_website[[#This Row],[SubCategory1]]&amp;"&gt;"&amp;cna_product_database_catalog_website[[#This Row],[SubCategory2]]</f>
        <v>Bulbs&gt;T-Type&gt;T30 Vintage 27K</v>
      </c>
      <c r="E45" s="4">
        <v>145</v>
      </c>
      <c r="F45" t="s">
        <v>1077</v>
      </c>
      <c r="G45" s="3">
        <v>1046</v>
      </c>
      <c r="H45" s="8">
        <v>7.25</v>
      </c>
      <c r="I45" t="s">
        <v>1077</v>
      </c>
      <c r="J45" t="s">
        <v>1077</v>
      </c>
      <c r="K45" t="s">
        <v>206</v>
      </c>
      <c r="L45" t="s">
        <v>207</v>
      </c>
      <c r="M45" s="12" t="str">
        <f>HYPERLINK(cna_product_database_catalog_website[[#This Row],[Spec Sheet Link]], cna_product_database_catalog_website[[#Headers],[Spec Sheet Link]])</f>
        <v>Spec Sheet Link</v>
      </c>
      <c r="N45" t="s">
        <v>47</v>
      </c>
      <c r="O45" s="3">
        <v>1</v>
      </c>
      <c r="P45" s="3">
        <v>1</v>
      </c>
      <c r="Q45" t="s">
        <v>208</v>
      </c>
      <c r="R45" t="s">
        <v>85</v>
      </c>
      <c r="S45" t="s">
        <v>209</v>
      </c>
      <c r="T45" t="s">
        <v>1092</v>
      </c>
      <c r="U45" t="s">
        <v>55</v>
      </c>
      <c r="V45" t="s">
        <v>69</v>
      </c>
      <c r="W45" t="s">
        <v>111</v>
      </c>
      <c r="X45" t="s">
        <v>70</v>
      </c>
      <c r="Y45" s="3" t="s">
        <v>1015</v>
      </c>
      <c r="Z45" s="3" t="s">
        <v>1006</v>
      </c>
      <c r="AA45" s="3" t="s">
        <v>60</v>
      </c>
      <c r="AB45" s="1" t="s">
        <v>1008</v>
      </c>
      <c r="AC45" s="1" t="s">
        <v>101</v>
      </c>
      <c r="AD45" t="s">
        <v>59</v>
      </c>
      <c r="AE45"/>
      <c r="AF45" t="s">
        <v>48</v>
      </c>
      <c r="AL45" t="s">
        <v>212</v>
      </c>
      <c r="AM45" t="s">
        <v>210</v>
      </c>
      <c r="AN45" t="s">
        <v>211</v>
      </c>
      <c r="AO45" t="s">
        <v>213</v>
      </c>
      <c r="AP45" t="s">
        <v>214</v>
      </c>
      <c r="AQ45" t="s">
        <v>215</v>
      </c>
      <c r="AR45">
        <v>205</v>
      </c>
      <c r="AS45">
        <v>0.45</v>
      </c>
      <c r="AV45" t="s">
        <v>216</v>
      </c>
      <c r="AW45" t="s">
        <v>1044</v>
      </c>
      <c r="AX45" s="2" t="s">
        <v>63</v>
      </c>
      <c r="AY45" s="2" t="s">
        <v>63</v>
      </c>
      <c r="AZ45">
        <v>4.2</v>
      </c>
      <c r="BA45">
        <v>4.2</v>
      </c>
      <c r="BB45">
        <v>31</v>
      </c>
      <c r="BC45">
        <f>SUM(cna_product_database_catalog_website[[#This Row],[Box Length (cm)]]*cna_product_database_catalog_website[[#This Row],[Box Width (cm)]]*cna_product_database_catalog_website[[#This Row],[Box Height (cm)]]/1000000)</f>
        <v>5.4684000000000004E-4</v>
      </c>
      <c r="BD45">
        <f>SUM(cna_product_database_catalog_website[[#This Row],[Box CBM]]*35.3147)</f>
        <v>1.9311490548000004E-2</v>
      </c>
      <c r="BE45" t="s">
        <v>48</v>
      </c>
      <c r="BI4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45">
        <f>SUM(cna_product_database_catalog_website[[#This Row],[Carton CFT]]/61024)</f>
        <v>0</v>
      </c>
      <c r="BM45" t="s">
        <v>48</v>
      </c>
      <c r="BN45"/>
      <c r="BO45" t="s">
        <v>48</v>
      </c>
      <c r="BP45" t="s">
        <v>48</v>
      </c>
      <c r="BQ45" t="s">
        <v>48</v>
      </c>
      <c r="BS45" t="s">
        <v>48</v>
      </c>
      <c r="BT45" t="s">
        <v>48</v>
      </c>
      <c r="BU45" t="s">
        <v>48</v>
      </c>
      <c r="BW45" t="s">
        <v>48</v>
      </c>
      <c r="BX45" t="s">
        <v>48</v>
      </c>
      <c r="BY45" t="s">
        <v>48</v>
      </c>
      <c r="BZ45" t="s">
        <v>48</v>
      </c>
      <c r="CA45" t="s">
        <v>48</v>
      </c>
      <c r="CB45" t="s">
        <v>48</v>
      </c>
      <c r="CC45" t="s">
        <v>48</v>
      </c>
      <c r="CD45" t="s">
        <v>48</v>
      </c>
      <c r="CE45" t="s">
        <v>48</v>
      </c>
      <c r="CF45" t="s">
        <v>48</v>
      </c>
      <c r="CG45" t="s">
        <v>48</v>
      </c>
      <c r="CH45" t="s">
        <v>48</v>
      </c>
      <c r="CI45" t="s">
        <v>48</v>
      </c>
      <c r="CJ45" t="s">
        <v>48</v>
      </c>
    </row>
    <row r="46" spans="1:88" x14ac:dyDescent="0.25">
      <c r="A46" s="4" t="s">
        <v>2103</v>
      </c>
      <c r="B46" s="4" t="s">
        <v>2057</v>
      </c>
      <c r="C46" s="4" t="s">
        <v>1827</v>
      </c>
      <c r="D46" s="4" t="str">
        <f>cna_product_database_catalog_website[[#This Row],[MainCategory]]&amp;"&gt;"&amp;cna_product_database_catalog_website[[#This Row],[SubCategory1]]&amp;"&gt;"&amp;cna_product_database_catalog_website[[#This Row],[SubCategory2]]</f>
        <v>Bulbs&gt;Miniature&gt;E11 Mini-Can 30K</v>
      </c>
      <c r="E46">
        <v>150</v>
      </c>
      <c r="F46" t="s">
        <v>270</v>
      </c>
      <c r="G46" s="3">
        <v>899</v>
      </c>
      <c r="H46" s="8">
        <v>5.5</v>
      </c>
      <c r="I46" t="s">
        <v>270</v>
      </c>
      <c r="J46" t="s">
        <v>270</v>
      </c>
      <c r="K46" t="s">
        <v>271</v>
      </c>
      <c r="L46" t="s">
        <v>272</v>
      </c>
      <c r="M46" s="12" t="str">
        <f>HYPERLINK(cna_product_database_catalog_website[[#This Row],[Spec Sheet Link]], cna_product_database_catalog_website[[#Headers],[Spec Sheet Link]])</f>
        <v>Spec Sheet Link</v>
      </c>
      <c r="N46" t="s">
        <v>47</v>
      </c>
      <c r="O46" s="3">
        <v>1</v>
      </c>
      <c r="P46" s="3">
        <v>1</v>
      </c>
      <c r="Q46" t="s">
        <v>273</v>
      </c>
      <c r="R46" t="s">
        <v>53</v>
      </c>
      <c r="S46" t="s">
        <v>194</v>
      </c>
      <c r="T46" t="s">
        <v>1054</v>
      </c>
      <c r="U46" t="s">
        <v>55</v>
      </c>
      <c r="V46" t="s">
        <v>274</v>
      </c>
      <c r="W46" t="s">
        <v>275</v>
      </c>
      <c r="X46" t="s">
        <v>78</v>
      </c>
      <c r="Y46" s="3" t="s">
        <v>48</v>
      </c>
      <c r="Z46" s="3" t="s">
        <v>1006</v>
      </c>
      <c r="AA46" s="3" t="s">
        <v>60</v>
      </c>
      <c r="AB46" s="1" t="s">
        <v>1008</v>
      </c>
      <c r="AC46" s="1" t="s">
        <v>240</v>
      </c>
      <c r="AD46" t="s">
        <v>1485</v>
      </c>
      <c r="AE46"/>
      <c r="AF46" t="s">
        <v>48</v>
      </c>
      <c r="AH46" t="s">
        <v>48</v>
      </c>
      <c r="AL46" t="s">
        <v>1948</v>
      </c>
      <c r="AM46" t="s">
        <v>276</v>
      </c>
      <c r="AN46" t="s">
        <v>225</v>
      </c>
      <c r="AO46" t="s">
        <v>277</v>
      </c>
      <c r="AP46" t="s">
        <v>278</v>
      </c>
      <c r="AQ46" t="s">
        <v>1949</v>
      </c>
      <c r="AR46">
        <v>20</v>
      </c>
      <c r="AS46">
        <v>4.3999999999999997E-2</v>
      </c>
      <c r="AV46" t="s">
        <v>280</v>
      </c>
      <c r="AW46" t="s">
        <v>1044</v>
      </c>
      <c r="AX46" s="2" t="s">
        <v>169</v>
      </c>
      <c r="AY46" s="2" t="s">
        <v>279</v>
      </c>
      <c r="AZ46">
        <v>2.2000000000000002</v>
      </c>
      <c r="BA46">
        <v>2</v>
      </c>
      <c r="BB46">
        <v>5.7</v>
      </c>
      <c r="BC46">
        <f>SUM(cna_product_database_catalog_website[[#This Row],[Box Length (cm)]]*cna_product_database_catalog_website[[#This Row],[Box Width (cm)]]*cna_product_database_catalog_website[[#This Row],[Box Height (cm)]]/1000000)</f>
        <v>2.508E-5</v>
      </c>
      <c r="BD46">
        <f>SUM(cna_product_database_catalog_website[[#This Row],[Box CBM]]*35.3147)</f>
        <v>8.8569267600000011E-4</v>
      </c>
      <c r="BE46" t="s">
        <v>48</v>
      </c>
      <c r="BI4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46">
        <f>SUM(cna_product_database_catalog_website[[#This Row],[Carton CFT]]/61024)</f>
        <v>0</v>
      </c>
      <c r="BM46" t="s">
        <v>48</v>
      </c>
      <c r="BN46"/>
      <c r="BO46" t="s">
        <v>48</v>
      </c>
      <c r="BP46" t="s">
        <v>48</v>
      </c>
      <c r="BQ46" t="s">
        <v>48</v>
      </c>
      <c r="BS46" t="s">
        <v>48</v>
      </c>
      <c r="BT46" t="s">
        <v>48</v>
      </c>
      <c r="BU46" t="s">
        <v>48</v>
      </c>
      <c r="BW46" t="s">
        <v>48</v>
      </c>
      <c r="BX46" t="s">
        <v>48</v>
      </c>
      <c r="BY46" t="s">
        <v>48</v>
      </c>
      <c r="BZ46" t="s">
        <v>48</v>
      </c>
      <c r="CA46" t="s">
        <v>48</v>
      </c>
      <c r="CB46" t="s">
        <v>48</v>
      </c>
      <c r="CC46" t="s">
        <v>48</v>
      </c>
      <c r="CD46" t="s">
        <v>48</v>
      </c>
      <c r="CE46" t="s">
        <v>48</v>
      </c>
      <c r="CF46" t="s">
        <v>48</v>
      </c>
      <c r="CG46" t="s">
        <v>48</v>
      </c>
      <c r="CH46" t="s">
        <v>48</v>
      </c>
      <c r="CI46" t="s">
        <v>48</v>
      </c>
      <c r="CJ46" t="s">
        <v>48</v>
      </c>
    </row>
    <row r="47" spans="1:88" x14ac:dyDescent="0.25">
      <c r="A47" s="4" t="s">
        <v>2103</v>
      </c>
      <c r="B47" s="4" t="s">
        <v>2057</v>
      </c>
      <c r="C47" s="4" t="s">
        <v>1828</v>
      </c>
      <c r="D47" s="4" t="str">
        <f>cna_product_database_catalog_website[[#This Row],[MainCategory]]&amp;"&gt;"&amp;cna_product_database_catalog_website[[#This Row],[SubCategory1]]&amp;"&gt;"&amp;cna_product_database_catalog_website[[#This Row],[SubCategory2]]</f>
        <v xml:space="preserve">Bulbs&gt;Miniature&gt;G4 12V Bi-pin 30K </v>
      </c>
      <c r="E47">
        <v>151</v>
      </c>
      <c r="F47" t="s">
        <v>281</v>
      </c>
      <c r="G47" s="3">
        <v>929</v>
      </c>
      <c r="H47" s="8">
        <v>5.5</v>
      </c>
      <c r="I47" t="s">
        <v>281</v>
      </c>
      <c r="J47" t="s">
        <v>281</v>
      </c>
      <c r="K47" t="s">
        <v>1598</v>
      </c>
      <c r="L47" t="s">
        <v>1599</v>
      </c>
      <c r="M47" s="12" t="str">
        <f>HYPERLINK(cna_product_database_catalog_website[[#This Row],[Spec Sheet Link]], cna_product_database_catalog_website[[#Headers],[Spec Sheet Link]])</f>
        <v>Spec Sheet Link</v>
      </c>
      <c r="N47" t="s">
        <v>47</v>
      </c>
      <c r="O47" s="3">
        <v>1</v>
      </c>
      <c r="P47" s="3">
        <v>1</v>
      </c>
      <c r="Q47" t="s">
        <v>282</v>
      </c>
      <c r="R47" t="s">
        <v>283</v>
      </c>
      <c r="S47" t="s">
        <v>1600</v>
      </c>
      <c r="T47" t="s">
        <v>1601</v>
      </c>
      <c r="U47" t="s">
        <v>55</v>
      </c>
      <c r="V47" t="s">
        <v>284</v>
      </c>
      <c r="W47" t="s">
        <v>285</v>
      </c>
      <c r="X47" t="s">
        <v>78</v>
      </c>
      <c r="Y47" s="3" t="s">
        <v>48</v>
      </c>
      <c r="Z47" s="3" t="s">
        <v>1006</v>
      </c>
      <c r="AA47" s="3" t="s">
        <v>60</v>
      </c>
      <c r="AB47" s="1" t="s">
        <v>1008</v>
      </c>
      <c r="AC47" s="1" t="s">
        <v>101</v>
      </c>
      <c r="AD47" t="s">
        <v>450</v>
      </c>
      <c r="AE47"/>
      <c r="AF47" t="s">
        <v>48</v>
      </c>
      <c r="AG47" t="s">
        <v>1604</v>
      </c>
      <c r="AH47" t="s">
        <v>1605</v>
      </c>
      <c r="AI47" t="s">
        <v>1967</v>
      </c>
      <c r="AJ47" t="s">
        <v>1606</v>
      </c>
      <c r="AK47" t="s">
        <v>1607</v>
      </c>
      <c r="AL47" t="s">
        <v>1950</v>
      </c>
      <c r="AM47" t="s">
        <v>1602</v>
      </c>
      <c r="AN47" t="s">
        <v>1603</v>
      </c>
      <c r="AO47" t="s">
        <v>48</v>
      </c>
      <c r="AP47" t="s">
        <v>48</v>
      </c>
      <c r="AQ47" t="s">
        <v>48</v>
      </c>
      <c r="AR47">
        <v>3</v>
      </c>
      <c r="AS47">
        <v>6.0000000000000001E-3</v>
      </c>
      <c r="AV47" t="s">
        <v>286</v>
      </c>
      <c r="AW47" t="s">
        <v>1044</v>
      </c>
      <c r="AX47" s="2" t="s">
        <v>169</v>
      </c>
      <c r="AY47" s="2" t="s">
        <v>279</v>
      </c>
      <c r="AZ47">
        <v>1.6</v>
      </c>
      <c r="BA47">
        <v>1.5</v>
      </c>
      <c r="BB47">
        <v>4.5</v>
      </c>
      <c r="BC47">
        <f>SUM(cna_product_database_catalog_website[[#This Row],[Box Length (cm)]]*cna_product_database_catalog_website[[#This Row],[Box Width (cm)]]*cna_product_database_catalog_website[[#This Row],[Box Height (cm)]]/1000000)</f>
        <v>1.08E-5</v>
      </c>
      <c r="BD47">
        <f>SUM(cna_product_database_catalog_website[[#This Row],[Box CBM]]*35.3147)</f>
        <v>3.8139876000000002E-4</v>
      </c>
      <c r="BE47" t="s">
        <v>48</v>
      </c>
      <c r="BI4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47">
        <f>SUM(cna_product_database_catalog_website[[#This Row],[Carton CFT]]/61024)</f>
        <v>0</v>
      </c>
      <c r="BM47" t="s">
        <v>48</v>
      </c>
      <c r="BN47"/>
      <c r="BO47" t="s">
        <v>48</v>
      </c>
      <c r="BP47" t="s">
        <v>48</v>
      </c>
      <c r="BQ47" t="s">
        <v>48</v>
      </c>
      <c r="BS47" t="s">
        <v>48</v>
      </c>
      <c r="BT47" t="s">
        <v>48</v>
      </c>
      <c r="BU47" t="s">
        <v>48</v>
      </c>
      <c r="BW47" t="s">
        <v>48</v>
      </c>
      <c r="BX47" t="s">
        <v>48</v>
      </c>
      <c r="BY47" t="s">
        <v>48</v>
      </c>
      <c r="BZ47" t="s">
        <v>48</v>
      </c>
      <c r="CA47" t="s">
        <v>48</v>
      </c>
      <c r="CB47" t="s">
        <v>48</v>
      </c>
      <c r="CC47" t="s">
        <v>48</v>
      </c>
      <c r="CD47" t="s">
        <v>48</v>
      </c>
      <c r="CE47" t="s">
        <v>48</v>
      </c>
      <c r="CF47" t="s">
        <v>48</v>
      </c>
      <c r="CG47" t="s">
        <v>48</v>
      </c>
      <c r="CH47" t="s">
        <v>48</v>
      </c>
      <c r="CI47" t="s">
        <v>48</v>
      </c>
      <c r="CJ47" t="s">
        <v>48</v>
      </c>
    </row>
    <row r="48" spans="1:88" x14ac:dyDescent="0.25">
      <c r="A48" s="4" t="s">
        <v>2103</v>
      </c>
      <c r="B48" s="4" t="s">
        <v>2057</v>
      </c>
      <c r="C48" s="4" t="s">
        <v>1708</v>
      </c>
      <c r="D48" s="4" t="str">
        <f>cna_product_database_catalog_website[[#This Row],[MainCategory]]&amp;"&gt;"&amp;cna_product_database_catalog_website[[#This Row],[SubCategory1]]&amp;"&gt;"&amp;cna_product_database_catalog_website[[#This Row],[SubCategory2]]</f>
        <v>Bulbs&gt;Miniature&gt;G9 3W 3000K</v>
      </c>
      <c r="E48">
        <v>152</v>
      </c>
      <c r="F48" t="s">
        <v>287</v>
      </c>
      <c r="G48" s="3">
        <v>878</v>
      </c>
      <c r="H48" s="8">
        <v>2.5</v>
      </c>
      <c r="I48" t="s">
        <v>287</v>
      </c>
      <c r="J48" t="s">
        <v>287</v>
      </c>
      <c r="K48" t="s">
        <v>1112</v>
      </c>
      <c r="L48" t="s">
        <v>1111</v>
      </c>
      <c r="M48" s="12" t="str">
        <f>HYPERLINK(cna_product_database_catalog_website[[#This Row],[Spec Sheet Link]], cna_product_database_catalog_website[[#Headers],[Spec Sheet Link]])</f>
        <v>Spec Sheet Link</v>
      </c>
      <c r="N48" t="s">
        <v>47</v>
      </c>
      <c r="O48" s="3">
        <v>1</v>
      </c>
      <c r="P48" s="3">
        <v>1</v>
      </c>
      <c r="Q48" t="s">
        <v>273</v>
      </c>
      <c r="R48" t="s">
        <v>53</v>
      </c>
      <c r="S48" t="s">
        <v>194</v>
      </c>
      <c r="T48" t="s">
        <v>1054</v>
      </c>
      <c r="U48" t="s">
        <v>55</v>
      </c>
      <c r="V48" t="s">
        <v>1100</v>
      </c>
      <c r="W48" t="s">
        <v>288</v>
      </c>
      <c r="X48" t="s">
        <v>78</v>
      </c>
      <c r="Y48" s="3" t="s">
        <v>48</v>
      </c>
      <c r="Z48" s="3" t="s">
        <v>1006</v>
      </c>
      <c r="AA48" s="3" t="s">
        <v>60</v>
      </c>
      <c r="AB48" s="1" t="s">
        <v>1008</v>
      </c>
      <c r="AC48" s="1" t="s">
        <v>101</v>
      </c>
      <c r="AD48" t="s">
        <v>1485</v>
      </c>
      <c r="AE48"/>
      <c r="AF48" t="s">
        <v>48</v>
      </c>
      <c r="AL48" t="s">
        <v>1966</v>
      </c>
      <c r="AM48" t="s">
        <v>1114</v>
      </c>
      <c r="AN48" t="s">
        <v>225</v>
      </c>
      <c r="AO48" t="s">
        <v>1116</v>
      </c>
      <c r="AP48" t="s">
        <v>1117</v>
      </c>
      <c r="AQ48" t="s">
        <v>1965</v>
      </c>
      <c r="AR48">
        <v>11</v>
      </c>
      <c r="AS48">
        <v>2.4E-2</v>
      </c>
      <c r="AV48" t="s">
        <v>290</v>
      </c>
      <c r="AW48" t="s">
        <v>1044</v>
      </c>
      <c r="AX48" s="2" t="s">
        <v>169</v>
      </c>
      <c r="AY48" s="2" t="s">
        <v>279</v>
      </c>
      <c r="AZ48">
        <v>1.9</v>
      </c>
      <c r="BA48">
        <v>1.8</v>
      </c>
      <c r="BB48">
        <v>5.7</v>
      </c>
      <c r="BC48">
        <f>SUM(cna_product_database_catalog_website[[#This Row],[Box Length (cm)]]*cna_product_database_catalog_website[[#This Row],[Box Width (cm)]]*cna_product_database_catalog_website[[#This Row],[Box Height (cm)]]/1000000)</f>
        <v>1.9494E-5</v>
      </c>
      <c r="BD48">
        <f>SUM(cna_product_database_catalog_website[[#This Row],[Box CBM]]*35.3147)</f>
        <v>6.8842476180000002E-4</v>
      </c>
      <c r="BE48" t="s">
        <v>48</v>
      </c>
      <c r="BI4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48">
        <f>SUM(cna_product_database_catalog_website[[#This Row],[Carton CFT]]/61024)</f>
        <v>0</v>
      </c>
      <c r="BM48" t="s">
        <v>48</v>
      </c>
      <c r="BN48"/>
      <c r="BO48" t="s">
        <v>48</v>
      </c>
      <c r="BP48" t="s">
        <v>48</v>
      </c>
      <c r="BQ48" t="s">
        <v>48</v>
      </c>
      <c r="BS48" t="s">
        <v>48</v>
      </c>
      <c r="BT48" t="s">
        <v>48</v>
      </c>
      <c r="BU48" t="s">
        <v>48</v>
      </c>
      <c r="BW48" t="s">
        <v>48</v>
      </c>
      <c r="BX48" t="s">
        <v>48</v>
      </c>
      <c r="BY48" t="s">
        <v>48</v>
      </c>
      <c r="BZ48" t="s">
        <v>48</v>
      </c>
      <c r="CA48" t="s">
        <v>48</v>
      </c>
      <c r="CB48" t="s">
        <v>48</v>
      </c>
      <c r="CC48" t="s">
        <v>48</v>
      </c>
      <c r="CD48" t="s">
        <v>48</v>
      </c>
      <c r="CE48" t="s">
        <v>48</v>
      </c>
      <c r="CF48" t="s">
        <v>48</v>
      </c>
      <c r="CG48" t="s">
        <v>48</v>
      </c>
      <c r="CH48" t="s">
        <v>48</v>
      </c>
      <c r="CI48" t="s">
        <v>48</v>
      </c>
      <c r="CJ48" t="s">
        <v>48</v>
      </c>
    </row>
    <row r="49" spans="1:88" x14ac:dyDescent="0.25">
      <c r="A49" s="4" t="s">
        <v>2103</v>
      </c>
      <c r="B49" s="4" t="s">
        <v>2057</v>
      </c>
      <c r="C49" s="4" t="s">
        <v>1707</v>
      </c>
      <c r="D49" s="4" t="str">
        <f>cna_product_database_catalog_website[[#This Row],[MainCategory]]&amp;"&gt;"&amp;cna_product_database_catalog_website[[#This Row],[SubCategory1]]&amp;"&gt;"&amp;cna_product_database_catalog_website[[#This Row],[SubCategory2]]</f>
        <v>Bulbs&gt;Miniature&gt;G9 3W 4100K</v>
      </c>
      <c r="E49">
        <v>153</v>
      </c>
      <c r="F49" t="s">
        <v>291</v>
      </c>
      <c r="G49" s="3">
        <v>879</v>
      </c>
      <c r="H49" s="8">
        <v>2.5</v>
      </c>
      <c r="I49" t="s">
        <v>291</v>
      </c>
      <c r="J49" t="s">
        <v>291</v>
      </c>
      <c r="K49" t="s">
        <v>1113</v>
      </c>
      <c r="L49" t="s">
        <v>1111</v>
      </c>
      <c r="M49" s="12" t="str">
        <f>HYPERLINK(cna_product_database_catalog_website[[#This Row],[Spec Sheet Link]], cna_product_database_catalog_website[[#Headers],[Spec Sheet Link]])</f>
        <v>Spec Sheet Link</v>
      </c>
      <c r="N49" t="s">
        <v>47</v>
      </c>
      <c r="O49" s="3">
        <v>1</v>
      </c>
      <c r="P49" s="3">
        <v>1</v>
      </c>
      <c r="Q49" t="s">
        <v>273</v>
      </c>
      <c r="R49" t="s">
        <v>53</v>
      </c>
      <c r="S49" t="s">
        <v>194</v>
      </c>
      <c r="T49" t="s">
        <v>1054</v>
      </c>
      <c r="U49" t="s">
        <v>55</v>
      </c>
      <c r="V49" t="s">
        <v>1100</v>
      </c>
      <c r="W49" t="s">
        <v>288</v>
      </c>
      <c r="X49" t="s">
        <v>883</v>
      </c>
      <c r="Y49" s="3" t="s">
        <v>48</v>
      </c>
      <c r="Z49" s="3" t="s">
        <v>1006</v>
      </c>
      <c r="AA49" s="3" t="s">
        <v>60</v>
      </c>
      <c r="AB49" s="1" t="s">
        <v>1008</v>
      </c>
      <c r="AC49" s="1" t="s">
        <v>101</v>
      </c>
      <c r="AD49" t="s">
        <v>1485</v>
      </c>
      <c r="AE49"/>
      <c r="AF49" t="s">
        <v>48</v>
      </c>
      <c r="AL49" t="s">
        <v>107</v>
      </c>
      <c r="AM49" t="s">
        <v>1115</v>
      </c>
      <c r="AN49" t="s">
        <v>106</v>
      </c>
      <c r="AO49" t="s">
        <v>277</v>
      </c>
      <c r="AP49" t="s">
        <v>278</v>
      </c>
      <c r="AQ49" t="s">
        <v>289</v>
      </c>
      <c r="AR49">
        <v>19</v>
      </c>
      <c r="AS49">
        <v>4.1000000000000002E-2</v>
      </c>
      <c r="AV49" t="s">
        <v>290</v>
      </c>
      <c r="AW49" t="s">
        <v>1044</v>
      </c>
      <c r="AX49" s="2" t="s">
        <v>169</v>
      </c>
      <c r="AY49" s="2" t="s">
        <v>279</v>
      </c>
      <c r="AZ49">
        <v>2.1</v>
      </c>
      <c r="BA49">
        <v>2.1</v>
      </c>
      <c r="BB49">
        <v>5.7</v>
      </c>
      <c r="BC49">
        <f>SUM(cna_product_database_catalog_website[[#This Row],[Box Length (cm)]]*cna_product_database_catalog_website[[#This Row],[Box Width (cm)]]*cna_product_database_catalog_website[[#This Row],[Box Height (cm)]]/1000000)</f>
        <v>2.5137E-5</v>
      </c>
      <c r="BD49">
        <f>SUM(cna_product_database_catalog_website[[#This Row],[Box CBM]]*35.3147)</f>
        <v>8.8770561390000009E-4</v>
      </c>
      <c r="BE49" t="s">
        <v>48</v>
      </c>
      <c r="BI4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49">
        <f>SUM(cna_product_database_catalog_website[[#This Row],[Carton CFT]]/61024)</f>
        <v>0</v>
      </c>
      <c r="BM49" t="s">
        <v>48</v>
      </c>
      <c r="BN49"/>
      <c r="BO49" t="s">
        <v>48</v>
      </c>
      <c r="BP49" t="s">
        <v>48</v>
      </c>
      <c r="BQ49" t="s">
        <v>48</v>
      </c>
      <c r="BS49" t="s">
        <v>48</v>
      </c>
      <c r="BT49" t="s">
        <v>48</v>
      </c>
      <c r="BU49" t="s">
        <v>48</v>
      </c>
      <c r="BW49" t="s">
        <v>48</v>
      </c>
      <c r="BX49" t="s">
        <v>48</v>
      </c>
      <c r="BY49" t="s">
        <v>48</v>
      </c>
      <c r="BZ49" t="s">
        <v>48</v>
      </c>
      <c r="CA49" t="s">
        <v>48</v>
      </c>
      <c r="CB49" t="s">
        <v>48</v>
      </c>
      <c r="CC49" t="s">
        <v>48</v>
      </c>
      <c r="CD49" t="s">
        <v>48</v>
      </c>
      <c r="CE49" t="s">
        <v>48</v>
      </c>
      <c r="CF49" t="s">
        <v>48</v>
      </c>
      <c r="CG49" t="s">
        <v>48</v>
      </c>
      <c r="CH49" t="s">
        <v>48</v>
      </c>
      <c r="CI49" t="s">
        <v>48</v>
      </c>
      <c r="CJ49" t="s">
        <v>48</v>
      </c>
    </row>
    <row r="50" spans="1:88" x14ac:dyDescent="0.25">
      <c r="A50" s="4" t="s">
        <v>2103</v>
      </c>
      <c r="B50" s="4" t="s">
        <v>2057</v>
      </c>
      <c r="C50" s="4" t="s">
        <v>1709</v>
      </c>
      <c r="D50" s="4" t="str">
        <f>cna_product_database_catalog_website[[#This Row],[MainCategory]]&amp;"&gt;"&amp;cna_product_database_catalog_website[[#This Row],[SubCategory1]]&amp;"&gt;"&amp;cna_product_database_catalog_website[[#This Row],[SubCategory2]]</f>
        <v>Bulbs&gt;Miniature&gt;G9 3W 5000K</v>
      </c>
      <c r="E50">
        <v>154</v>
      </c>
      <c r="F50" t="s">
        <v>1101</v>
      </c>
      <c r="G50" s="3">
        <v>1080</v>
      </c>
      <c r="H50" s="8">
        <v>2.5</v>
      </c>
      <c r="I50" t="s">
        <v>1101</v>
      </c>
      <c r="J50" t="s">
        <v>1101</v>
      </c>
      <c r="K50" t="s">
        <v>1113</v>
      </c>
      <c r="L50" t="s">
        <v>1111</v>
      </c>
      <c r="M50" s="12" t="str">
        <f>HYPERLINK(cna_product_database_catalog_website[[#This Row],[Spec Sheet Link]], cna_product_database_catalog_website[[#Headers],[Spec Sheet Link]])</f>
        <v>Spec Sheet Link</v>
      </c>
      <c r="N50" t="s">
        <v>47</v>
      </c>
      <c r="O50" s="3">
        <v>1</v>
      </c>
      <c r="P50" s="3">
        <v>1</v>
      </c>
      <c r="Q50" t="s">
        <v>273</v>
      </c>
      <c r="R50" t="s">
        <v>53</v>
      </c>
      <c r="S50" t="s">
        <v>194</v>
      </c>
      <c r="T50" t="s">
        <v>1054</v>
      </c>
      <c r="U50" t="s">
        <v>55</v>
      </c>
      <c r="V50" t="s">
        <v>1100</v>
      </c>
      <c r="W50" t="s">
        <v>288</v>
      </c>
      <c r="X50" t="s">
        <v>803</v>
      </c>
      <c r="Y50" s="3" t="s">
        <v>48</v>
      </c>
      <c r="Z50" s="3" t="s">
        <v>1006</v>
      </c>
      <c r="AA50" s="3" t="s">
        <v>60</v>
      </c>
      <c r="AB50" s="1" t="s">
        <v>1008</v>
      </c>
      <c r="AC50" s="1" t="s">
        <v>101</v>
      </c>
      <c r="AD50" t="s">
        <v>1485</v>
      </c>
      <c r="AE50"/>
      <c r="AF50" t="s">
        <v>48</v>
      </c>
      <c r="AL50" t="s">
        <v>107</v>
      </c>
      <c r="AM50" t="s">
        <v>1115</v>
      </c>
      <c r="AN50" t="s">
        <v>106</v>
      </c>
      <c r="AO50" t="s">
        <v>277</v>
      </c>
      <c r="AP50" t="s">
        <v>278</v>
      </c>
      <c r="AQ50" t="s">
        <v>289</v>
      </c>
      <c r="AR50">
        <v>19</v>
      </c>
      <c r="AS50">
        <v>4.1000000000000002E-2</v>
      </c>
      <c r="AV50" t="s">
        <v>290</v>
      </c>
      <c r="AW50" t="s">
        <v>1044</v>
      </c>
      <c r="AX50" s="2" t="s">
        <v>169</v>
      </c>
      <c r="AY50" s="2" t="s">
        <v>279</v>
      </c>
      <c r="AZ50">
        <v>2.1</v>
      </c>
      <c r="BA50">
        <v>2.1</v>
      </c>
      <c r="BB50">
        <v>5.7</v>
      </c>
      <c r="BC50">
        <f>SUM(cna_product_database_catalog_website[[#This Row],[Box Length (cm)]]*cna_product_database_catalog_website[[#This Row],[Box Width (cm)]]*cna_product_database_catalog_website[[#This Row],[Box Height (cm)]]/1000000)</f>
        <v>2.5137E-5</v>
      </c>
      <c r="BD50">
        <f>SUM(cna_product_database_catalog_website[[#This Row],[Box CBM]]*35.3147)</f>
        <v>8.8770561390000009E-4</v>
      </c>
      <c r="BE50" t="s">
        <v>48</v>
      </c>
      <c r="BI5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50">
        <f>SUM(cna_product_database_catalog_website[[#This Row],[Carton CFT]]/61024)</f>
        <v>0</v>
      </c>
      <c r="BM50" t="s">
        <v>48</v>
      </c>
      <c r="BN50"/>
      <c r="BO50" t="s">
        <v>48</v>
      </c>
      <c r="BP50" t="s">
        <v>48</v>
      </c>
      <c r="BQ50" t="s">
        <v>48</v>
      </c>
      <c r="BS50" t="s">
        <v>48</v>
      </c>
      <c r="BT50" t="s">
        <v>48</v>
      </c>
      <c r="BU50" t="s">
        <v>48</v>
      </c>
      <c r="BW50" t="s">
        <v>48</v>
      </c>
      <c r="BX50" t="s">
        <v>48</v>
      </c>
      <c r="BY50" t="s">
        <v>48</v>
      </c>
      <c r="BZ50" t="s">
        <v>48</v>
      </c>
      <c r="CA50" t="s">
        <v>48</v>
      </c>
      <c r="CB50" t="s">
        <v>48</v>
      </c>
      <c r="CC50" t="s">
        <v>48</v>
      </c>
      <c r="CD50" t="s">
        <v>48</v>
      </c>
      <c r="CE50" t="s">
        <v>48</v>
      </c>
      <c r="CF50" t="s">
        <v>48</v>
      </c>
      <c r="CG50" t="s">
        <v>48</v>
      </c>
      <c r="CH50" t="s">
        <v>48</v>
      </c>
      <c r="CI50" t="s">
        <v>48</v>
      </c>
      <c r="CJ50" t="s">
        <v>48</v>
      </c>
    </row>
    <row r="51" spans="1:88" s="4" customFormat="1" x14ac:dyDescent="0.25">
      <c r="A51" s="4" t="s">
        <v>2103</v>
      </c>
      <c r="B51" s="4" t="s">
        <v>2057</v>
      </c>
      <c r="C51" s="4" t="s">
        <v>1710</v>
      </c>
      <c r="D51" s="4" t="str">
        <f>cna_product_database_catalog_website[[#This Row],[MainCategory]]&amp;"&gt;"&amp;cna_product_database_catalog_website[[#This Row],[SubCategory1]]&amp;"&gt;"&amp;cna_product_database_catalog_website[[#This Row],[SubCategory2]]</f>
        <v>Bulbs&gt;Miniature&gt;G9 4.5W 3000K</v>
      </c>
      <c r="E51" s="4">
        <v>160</v>
      </c>
      <c r="F51" s="4" t="s">
        <v>1879</v>
      </c>
      <c r="G51" s="5">
        <v>1179</v>
      </c>
      <c r="H51" s="9">
        <v>2.8</v>
      </c>
      <c r="I51" s="4" t="s">
        <v>1879</v>
      </c>
      <c r="J51" s="4" t="s">
        <v>1476</v>
      </c>
      <c r="K51" s="4" t="s">
        <v>292</v>
      </c>
      <c r="L51" s="4" t="s">
        <v>293</v>
      </c>
      <c r="M51" s="12" t="str">
        <f>HYPERLINK(cna_product_database_catalog_website[[#This Row],[Spec Sheet Link]], cna_product_database_catalog_website[[#Headers],[Spec Sheet Link]])</f>
        <v>Spec Sheet Link</v>
      </c>
      <c r="N51" s="4" t="s">
        <v>47</v>
      </c>
      <c r="O51" s="5">
        <v>1</v>
      </c>
      <c r="P51" s="5">
        <v>1</v>
      </c>
      <c r="Q51" s="4" t="s">
        <v>99</v>
      </c>
      <c r="R51" s="4" t="s">
        <v>53</v>
      </c>
      <c r="S51" s="4" t="s">
        <v>100</v>
      </c>
      <c r="T51" s="4" t="s">
        <v>1054</v>
      </c>
      <c r="U51" s="4" t="s">
        <v>55</v>
      </c>
      <c r="V51" s="4" t="s">
        <v>1102</v>
      </c>
      <c r="W51" s="4" t="s">
        <v>288</v>
      </c>
      <c r="X51" s="4" t="s">
        <v>78</v>
      </c>
      <c r="Y51" s="5" t="s">
        <v>48</v>
      </c>
      <c r="Z51" s="5" t="s">
        <v>1006</v>
      </c>
      <c r="AA51" s="5" t="s">
        <v>60</v>
      </c>
      <c r="AB51" s="6" t="s">
        <v>1008</v>
      </c>
      <c r="AC51" s="1" t="s">
        <v>101</v>
      </c>
      <c r="AD51" s="4" t="s">
        <v>450</v>
      </c>
      <c r="AF51" s="4" t="s">
        <v>48</v>
      </c>
      <c r="AL51" s="4" t="s">
        <v>296</v>
      </c>
      <c r="AM51" t="s">
        <v>1115</v>
      </c>
      <c r="AN51" t="s">
        <v>106</v>
      </c>
      <c r="AO51" s="4" t="s">
        <v>297</v>
      </c>
      <c r="AP51" s="4" t="s">
        <v>298</v>
      </c>
      <c r="AQ51" s="4" t="s">
        <v>299</v>
      </c>
      <c r="AR51" s="4">
        <v>14</v>
      </c>
      <c r="AS51" s="4">
        <v>0.03</v>
      </c>
      <c r="AV51" s="4" t="s">
        <v>290</v>
      </c>
      <c r="AW51" t="s">
        <v>1044</v>
      </c>
      <c r="AX51" s="7">
        <v>100</v>
      </c>
      <c r="AY51" s="7">
        <v>100</v>
      </c>
      <c r="AZ51" s="4">
        <v>1.9</v>
      </c>
      <c r="BA51" s="4">
        <v>1.9</v>
      </c>
      <c r="BB51" s="4">
        <v>5.8</v>
      </c>
      <c r="BC51" s="4">
        <f>SUM(cna_product_database_catalog_website[[#This Row],[Box Length (cm)]]*cna_product_database_catalog_website[[#This Row],[Box Width (cm)]]*cna_product_database_catalog_website[[#This Row],[Box Height (cm)]]/1000000)</f>
        <v>2.0937999999999998E-5</v>
      </c>
      <c r="BD51" s="4">
        <f>SUM(cna_product_database_catalog_website[[#This Row],[Box CBM]]*35.3147)</f>
        <v>7.3941918859999993E-4</v>
      </c>
      <c r="BE51" s="4" t="s">
        <v>48</v>
      </c>
      <c r="BI51" s="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51" s="4">
        <f>SUM(cna_product_database_catalog_website[[#This Row],[Carton CFT]]/61024)</f>
        <v>0</v>
      </c>
      <c r="BM51" s="4" t="s">
        <v>48</v>
      </c>
      <c r="BO51" s="4" t="s">
        <v>48</v>
      </c>
      <c r="BP51" s="4" t="s">
        <v>48</v>
      </c>
      <c r="BQ51" s="4" t="s">
        <v>48</v>
      </c>
      <c r="BS51" s="4" t="s">
        <v>48</v>
      </c>
      <c r="BT51" s="4" t="s">
        <v>48</v>
      </c>
      <c r="BU51" s="4" t="s">
        <v>48</v>
      </c>
      <c r="BW51" s="4" t="s">
        <v>48</v>
      </c>
      <c r="BX51" s="4" t="s">
        <v>48</v>
      </c>
      <c r="BY51" s="4" t="s">
        <v>48</v>
      </c>
      <c r="BZ51" s="4" t="s">
        <v>48</v>
      </c>
      <c r="CA51" s="4" t="s">
        <v>48</v>
      </c>
      <c r="CB51" s="4" t="s">
        <v>48</v>
      </c>
      <c r="CC51" s="4" t="s">
        <v>48</v>
      </c>
      <c r="CD51" s="4" t="s">
        <v>48</v>
      </c>
      <c r="CE51" s="4" t="s">
        <v>48</v>
      </c>
      <c r="CF51" s="4" t="s">
        <v>48</v>
      </c>
      <c r="CG51" s="4" t="s">
        <v>48</v>
      </c>
      <c r="CH51" s="4" t="s">
        <v>48</v>
      </c>
      <c r="CI51" s="4" t="s">
        <v>48</v>
      </c>
      <c r="CJ51" s="4" t="s">
        <v>48</v>
      </c>
    </row>
    <row r="52" spans="1:88" s="4" customFormat="1" x14ac:dyDescent="0.25">
      <c r="A52" s="4" t="s">
        <v>2103</v>
      </c>
      <c r="B52" s="4" t="s">
        <v>2057</v>
      </c>
      <c r="C52" s="4" t="s">
        <v>1711</v>
      </c>
      <c r="D52" s="4" t="str">
        <f>cna_product_database_catalog_website[[#This Row],[MainCategory]]&amp;"&gt;"&amp;cna_product_database_catalog_website[[#This Row],[SubCategory1]]&amp;"&gt;"&amp;cna_product_database_catalog_website[[#This Row],[SubCategory2]]</f>
        <v>Bulbs&gt;Miniature&gt;G9 4.5W 4000K</v>
      </c>
      <c r="E52" s="4">
        <v>161</v>
      </c>
      <c r="F52" s="4" t="s">
        <v>1880</v>
      </c>
      <c r="G52" s="5">
        <v>1180</v>
      </c>
      <c r="H52" s="9">
        <v>2.8</v>
      </c>
      <c r="I52" s="4" t="s">
        <v>1880</v>
      </c>
      <c r="J52" s="4" t="s">
        <v>1477</v>
      </c>
      <c r="K52" s="4" t="s">
        <v>292</v>
      </c>
      <c r="L52" s="4" t="s">
        <v>293</v>
      </c>
      <c r="M52" s="12" t="str">
        <f>HYPERLINK(cna_product_database_catalog_website[[#This Row],[Spec Sheet Link]], cna_product_database_catalog_website[[#Headers],[Spec Sheet Link]])</f>
        <v>Spec Sheet Link</v>
      </c>
      <c r="N52" s="4" t="s">
        <v>47</v>
      </c>
      <c r="O52" s="5">
        <v>1</v>
      </c>
      <c r="P52" s="5">
        <v>1</v>
      </c>
      <c r="Q52" s="4" t="s">
        <v>99</v>
      </c>
      <c r="R52" s="4" t="s">
        <v>53</v>
      </c>
      <c r="S52" s="4" t="s">
        <v>100</v>
      </c>
      <c r="T52" s="4" t="s">
        <v>1054</v>
      </c>
      <c r="U52" s="4" t="s">
        <v>55</v>
      </c>
      <c r="V52" s="4" t="s">
        <v>1102</v>
      </c>
      <c r="W52" s="4" t="s">
        <v>288</v>
      </c>
      <c r="X52" s="4" t="s">
        <v>58</v>
      </c>
      <c r="Y52" s="5" t="s">
        <v>48</v>
      </c>
      <c r="Z52" s="5" t="s">
        <v>1006</v>
      </c>
      <c r="AA52" s="5" t="s">
        <v>60</v>
      </c>
      <c r="AB52" s="6" t="s">
        <v>1008</v>
      </c>
      <c r="AC52" s="1" t="s">
        <v>101</v>
      </c>
      <c r="AD52" s="4" t="s">
        <v>450</v>
      </c>
      <c r="AF52" s="4" t="s">
        <v>48</v>
      </c>
      <c r="AL52" s="4" t="s">
        <v>296</v>
      </c>
      <c r="AM52" s="4" t="s">
        <v>294</v>
      </c>
      <c r="AN52" s="4" t="s">
        <v>295</v>
      </c>
      <c r="AO52" s="4" t="s">
        <v>297</v>
      </c>
      <c r="AP52" s="4" t="s">
        <v>298</v>
      </c>
      <c r="AQ52" s="4" t="s">
        <v>299</v>
      </c>
      <c r="AR52" s="4">
        <v>14</v>
      </c>
      <c r="AS52" s="4">
        <v>0.03</v>
      </c>
      <c r="AV52" s="4" t="s">
        <v>290</v>
      </c>
      <c r="AW52" t="s">
        <v>1044</v>
      </c>
      <c r="AX52" s="7">
        <v>100</v>
      </c>
      <c r="AY52" s="7">
        <v>100</v>
      </c>
      <c r="AZ52" s="4">
        <v>1.9</v>
      </c>
      <c r="BA52" s="4">
        <v>1.9</v>
      </c>
      <c r="BB52" s="4">
        <v>5.8</v>
      </c>
      <c r="BC52" s="4">
        <f>SUM(cna_product_database_catalog_website[[#This Row],[Box Length (cm)]]*cna_product_database_catalog_website[[#This Row],[Box Width (cm)]]*cna_product_database_catalog_website[[#This Row],[Box Height (cm)]]/1000000)</f>
        <v>2.0937999999999998E-5</v>
      </c>
      <c r="BD52" s="4">
        <f>SUM(cna_product_database_catalog_website[[#This Row],[Box CBM]]*35.3147)</f>
        <v>7.3941918859999993E-4</v>
      </c>
      <c r="BE52" s="4" t="s">
        <v>48</v>
      </c>
      <c r="BI52" s="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52" s="4">
        <f>SUM(cna_product_database_catalog_website[[#This Row],[Carton CFT]]/61024)</f>
        <v>0</v>
      </c>
      <c r="BM52" s="4" t="s">
        <v>48</v>
      </c>
      <c r="BO52" s="4" t="s">
        <v>48</v>
      </c>
      <c r="BP52" s="4" t="s">
        <v>48</v>
      </c>
      <c r="BQ52" s="4" t="s">
        <v>48</v>
      </c>
      <c r="BS52" s="4" t="s">
        <v>48</v>
      </c>
      <c r="BT52" s="4" t="s">
        <v>48</v>
      </c>
      <c r="BU52" s="4" t="s">
        <v>48</v>
      </c>
      <c r="BW52" s="4" t="s">
        <v>48</v>
      </c>
      <c r="BX52" s="4" t="s">
        <v>48</v>
      </c>
      <c r="BY52" s="4" t="s">
        <v>48</v>
      </c>
      <c r="BZ52" s="4" t="s">
        <v>48</v>
      </c>
      <c r="CA52" s="4" t="s">
        <v>48</v>
      </c>
      <c r="CB52" s="4" t="s">
        <v>48</v>
      </c>
      <c r="CC52" s="4" t="s">
        <v>48</v>
      </c>
      <c r="CD52" s="4" t="s">
        <v>48</v>
      </c>
      <c r="CE52" s="4" t="s">
        <v>48</v>
      </c>
      <c r="CF52" s="4" t="s">
        <v>48</v>
      </c>
      <c r="CG52" s="4" t="s">
        <v>48</v>
      </c>
      <c r="CH52" s="4" t="s">
        <v>48</v>
      </c>
      <c r="CI52" s="4" t="s">
        <v>48</v>
      </c>
      <c r="CJ52" s="4" t="s">
        <v>48</v>
      </c>
    </row>
    <row r="53" spans="1:88" s="4" customFormat="1" x14ac:dyDescent="0.25">
      <c r="A53" s="4" t="s">
        <v>2103</v>
      </c>
      <c r="B53" s="4" t="s">
        <v>2050</v>
      </c>
      <c r="C53" s="4" t="s">
        <v>1829</v>
      </c>
      <c r="D53" s="4" t="str">
        <f>cna_product_database_catalog_website[[#This Row],[MainCategory]]&amp;"&gt;"&amp;cna_product_database_catalog_website[[#This Row],[SubCategory1]]&amp;"&gt;"&amp;cna_product_database_catalog_website[[#This Row],[SubCategory2]]</f>
        <v>Bulbs&gt;J-Type Linear&gt;78mm J-Type Small 30K</v>
      </c>
      <c r="E53" s="4">
        <v>170</v>
      </c>
      <c r="F53" s="4" t="s">
        <v>1481</v>
      </c>
      <c r="G53" s="5">
        <v>1130</v>
      </c>
      <c r="H53" s="9">
        <v>4.5</v>
      </c>
      <c r="I53" s="4" t="s">
        <v>1481</v>
      </c>
      <c r="J53" s="4" t="s">
        <v>1481</v>
      </c>
      <c r="K53" s="4" t="s">
        <v>1482</v>
      </c>
      <c r="L53" s="4" t="s">
        <v>1483</v>
      </c>
      <c r="M53" s="12" t="str">
        <f>HYPERLINK(cna_product_database_catalog_website[[#This Row],[Spec Sheet Link]], cna_product_database_catalog_website[[#Headers],[Spec Sheet Link]])</f>
        <v>Spec Sheet Link</v>
      </c>
      <c r="N53" s="4" t="s">
        <v>47</v>
      </c>
      <c r="O53" s="5">
        <v>1</v>
      </c>
      <c r="P53" s="5">
        <v>1</v>
      </c>
      <c r="Q53" s="4" t="s">
        <v>351</v>
      </c>
      <c r="R53" s="4" t="s">
        <v>53</v>
      </c>
      <c r="S53" s="4" t="s">
        <v>209</v>
      </c>
      <c r="T53" s="4" t="s">
        <v>1484</v>
      </c>
      <c r="U53" s="4" t="s">
        <v>55</v>
      </c>
      <c r="V53" s="4" t="s">
        <v>1103</v>
      </c>
      <c r="W53" s="4" t="s">
        <v>305</v>
      </c>
      <c r="X53" s="4" t="s">
        <v>78</v>
      </c>
      <c r="Y53" s="5" t="s">
        <v>48</v>
      </c>
      <c r="Z53" s="5" t="s">
        <v>1006</v>
      </c>
      <c r="AA53" s="5" t="s">
        <v>60</v>
      </c>
      <c r="AB53" s="6" t="s">
        <v>1008</v>
      </c>
      <c r="AC53" s="1" t="s">
        <v>240</v>
      </c>
      <c r="AD53" s="4" t="s">
        <v>450</v>
      </c>
      <c r="AF53" s="4" t="s">
        <v>48</v>
      </c>
      <c r="AL53" s="4" t="s">
        <v>142</v>
      </c>
      <c r="AM53" s="4" t="s">
        <v>294</v>
      </c>
      <c r="AN53" s="4" t="s">
        <v>295</v>
      </c>
      <c r="AO53" s="4" t="s">
        <v>1486</v>
      </c>
      <c r="AP53" s="4" t="s">
        <v>1487</v>
      </c>
      <c r="AQ53" s="4" t="s">
        <v>1488</v>
      </c>
      <c r="AR53" s="4">
        <v>35</v>
      </c>
      <c r="AS53" s="4">
        <v>7.6999999999999999E-2</v>
      </c>
      <c r="AV53" s="4" t="s">
        <v>309</v>
      </c>
      <c r="AW53" t="s">
        <v>1044</v>
      </c>
      <c r="AX53" s="7">
        <v>50</v>
      </c>
      <c r="AY53" s="7">
        <v>200</v>
      </c>
      <c r="AZ53" s="4">
        <v>2.2999999999999998</v>
      </c>
      <c r="BA53" s="4">
        <v>2.2000000000000002</v>
      </c>
      <c r="BB53" s="4">
        <v>8.1999999999999993</v>
      </c>
      <c r="BC53" s="4">
        <f>SUM(cna_product_database_catalog_website[[#This Row],[Box Length (cm)]]*cna_product_database_catalog_website[[#This Row],[Box Width (cm)]]*cna_product_database_catalog_website[[#This Row],[Box Height (cm)]]/1000000)</f>
        <v>4.1491999999999988E-5</v>
      </c>
      <c r="BD53" s="4">
        <f>SUM(cna_product_database_catalog_website[[#This Row],[Box CBM]]*35.3147)</f>
        <v>1.4652775323999996E-3</v>
      </c>
      <c r="BE53" s="4" t="s">
        <v>48</v>
      </c>
      <c r="BI53" s="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53" s="4">
        <f>SUM(cna_product_database_catalog_website[[#This Row],[Carton CFT]]/61024)</f>
        <v>0</v>
      </c>
      <c r="BM53" s="4" t="s">
        <v>48</v>
      </c>
      <c r="BN53" s="4" t="s">
        <v>60</v>
      </c>
      <c r="BO53" s="4" t="s">
        <v>48</v>
      </c>
      <c r="BP53" s="4" t="s">
        <v>48</v>
      </c>
      <c r="BQ53" s="4" t="s">
        <v>48</v>
      </c>
      <c r="BS53" s="4" t="s">
        <v>48</v>
      </c>
      <c r="BT53" s="4" t="s">
        <v>48</v>
      </c>
      <c r="BU53" s="4" t="s">
        <v>48</v>
      </c>
      <c r="BW53" s="4" t="s">
        <v>48</v>
      </c>
      <c r="BX53" s="4" t="s">
        <v>48</v>
      </c>
      <c r="BY53" s="4" t="s">
        <v>48</v>
      </c>
      <c r="BZ53" s="4" t="s">
        <v>48</v>
      </c>
      <c r="CA53" s="4" t="s">
        <v>48</v>
      </c>
      <c r="CB53" s="4" t="s">
        <v>48</v>
      </c>
      <c r="CC53" s="4" t="s">
        <v>48</v>
      </c>
      <c r="CD53" s="4" t="s">
        <v>48</v>
      </c>
      <c r="CE53" s="4" t="s">
        <v>48</v>
      </c>
      <c r="CF53" s="4" t="s">
        <v>48</v>
      </c>
      <c r="CG53" s="4" t="s">
        <v>48</v>
      </c>
      <c r="CH53" s="4" t="s">
        <v>48</v>
      </c>
      <c r="CI53" s="4" t="s">
        <v>48</v>
      </c>
      <c r="CJ53" s="4" t="s">
        <v>48</v>
      </c>
    </row>
    <row r="54" spans="1:88" x14ac:dyDescent="0.25">
      <c r="A54" s="4" t="s">
        <v>2103</v>
      </c>
      <c r="B54" s="4" t="s">
        <v>2050</v>
      </c>
      <c r="C54" s="4" t="s">
        <v>1830</v>
      </c>
      <c r="D54" s="4" t="str">
        <f>cna_product_database_catalog_website[[#This Row],[MainCategory]]&amp;"&gt;"&amp;cna_product_database_catalog_website[[#This Row],[SubCategory1]]&amp;"&gt;"&amp;cna_product_database_catalog_website[[#This Row],[SubCategory2]]</f>
        <v>Bulbs&gt;J-Type Linear&gt;78mm J-Type Small 40K</v>
      </c>
      <c r="E54">
        <v>171</v>
      </c>
      <c r="F54" t="s">
        <v>1480</v>
      </c>
      <c r="G54" s="3">
        <v>1131</v>
      </c>
      <c r="H54" s="8">
        <v>4.5</v>
      </c>
      <c r="I54" t="s">
        <v>1480</v>
      </c>
      <c r="J54" t="s">
        <v>1480</v>
      </c>
      <c r="K54" t="s">
        <v>302</v>
      </c>
      <c r="L54" t="s">
        <v>303</v>
      </c>
      <c r="M54" s="12" t="str">
        <f>HYPERLINK(cna_product_database_catalog_website[[#This Row],[Spec Sheet Link]], cna_product_database_catalog_website[[#Headers],[Spec Sheet Link]])</f>
        <v>Spec Sheet Link</v>
      </c>
      <c r="N54" t="s">
        <v>47</v>
      </c>
      <c r="O54" s="3">
        <v>1</v>
      </c>
      <c r="P54" s="3">
        <v>1</v>
      </c>
      <c r="Q54" t="s">
        <v>220</v>
      </c>
      <c r="R54" t="s">
        <v>53</v>
      </c>
      <c r="S54" t="s">
        <v>304</v>
      </c>
      <c r="T54" t="s">
        <v>1054</v>
      </c>
      <c r="U54" t="s">
        <v>55</v>
      </c>
      <c r="V54" t="s">
        <v>1103</v>
      </c>
      <c r="W54" t="s">
        <v>305</v>
      </c>
      <c r="X54" t="s">
        <v>58</v>
      </c>
      <c r="Y54" s="3" t="s">
        <v>48</v>
      </c>
      <c r="Z54" s="3" t="s">
        <v>1006</v>
      </c>
      <c r="AA54" s="3" t="s">
        <v>60</v>
      </c>
      <c r="AB54" s="1" t="s">
        <v>1008</v>
      </c>
      <c r="AC54" s="1" t="s">
        <v>240</v>
      </c>
      <c r="AD54" t="s">
        <v>1485</v>
      </c>
      <c r="AE54"/>
      <c r="AF54" t="s">
        <v>48</v>
      </c>
      <c r="AL54" t="s">
        <v>142</v>
      </c>
      <c r="AM54" s="4" t="s">
        <v>306</v>
      </c>
      <c r="AN54" s="4" t="s">
        <v>141</v>
      </c>
      <c r="AO54" t="s">
        <v>311</v>
      </c>
      <c r="AP54" t="s">
        <v>307</v>
      </c>
      <c r="AQ54" t="s">
        <v>308</v>
      </c>
      <c r="AR54">
        <v>42</v>
      </c>
      <c r="AS54">
        <v>0.09</v>
      </c>
      <c r="AV54" t="s">
        <v>309</v>
      </c>
      <c r="AW54" t="s">
        <v>1044</v>
      </c>
      <c r="AX54" s="2">
        <v>50</v>
      </c>
      <c r="AY54" s="2">
        <v>200</v>
      </c>
      <c r="AZ54">
        <v>2.5</v>
      </c>
      <c r="BA54">
        <v>2.5</v>
      </c>
      <c r="BB54">
        <v>8.1</v>
      </c>
      <c r="BC54">
        <f>SUM(cna_product_database_catalog_website[[#This Row],[Box Length (cm)]]*cna_product_database_catalog_website[[#This Row],[Box Width (cm)]]*cna_product_database_catalog_website[[#This Row],[Box Height (cm)]]/1000000)</f>
        <v>5.0624999999999997E-5</v>
      </c>
      <c r="BD54">
        <f>SUM(cna_product_database_catalog_website[[#This Row],[Box CBM]]*35.3147)</f>
        <v>1.7878066874999999E-3</v>
      </c>
      <c r="BE54" t="s">
        <v>48</v>
      </c>
      <c r="BI5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54">
        <f>SUM(cna_product_database_catalog_website[[#This Row],[Carton CFT]]/61024)</f>
        <v>0</v>
      </c>
      <c r="BM54" t="s">
        <v>48</v>
      </c>
      <c r="BN54" s="4" t="s">
        <v>310</v>
      </c>
      <c r="BO54" t="s">
        <v>48</v>
      </c>
      <c r="BP54" t="s">
        <v>48</v>
      </c>
      <c r="BQ54" t="s">
        <v>48</v>
      </c>
      <c r="BS54" t="s">
        <v>48</v>
      </c>
      <c r="BT54" t="s">
        <v>48</v>
      </c>
      <c r="BU54" t="s">
        <v>48</v>
      </c>
      <c r="BW54" t="s">
        <v>48</v>
      </c>
      <c r="BX54" t="s">
        <v>48</v>
      </c>
      <c r="BY54" t="s">
        <v>48</v>
      </c>
      <c r="BZ54" t="s">
        <v>48</v>
      </c>
      <c r="CA54" t="s">
        <v>48</v>
      </c>
      <c r="CB54" t="s">
        <v>48</v>
      </c>
      <c r="CC54" t="s">
        <v>48</v>
      </c>
      <c r="CD54" t="s">
        <v>48</v>
      </c>
      <c r="CE54" t="s">
        <v>48</v>
      </c>
      <c r="CF54" t="s">
        <v>48</v>
      </c>
      <c r="CG54" t="s">
        <v>48</v>
      </c>
      <c r="CH54" t="s">
        <v>48</v>
      </c>
      <c r="CI54" t="s">
        <v>48</v>
      </c>
      <c r="CJ54" t="s">
        <v>48</v>
      </c>
    </row>
    <row r="55" spans="1:88" x14ac:dyDescent="0.25">
      <c r="A55" s="4" t="s">
        <v>2103</v>
      </c>
      <c r="B55" s="4" t="s">
        <v>2050</v>
      </c>
      <c r="C55" s="4" t="s">
        <v>1831</v>
      </c>
      <c r="D55" s="4" t="str">
        <f>cna_product_database_catalog_website[[#This Row],[MainCategory]]&amp;"&gt;"&amp;cna_product_database_catalog_website[[#This Row],[SubCategory1]]&amp;"&gt;"&amp;cna_product_database_catalog_website[[#This Row],[SubCategory2]]</f>
        <v>Bulbs&gt;J-Type Linear&gt;78mm J-Type 30K</v>
      </c>
      <c r="E55">
        <v>175</v>
      </c>
      <c r="F55" t="s">
        <v>312</v>
      </c>
      <c r="G55" s="3">
        <v>956</v>
      </c>
      <c r="H55" s="8">
        <v>7.5</v>
      </c>
      <c r="I55" t="s">
        <v>312</v>
      </c>
      <c r="J55" t="s">
        <v>312</v>
      </c>
      <c r="K55" t="s">
        <v>313</v>
      </c>
      <c r="L55" t="s">
        <v>314</v>
      </c>
      <c r="M55" s="12" t="str">
        <f>HYPERLINK(cna_product_database_catalog_website[[#This Row],[Spec Sheet Link]], cna_product_database_catalog_website[[#Headers],[Spec Sheet Link]])</f>
        <v>Spec Sheet Link</v>
      </c>
      <c r="N55" t="s">
        <v>47</v>
      </c>
      <c r="O55" s="3">
        <v>1</v>
      </c>
      <c r="P55" s="3">
        <v>1</v>
      </c>
      <c r="Q55" t="s">
        <v>220</v>
      </c>
      <c r="R55" t="s">
        <v>53</v>
      </c>
      <c r="S55" t="s">
        <v>209</v>
      </c>
      <c r="T55" t="s">
        <v>1098</v>
      </c>
      <c r="U55" t="s">
        <v>55</v>
      </c>
      <c r="V55" t="s">
        <v>1103</v>
      </c>
      <c r="W55" t="s">
        <v>315</v>
      </c>
      <c r="X55" t="s">
        <v>78</v>
      </c>
      <c r="Y55" s="3" t="s">
        <v>48</v>
      </c>
      <c r="Z55" s="3" t="s">
        <v>1006</v>
      </c>
      <c r="AA55" s="3" t="s">
        <v>60</v>
      </c>
      <c r="AB55" s="1" t="s">
        <v>1008</v>
      </c>
      <c r="AC55" s="1" t="s">
        <v>240</v>
      </c>
      <c r="AD55" t="s">
        <v>1485</v>
      </c>
      <c r="AE55"/>
      <c r="AF55" t="s">
        <v>48</v>
      </c>
      <c r="AL55" t="s">
        <v>142</v>
      </c>
      <c r="AM55" t="s">
        <v>306</v>
      </c>
      <c r="AN55" t="s">
        <v>141</v>
      </c>
      <c r="AO55" t="s">
        <v>316</v>
      </c>
      <c r="AP55" t="s">
        <v>214</v>
      </c>
      <c r="AQ55" t="s">
        <v>317</v>
      </c>
      <c r="AR55">
        <v>42</v>
      </c>
      <c r="AS55">
        <v>0.09</v>
      </c>
      <c r="AV55" t="s">
        <v>309</v>
      </c>
      <c r="AW55" t="s">
        <v>1044</v>
      </c>
      <c r="AX55" s="2" t="s">
        <v>169</v>
      </c>
      <c r="AY55" s="2" t="s">
        <v>279</v>
      </c>
      <c r="AZ55">
        <v>3.1</v>
      </c>
      <c r="BA55">
        <v>3.1</v>
      </c>
      <c r="BB55">
        <v>8.1999999999999993</v>
      </c>
      <c r="BC55">
        <f>SUM(cna_product_database_catalog_website[[#This Row],[Box Length (cm)]]*cna_product_database_catalog_website[[#This Row],[Box Width (cm)]]*cna_product_database_catalog_website[[#This Row],[Box Height (cm)]]/1000000)</f>
        <v>7.8802000000000009E-5</v>
      </c>
      <c r="BD55">
        <f>SUM(cna_product_database_catalog_website[[#This Row],[Box CBM]]*35.3147)</f>
        <v>2.7828689894000003E-3</v>
      </c>
      <c r="BE55" t="s">
        <v>48</v>
      </c>
      <c r="BI5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55">
        <f>SUM(cna_product_database_catalog_website[[#This Row],[Carton CFT]]/61024)</f>
        <v>0</v>
      </c>
      <c r="BM55" t="s">
        <v>48</v>
      </c>
      <c r="BN55" s="4" t="s">
        <v>310</v>
      </c>
      <c r="BO55" t="s">
        <v>48</v>
      </c>
      <c r="BP55" t="s">
        <v>48</v>
      </c>
      <c r="BQ55" t="s">
        <v>48</v>
      </c>
      <c r="BS55" t="s">
        <v>48</v>
      </c>
      <c r="BT55" t="s">
        <v>48</v>
      </c>
      <c r="BU55" t="s">
        <v>48</v>
      </c>
      <c r="BW55" t="s">
        <v>48</v>
      </c>
      <c r="BX55" t="s">
        <v>48</v>
      </c>
      <c r="BY55" t="s">
        <v>48</v>
      </c>
      <c r="BZ55" t="s">
        <v>48</v>
      </c>
      <c r="CA55" t="s">
        <v>48</v>
      </c>
      <c r="CB55" t="s">
        <v>48</v>
      </c>
      <c r="CC55" t="s">
        <v>48</v>
      </c>
      <c r="CD55" t="s">
        <v>48</v>
      </c>
      <c r="CE55" t="s">
        <v>48</v>
      </c>
      <c r="CF55" t="s">
        <v>48</v>
      </c>
      <c r="CG55" t="s">
        <v>48</v>
      </c>
      <c r="CH55" t="s">
        <v>48</v>
      </c>
      <c r="CI55" t="s">
        <v>48</v>
      </c>
      <c r="CJ55" t="s">
        <v>48</v>
      </c>
    </row>
    <row r="56" spans="1:88" x14ac:dyDescent="0.25">
      <c r="A56" s="4" t="s">
        <v>2103</v>
      </c>
      <c r="B56" s="4" t="s">
        <v>2050</v>
      </c>
      <c r="C56" s="4" t="s">
        <v>1832</v>
      </c>
      <c r="D56" s="4" t="str">
        <f>cna_product_database_catalog_website[[#This Row],[MainCategory]]&amp;"&gt;"&amp;cna_product_database_catalog_website[[#This Row],[SubCategory1]]&amp;"&gt;"&amp;cna_product_database_catalog_website[[#This Row],[SubCategory2]]</f>
        <v>Bulbs&gt;J-Type Linear&gt;78mm J-Type41K</v>
      </c>
      <c r="E56">
        <v>176</v>
      </c>
      <c r="F56" t="s">
        <v>318</v>
      </c>
      <c r="G56" s="3">
        <v>957</v>
      </c>
      <c r="H56" s="8">
        <v>7.5</v>
      </c>
      <c r="I56" t="s">
        <v>318</v>
      </c>
      <c r="J56" t="s">
        <v>318</v>
      </c>
      <c r="K56" t="s">
        <v>313</v>
      </c>
      <c r="L56" t="s">
        <v>314</v>
      </c>
      <c r="M56" s="12" t="str">
        <f>HYPERLINK(cna_product_database_catalog_website[[#This Row],[Spec Sheet Link]], cna_product_database_catalog_website[[#Headers],[Spec Sheet Link]])</f>
        <v>Spec Sheet Link</v>
      </c>
      <c r="N56" t="s">
        <v>47</v>
      </c>
      <c r="O56" s="3">
        <v>1</v>
      </c>
      <c r="P56" s="3">
        <v>1</v>
      </c>
      <c r="Q56" t="s">
        <v>220</v>
      </c>
      <c r="R56" t="s">
        <v>53</v>
      </c>
      <c r="S56" t="s">
        <v>209</v>
      </c>
      <c r="T56" t="s">
        <v>1098</v>
      </c>
      <c r="U56" t="s">
        <v>55</v>
      </c>
      <c r="V56" t="s">
        <v>1103</v>
      </c>
      <c r="W56" t="s">
        <v>305</v>
      </c>
      <c r="X56" t="s">
        <v>58</v>
      </c>
      <c r="Y56" s="3" t="s">
        <v>48</v>
      </c>
      <c r="Z56" s="3" t="s">
        <v>1006</v>
      </c>
      <c r="AA56" s="3" t="s">
        <v>319</v>
      </c>
      <c r="AB56" s="1" t="s">
        <v>1008</v>
      </c>
      <c r="AC56" s="1" t="s">
        <v>240</v>
      </c>
      <c r="AD56" t="s">
        <v>1485</v>
      </c>
      <c r="AE56"/>
      <c r="AF56" t="s">
        <v>48</v>
      </c>
      <c r="AL56" t="s">
        <v>142</v>
      </c>
      <c r="AM56" t="s">
        <v>306</v>
      </c>
      <c r="AN56" t="s">
        <v>141</v>
      </c>
      <c r="AO56" t="s">
        <v>316</v>
      </c>
      <c r="AP56" t="s">
        <v>214</v>
      </c>
      <c r="AQ56" t="s">
        <v>317</v>
      </c>
      <c r="AR56">
        <v>72</v>
      </c>
      <c r="AS56">
        <v>0.16</v>
      </c>
      <c r="AV56" t="s">
        <v>320</v>
      </c>
      <c r="AW56" t="s">
        <v>1044</v>
      </c>
      <c r="AX56" s="2" t="s">
        <v>169</v>
      </c>
      <c r="AY56" s="2" t="s">
        <v>279</v>
      </c>
      <c r="AZ56">
        <v>3.1</v>
      </c>
      <c r="BA56">
        <v>3.1</v>
      </c>
      <c r="BB56">
        <v>8.1999999999999993</v>
      </c>
      <c r="BC56">
        <f>SUM(cna_product_database_catalog_website[[#This Row],[Box Length (cm)]]*cna_product_database_catalog_website[[#This Row],[Box Width (cm)]]*cna_product_database_catalog_website[[#This Row],[Box Height (cm)]]/1000000)</f>
        <v>7.8802000000000009E-5</v>
      </c>
      <c r="BD56">
        <f>SUM(cna_product_database_catalog_website[[#This Row],[Box CBM]]*35.3147)</f>
        <v>2.7828689894000003E-3</v>
      </c>
      <c r="BE56" t="s">
        <v>48</v>
      </c>
      <c r="BI5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56">
        <f>SUM(cna_product_database_catalog_website[[#This Row],[Carton CFT]]/61024)</f>
        <v>0</v>
      </c>
      <c r="BM56" t="s">
        <v>48</v>
      </c>
      <c r="BN56" s="4" t="s">
        <v>310</v>
      </c>
      <c r="BO56" t="s">
        <v>48</v>
      </c>
      <c r="BP56" t="s">
        <v>48</v>
      </c>
      <c r="BQ56" t="s">
        <v>48</v>
      </c>
      <c r="BS56" t="s">
        <v>48</v>
      </c>
      <c r="BT56" t="s">
        <v>48</v>
      </c>
      <c r="BU56" t="s">
        <v>48</v>
      </c>
      <c r="BW56" t="s">
        <v>48</v>
      </c>
      <c r="BX56" t="s">
        <v>48</v>
      </c>
      <c r="BY56" t="s">
        <v>48</v>
      </c>
      <c r="BZ56" t="s">
        <v>48</v>
      </c>
      <c r="CA56" t="s">
        <v>48</v>
      </c>
      <c r="CB56" t="s">
        <v>48</v>
      </c>
      <c r="CC56" t="s">
        <v>48</v>
      </c>
      <c r="CD56" t="s">
        <v>48</v>
      </c>
      <c r="CE56" t="s">
        <v>48</v>
      </c>
      <c r="CF56" t="s">
        <v>48</v>
      </c>
      <c r="CG56" t="s">
        <v>48</v>
      </c>
      <c r="CH56" t="s">
        <v>48</v>
      </c>
      <c r="CI56" t="s">
        <v>48</v>
      </c>
      <c r="CJ56" t="s">
        <v>48</v>
      </c>
    </row>
    <row r="57" spans="1:88" x14ac:dyDescent="0.25">
      <c r="A57" s="4" t="s">
        <v>2103</v>
      </c>
      <c r="B57" s="4" t="s">
        <v>2050</v>
      </c>
      <c r="C57" s="4" t="s">
        <v>1833</v>
      </c>
      <c r="D57" s="4" t="str">
        <f>cna_product_database_catalog_website[[#This Row],[MainCategory]]&amp;"&gt;"&amp;cna_product_database_catalog_website[[#This Row],[SubCategory1]]&amp;"&gt;"&amp;cna_product_database_catalog_website[[#This Row],[SubCategory2]]</f>
        <v>Bulbs&gt;J-Type Linear&gt;118mm J-Type 30K</v>
      </c>
      <c r="E57">
        <v>180</v>
      </c>
      <c r="F57" t="s">
        <v>321</v>
      </c>
      <c r="G57" s="3">
        <v>981</v>
      </c>
      <c r="H57" s="8">
        <v>9.9</v>
      </c>
      <c r="I57" t="s">
        <v>321</v>
      </c>
      <c r="J57" t="s">
        <v>321</v>
      </c>
      <c r="K57" t="s">
        <v>322</v>
      </c>
      <c r="L57" t="s">
        <v>323</v>
      </c>
      <c r="M57" s="12" t="str">
        <f>HYPERLINK(cna_product_database_catalog_website[[#This Row],[Spec Sheet Link]], cna_product_database_catalog_website[[#Headers],[Spec Sheet Link]])</f>
        <v>Spec Sheet Link</v>
      </c>
      <c r="N57" t="s">
        <v>47</v>
      </c>
      <c r="O57" s="3">
        <v>1</v>
      </c>
      <c r="P57" s="3">
        <v>1</v>
      </c>
      <c r="Q57" t="s">
        <v>253</v>
      </c>
      <c r="R57" t="s">
        <v>53</v>
      </c>
      <c r="S57" t="s">
        <v>324</v>
      </c>
      <c r="T57" t="s">
        <v>1054</v>
      </c>
      <c r="U57" t="s">
        <v>55</v>
      </c>
      <c r="V57" t="s">
        <v>1104</v>
      </c>
      <c r="W57" t="s">
        <v>305</v>
      </c>
      <c r="X57" t="s">
        <v>78</v>
      </c>
      <c r="Y57" s="3" t="s">
        <v>48</v>
      </c>
      <c r="Z57" s="3" t="s">
        <v>1006</v>
      </c>
      <c r="AA57" s="3" t="s">
        <v>319</v>
      </c>
      <c r="AB57" s="1" t="s">
        <v>1008</v>
      </c>
      <c r="AC57" s="1" t="s">
        <v>240</v>
      </c>
      <c r="AD57" t="s">
        <v>1485</v>
      </c>
      <c r="AE57"/>
      <c r="AF57" t="s">
        <v>48</v>
      </c>
      <c r="AL57" t="s">
        <v>327</v>
      </c>
      <c r="AM57" t="s">
        <v>306</v>
      </c>
      <c r="AN57" t="s">
        <v>141</v>
      </c>
      <c r="AO57" t="s">
        <v>316</v>
      </c>
      <c r="AP57" t="s">
        <v>328</v>
      </c>
      <c r="AQ57" t="s">
        <v>329</v>
      </c>
      <c r="AR57">
        <v>72</v>
      </c>
      <c r="AS57">
        <v>0.16</v>
      </c>
      <c r="AV57" t="s">
        <v>330</v>
      </c>
      <c r="AW57" t="s">
        <v>1044</v>
      </c>
      <c r="AX57" s="2">
        <v>25</v>
      </c>
      <c r="AY57" s="2">
        <v>100</v>
      </c>
      <c r="AZ57">
        <v>3.2</v>
      </c>
      <c r="BA57">
        <v>3.1</v>
      </c>
      <c r="BB57">
        <v>12.2</v>
      </c>
      <c r="BC57">
        <f>SUM(cna_product_database_catalog_website[[#This Row],[Box Length (cm)]]*cna_product_database_catalog_website[[#This Row],[Box Width (cm)]]*cna_product_database_catalog_website[[#This Row],[Box Height (cm)]]/1000000)</f>
        <v>1.2102400000000001E-4</v>
      </c>
      <c r="BD57">
        <f>SUM(cna_product_database_catalog_website[[#This Row],[Box CBM]]*35.3147)</f>
        <v>4.2739262528000005E-3</v>
      </c>
      <c r="BE57" t="s">
        <v>48</v>
      </c>
      <c r="BI5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57">
        <f>SUM(cna_product_database_catalog_website[[#This Row],[Carton CFT]]/61024)</f>
        <v>0</v>
      </c>
      <c r="BM57" t="s">
        <v>48</v>
      </c>
      <c r="BN57" s="4" t="s">
        <v>310</v>
      </c>
      <c r="BO57" t="s">
        <v>48</v>
      </c>
      <c r="BP57" t="s">
        <v>48</v>
      </c>
      <c r="BQ57" t="s">
        <v>48</v>
      </c>
      <c r="BS57" t="s">
        <v>48</v>
      </c>
      <c r="BT57" t="s">
        <v>48</v>
      </c>
      <c r="BU57" t="s">
        <v>48</v>
      </c>
      <c r="BW57" t="s">
        <v>48</v>
      </c>
      <c r="BX57" t="s">
        <v>48</v>
      </c>
      <c r="BY57" t="s">
        <v>48</v>
      </c>
      <c r="BZ57" t="s">
        <v>48</v>
      </c>
      <c r="CA57" t="s">
        <v>48</v>
      </c>
      <c r="CB57" t="s">
        <v>48</v>
      </c>
      <c r="CC57" t="s">
        <v>48</v>
      </c>
      <c r="CD57" t="s">
        <v>48</v>
      </c>
      <c r="CE57" t="s">
        <v>48</v>
      </c>
      <c r="CF57" t="s">
        <v>48</v>
      </c>
      <c r="CG57" t="s">
        <v>48</v>
      </c>
      <c r="CH57" t="s">
        <v>48</v>
      </c>
      <c r="CI57" t="s">
        <v>48</v>
      </c>
      <c r="CJ57" t="s">
        <v>48</v>
      </c>
    </row>
    <row r="58" spans="1:88" x14ac:dyDescent="0.25">
      <c r="A58" s="4" t="s">
        <v>2103</v>
      </c>
      <c r="B58" s="4" t="s">
        <v>2050</v>
      </c>
      <c r="C58" s="4" t="s">
        <v>1834</v>
      </c>
      <c r="D58" s="4" t="str">
        <f>cna_product_database_catalog_website[[#This Row],[MainCategory]]&amp;"&gt;"&amp;cna_product_database_catalog_website[[#This Row],[SubCategory1]]&amp;"&gt;"&amp;cna_product_database_catalog_website[[#This Row],[SubCategory2]]</f>
        <v>Bulbs&gt;J-Type Linear&gt;118mm J-Type 40K</v>
      </c>
      <c r="E58">
        <v>182</v>
      </c>
      <c r="F58" t="s">
        <v>1479</v>
      </c>
      <c r="G58" s="3">
        <v>1132</v>
      </c>
      <c r="H58" s="8">
        <v>9.9</v>
      </c>
      <c r="I58" t="s">
        <v>1479</v>
      </c>
      <c r="J58" t="s">
        <v>1479</v>
      </c>
      <c r="K58" t="s">
        <v>322</v>
      </c>
      <c r="L58" t="s">
        <v>323</v>
      </c>
      <c r="M58" s="12" t="str">
        <f>HYPERLINK(cna_product_database_catalog_website[[#This Row],[Spec Sheet Link]], cna_product_database_catalog_website[[#Headers],[Spec Sheet Link]])</f>
        <v>Spec Sheet Link</v>
      </c>
      <c r="N58" t="s">
        <v>47</v>
      </c>
      <c r="O58" s="3">
        <v>1</v>
      </c>
      <c r="P58" s="3">
        <v>1</v>
      </c>
      <c r="Q58" t="s">
        <v>253</v>
      </c>
      <c r="R58" t="s">
        <v>53</v>
      </c>
      <c r="S58" t="s">
        <v>324</v>
      </c>
      <c r="T58" t="s">
        <v>1054</v>
      </c>
      <c r="U58" t="s">
        <v>55</v>
      </c>
      <c r="V58" t="s">
        <v>1104</v>
      </c>
      <c r="W58" t="s">
        <v>315</v>
      </c>
      <c r="X58" t="s">
        <v>58</v>
      </c>
      <c r="Z58" s="3" t="s">
        <v>1006</v>
      </c>
      <c r="AA58" s="3" t="s">
        <v>48</v>
      </c>
      <c r="AB58" s="1" t="s">
        <v>1008</v>
      </c>
      <c r="AC58" s="1" t="s">
        <v>240</v>
      </c>
      <c r="AD58" t="s">
        <v>1485</v>
      </c>
      <c r="AE58"/>
      <c r="AF58" t="s">
        <v>48</v>
      </c>
      <c r="AL58" t="s">
        <v>327</v>
      </c>
      <c r="AM58" t="s">
        <v>325</v>
      </c>
      <c r="AN58" t="s">
        <v>326</v>
      </c>
      <c r="AO58" t="s">
        <v>316</v>
      </c>
      <c r="AP58" t="s">
        <v>328</v>
      </c>
      <c r="AQ58" t="s">
        <v>329</v>
      </c>
      <c r="AR58">
        <v>10</v>
      </c>
      <c r="AS58">
        <v>0.02</v>
      </c>
      <c r="AV58" t="s">
        <v>331</v>
      </c>
      <c r="AW58" t="s">
        <v>1044</v>
      </c>
      <c r="AX58" s="2">
        <v>25</v>
      </c>
      <c r="AY58" s="2">
        <v>100</v>
      </c>
      <c r="AZ58">
        <v>3.2</v>
      </c>
      <c r="BA58">
        <v>3.1</v>
      </c>
      <c r="BB58">
        <v>12.2</v>
      </c>
      <c r="BC58">
        <f>SUM(cna_product_database_catalog_website[[#This Row],[Box Length (cm)]]*cna_product_database_catalog_website[[#This Row],[Box Width (cm)]]*cna_product_database_catalog_website[[#This Row],[Box Height (cm)]]/1000000)</f>
        <v>1.2102400000000001E-4</v>
      </c>
      <c r="BD58">
        <f>SUM(cna_product_database_catalog_website[[#This Row],[Box CBM]]*35.3147)</f>
        <v>4.2739262528000005E-3</v>
      </c>
      <c r="BE58" t="s">
        <v>48</v>
      </c>
      <c r="BI5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58">
        <f>SUM(cna_product_database_catalog_website[[#This Row],[Carton CFT]]/61024)</f>
        <v>0</v>
      </c>
      <c r="BM58" t="s">
        <v>48</v>
      </c>
      <c r="BN58" s="4" t="s">
        <v>310</v>
      </c>
      <c r="BO58" t="s">
        <v>48</v>
      </c>
      <c r="BP58" t="s">
        <v>48</v>
      </c>
      <c r="BQ58" t="s">
        <v>48</v>
      </c>
      <c r="BS58" t="s">
        <v>48</v>
      </c>
      <c r="BT58" t="s">
        <v>48</v>
      </c>
      <c r="BU58" t="s">
        <v>48</v>
      </c>
      <c r="BW58" t="s">
        <v>48</v>
      </c>
      <c r="BX58" t="s">
        <v>48</v>
      </c>
      <c r="BY58" t="s">
        <v>48</v>
      </c>
      <c r="BZ58" t="s">
        <v>48</v>
      </c>
      <c r="CA58" t="s">
        <v>48</v>
      </c>
      <c r="CB58" t="s">
        <v>48</v>
      </c>
      <c r="CC58" t="s">
        <v>48</v>
      </c>
      <c r="CD58" t="s">
        <v>48</v>
      </c>
      <c r="CE58" t="s">
        <v>48</v>
      </c>
      <c r="CF58" t="s">
        <v>48</v>
      </c>
      <c r="CG58" t="s">
        <v>48</v>
      </c>
      <c r="CH58" t="s">
        <v>48</v>
      </c>
      <c r="CI58" t="s">
        <v>48</v>
      </c>
      <c r="CJ58" t="s">
        <v>48</v>
      </c>
    </row>
    <row r="59" spans="1:88" x14ac:dyDescent="0.25">
      <c r="A59" s="4" t="s">
        <v>2103</v>
      </c>
      <c r="B59" s="4" t="s">
        <v>1222</v>
      </c>
      <c r="C59" s="4" t="s">
        <v>1224</v>
      </c>
      <c r="D59" s="4" t="str">
        <f>cna_product_database_catalog_website[[#This Row],[MainCategory]]&amp;"&gt;"&amp;cna_product_database_catalog_website[[#This Row],[SubCategory1]]&amp;"&gt;"&amp;cna_product_database_catalog_website[[#This Row],[SubCategory2]]</f>
        <v>Bulbs&gt;Base Adapters&gt;E26 to E12</v>
      </c>
      <c r="E59">
        <v>200</v>
      </c>
      <c r="F59" t="s">
        <v>50</v>
      </c>
      <c r="G59" s="3">
        <v>887</v>
      </c>
      <c r="H59" s="8">
        <v>1.99</v>
      </c>
      <c r="I59" t="s">
        <v>50</v>
      </c>
      <c r="J59" t="s">
        <v>50</v>
      </c>
      <c r="K59" t="s">
        <v>51</v>
      </c>
      <c r="L59" t="s">
        <v>46</v>
      </c>
      <c r="M59" s="12"/>
      <c r="N59" t="s">
        <v>47</v>
      </c>
      <c r="O59" s="3">
        <v>1</v>
      </c>
      <c r="P59" s="3">
        <v>1</v>
      </c>
      <c r="Q59" t="s">
        <v>48</v>
      </c>
      <c r="R59" t="s">
        <v>48</v>
      </c>
      <c r="S59" t="s">
        <v>48</v>
      </c>
      <c r="T59" t="s">
        <v>48</v>
      </c>
      <c r="U59" t="s">
        <v>48</v>
      </c>
      <c r="V59" t="s">
        <v>48</v>
      </c>
      <c r="W59" t="s">
        <v>48</v>
      </c>
      <c r="X59" t="s">
        <v>48</v>
      </c>
      <c r="Y59" s="3" t="s">
        <v>48</v>
      </c>
      <c r="Z59" s="3" t="s">
        <v>48</v>
      </c>
      <c r="AA59" s="3" t="s">
        <v>48</v>
      </c>
      <c r="AB59" s="1" t="s">
        <v>48</v>
      </c>
      <c r="AC59" s="1" t="s">
        <v>48</v>
      </c>
      <c r="AD59" t="s">
        <v>48</v>
      </c>
      <c r="AE59"/>
      <c r="AF59" t="s">
        <v>48</v>
      </c>
      <c r="AG59" t="s">
        <v>48</v>
      </c>
      <c r="AH59" t="s">
        <v>48</v>
      </c>
      <c r="AL59" t="s">
        <v>48</v>
      </c>
      <c r="AO59" t="s">
        <v>48</v>
      </c>
      <c r="AP59" t="s">
        <v>48</v>
      </c>
      <c r="AQ59" t="s">
        <v>48</v>
      </c>
      <c r="AR59">
        <v>21</v>
      </c>
      <c r="AS59">
        <v>0.05</v>
      </c>
      <c r="AV59" t="s">
        <v>48</v>
      </c>
      <c r="AW59" t="s">
        <v>48</v>
      </c>
      <c r="AX59" s="2">
        <v>50</v>
      </c>
      <c r="AY59" s="2">
        <v>50</v>
      </c>
      <c r="BC59">
        <f>SUM(cna_product_database_catalog_website[[#This Row],[Box Length (cm)]]*cna_product_database_catalog_website[[#This Row],[Box Width (cm)]]*cna_product_database_catalog_website[[#This Row],[Box Height (cm)]]/1000000)</f>
        <v>0</v>
      </c>
      <c r="BD59">
        <f>SUM(cna_product_database_catalog_website[[#This Row],[Box CBM]]*35.3147)</f>
        <v>0</v>
      </c>
      <c r="BE59" t="s">
        <v>48</v>
      </c>
      <c r="BI5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59">
        <f>SUM(cna_product_database_catalog_website[[#This Row],[Carton CFT]]/61024)</f>
        <v>0</v>
      </c>
      <c r="BM59" t="s">
        <v>48</v>
      </c>
      <c r="BN59" t="s">
        <v>48</v>
      </c>
      <c r="BO59" t="s">
        <v>48</v>
      </c>
      <c r="BP59" t="s">
        <v>48</v>
      </c>
      <c r="BQ59" t="s">
        <v>48</v>
      </c>
      <c r="BS59" t="s">
        <v>48</v>
      </c>
      <c r="BT59" t="s">
        <v>48</v>
      </c>
      <c r="BU59" t="s">
        <v>48</v>
      </c>
      <c r="BW59" t="s">
        <v>48</v>
      </c>
      <c r="BX59" t="s">
        <v>48</v>
      </c>
      <c r="BY59" t="s">
        <v>48</v>
      </c>
      <c r="BZ59" t="s">
        <v>48</v>
      </c>
      <c r="CA59" t="s">
        <v>48</v>
      </c>
      <c r="CB59" t="s">
        <v>48</v>
      </c>
      <c r="CC59" t="s">
        <v>48</v>
      </c>
      <c r="CD59" t="s">
        <v>48</v>
      </c>
      <c r="CE59" t="s">
        <v>48</v>
      </c>
      <c r="CF59" t="s">
        <v>48</v>
      </c>
      <c r="CG59" t="s">
        <v>48</v>
      </c>
      <c r="CH59" t="s">
        <v>48</v>
      </c>
      <c r="CI59" t="s">
        <v>48</v>
      </c>
      <c r="CJ59" t="s">
        <v>48</v>
      </c>
    </row>
    <row r="60" spans="1:88" x14ac:dyDescent="0.25">
      <c r="A60" s="4" t="s">
        <v>2103</v>
      </c>
      <c r="B60" s="4" t="s">
        <v>1222</v>
      </c>
      <c r="C60" s="4" t="s">
        <v>1225</v>
      </c>
      <c r="D60" s="4" t="str">
        <f>cna_product_database_catalog_website[[#This Row],[MainCategory]]&amp;"&gt;"&amp;cna_product_database_catalog_website[[#This Row],[SubCategory1]]&amp;"&gt;"&amp;cna_product_database_catalog_website[[#This Row],[SubCategory2]]</f>
        <v>Bulbs&gt;Base Adapters&gt;GU24 to E26</v>
      </c>
      <c r="E60">
        <v>201</v>
      </c>
      <c r="F60" t="s">
        <v>44</v>
      </c>
      <c r="G60" s="3">
        <v>886</v>
      </c>
      <c r="H60" s="8">
        <v>1.99</v>
      </c>
      <c r="I60" t="s">
        <v>44</v>
      </c>
      <c r="J60" t="s">
        <v>44</v>
      </c>
      <c r="K60" t="s">
        <v>45</v>
      </c>
      <c r="L60" t="s">
        <v>46</v>
      </c>
      <c r="M60" s="12"/>
      <c r="N60" t="s">
        <v>47</v>
      </c>
      <c r="O60" s="3">
        <v>1</v>
      </c>
      <c r="P60" s="3">
        <v>1</v>
      </c>
      <c r="Q60" t="s">
        <v>48</v>
      </c>
      <c r="R60" t="s">
        <v>48</v>
      </c>
      <c r="S60" t="s">
        <v>48</v>
      </c>
      <c r="T60" t="s">
        <v>48</v>
      </c>
      <c r="U60" t="s">
        <v>48</v>
      </c>
      <c r="V60" t="s">
        <v>48</v>
      </c>
      <c r="W60" t="s">
        <v>48</v>
      </c>
      <c r="X60" t="s">
        <v>48</v>
      </c>
      <c r="Y60" s="3" t="s">
        <v>48</v>
      </c>
      <c r="Z60" s="3" t="s">
        <v>48</v>
      </c>
      <c r="AA60" s="3" t="s">
        <v>48</v>
      </c>
      <c r="AB60" s="1" t="s">
        <v>48</v>
      </c>
      <c r="AC60" s="1" t="s">
        <v>48</v>
      </c>
      <c r="AD60" t="s">
        <v>48</v>
      </c>
      <c r="AE60"/>
      <c r="AF60" t="s">
        <v>48</v>
      </c>
      <c r="AG60" t="s">
        <v>48</v>
      </c>
      <c r="AH60" t="s">
        <v>48</v>
      </c>
      <c r="AL60" t="s">
        <v>48</v>
      </c>
      <c r="AO60" t="s">
        <v>48</v>
      </c>
      <c r="AP60" t="s">
        <v>48</v>
      </c>
      <c r="AQ60" t="s">
        <v>48</v>
      </c>
      <c r="AR60">
        <v>21</v>
      </c>
      <c r="AV60" t="s">
        <v>48</v>
      </c>
      <c r="AW60" t="s">
        <v>48</v>
      </c>
      <c r="AX60" s="2">
        <v>50</v>
      </c>
      <c r="AY60" s="2">
        <v>50</v>
      </c>
      <c r="BC60">
        <f>SUM(cna_product_database_catalog_website[[#This Row],[Box Length (cm)]]*cna_product_database_catalog_website[[#This Row],[Box Width (cm)]]*cna_product_database_catalog_website[[#This Row],[Box Height (cm)]]/1000000)</f>
        <v>0</v>
      </c>
      <c r="BD60">
        <f>SUM(cna_product_database_catalog_website[[#This Row],[Box CBM]]*35.3147)</f>
        <v>0</v>
      </c>
      <c r="BE60" t="s">
        <v>48</v>
      </c>
      <c r="BI6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60">
        <f>SUM(cna_product_database_catalog_website[[#This Row],[Carton CFT]]/61024)</f>
        <v>0</v>
      </c>
      <c r="BM60" t="s">
        <v>48</v>
      </c>
      <c r="BN60" t="s">
        <v>48</v>
      </c>
      <c r="BO60" t="s">
        <v>48</v>
      </c>
      <c r="BP60" t="s">
        <v>48</v>
      </c>
      <c r="BQ60" t="s">
        <v>48</v>
      </c>
      <c r="BS60" t="s">
        <v>48</v>
      </c>
      <c r="BT60" t="s">
        <v>48</v>
      </c>
      <c r="BU60" t="s">
        <v>48</v>
      </c>
      <c r="BW60" t="s">
        <v>48</v>
      </c>
      <c r="BX60" t="s">
        <v>48</v>
      </c>
      <c r="BY60" t="s">
        <v>48</v>
      </c>
      <c r="BZ60" t="s">
        <v>48</v>
      </c>
      <c r="CA60" t="s">
        <v>48</v>
      </c>
      <c r="CB60" t="s">
        <v>48</v>
      </c>
      <c r="CC60" t="s">
        <v>48</v>
      </c>
      <c r="CD60" t="s">
        <v>48</v>
      </c>
      <c r="CE60" t="s">
        <v>48</v>
      </c>
      <c r="CF60" t="s">
        <v>48</v>
      </c>
      <c r="CG60" t="s">
        <v>48</v>
      </c>
      <c r="CH60" t="s">
        <v>48</v>
      </c>
      <c r="CI60" t="s">
        <v>48</v>
      </c>
      <c r="CJ60" t="s">
        <v>48</v>
      </c>
    </row>
    <row r="61" spans="1:88" x14ac:dyDescent="0.25">
      <c r="A61" s="4" t="s">
        <v>2103</v>
      </c>
      <c r="B61" s="4" t="s">
        <v>2058</v>
      </c>
      <c r="C61" s="4" t="s">
        <v>1712</v>
      </c>
      <c r="D61" s="4" t="str">
        <f>cna_product_database_catalog_website[[#This Row],[MainCategory]]&amp;"&gt;"&amp;cna_product_database_catalog_website[[#This Row],[SubCategory1]]&amp;"&gt;"&amp;cna_product_database_catalog_website[[#This Row],[SubCategory2]]</f>
        <v>Bulbs&gt;G10&gt;GU10 27K</v>
      </c>
      <c r="E61">
        <v>210</v>
      </c>
      <c r="F61" t="s">
        <v>391</v>
      </c>
      <c r="G61" s="3">
        <v>933</v>
      </c>
      <c r="H61" s="8">
        <v>2.5</v>
      </c>
      <c r="I61" t="s">
        <v>391</v>
      </c>
      <c r="J61" t="s">
        <v>391</v>
      </c>
      <c r="K61" t="s">
        <v>392</v>
      </c>
      <c r="L61" t="s">
        <v>342</v>
      </c>
      <c r="M61" s="12" t="str">
        <f>HYPERLINK(cna_product_database_catalog_website[[#This Row],[Spec Sheet Link]], cna_product_database_catalog_website[[#Headers],[Spec Sheet Link]])</f>
        <v>Spec Sheet Link</v>
      </c>
      <c r="N61" t="s">
        <v>47</v>
      </c>
      <c r="O61" s="3">
        <v>1</v>
      </c>
      <c r="P61" s="3">
        <v>1</v>
      </c>
      <c r="Q61" t="s">
        <v>228</v>
      </c>
      <c r="R61" t="s">
        <v>53</v>
      </c>
      <c r="S61" t="s">
        <v>68</v>
      </c>
      <c r="T61" t="s">
        <v>1061</v>
      </c>
      <c r="U61" t="s">
        <v>87</v>
      </c>
      <c r="V61" t="s">
        <v>274</v>
      </c>
      <c r="W61" t="s">
        <v>393</v>
      </c>
      <c r="X61" t="s">
        <v>70</v>
      </c>
      <c r="Y61" s="3" t="s">
        <v>1014</v>
      </c>
      <c r="Z61" s="3" t="s">
        <v>1006</v>
      </c>
      <c r="AA61" s="3" t="s">
        <v>60</v>
      </c>
      <c r="AB61" s="1" t="s">
        <v>1047</v>
      </c>
      <c r="AC61" s="1" t="s">
        <v>1059</v>
      </c>
      <c r="AD61" t="s">
        <v>59</v>
      </c>
      <c r="AE61"/>
      <c r="AF61" t="s">
        <v>48</v>
      </c>
      <c r="AL61" t="s">
        <v>1955</v>
      </c>
      <c r="AM61" t="s">
        <v>300</v>
      </c>
      <c r="AN61" t="s">
        <v>301</v>
      </c>
      <c r="AO61" t="s">
        <v>131</v>
      </c>
      <c r="AP61" t="s">
        <v>345</v>
      </c>
      <c r="AQ61" t="s">
        <v>388</v>
      </c>
      <c r="AR61">
        <v>39</v>
      </c>
      <c r="AS61">
        <v>0.09</v>
      </c>
      <c r="AV61" t="s">
        <v>394</v>
      </c>
      <c r="AW61" t="s">
        <v>633</v>
      </c>
      <c r="AX61" s="2" t="s">
        <v>229</v>
      </c>
      <c r="AY61" s="2" t="s">
        <v>63</v>
      </c>
      <c r="AZ61">
        <v>5.4</v>
      </c>
      <c r="BA61">
        <v>5.4</v>
      </c>
      <c r="BB61">
        <v>6.2</v>
      </c>
      <c r="BC61">
        <f>SUM(cna_product_database_catalog_website[[#This Row],[Box Length (cm)]]*cna_product_database_catalog_website[[#This Row],[Box Width (cm)]]*cna_product_database_catalog_website[[#This Row],[Box Height (cm)]]/1000000)</f>
        <v>1.8079200000000004E-4</v>
      </c>
      <c r="BD61">
        <f>SUM(cna_product_database_catalog_website[[#This Row],[Box CBM]]*35.3147)</f>
        <v>6.3846152424000017E-3</v>
      </c>
      <c r="BE61" t="s">
        <v>48</v>
      </c>
      <c r="BI6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61">
        <f>SUM(cna_product_database_catalog_website[[#This Row],[Carton CFT]]/61024)</f>
        <v>0</v>
      </c>
      <c r="BM61" t="s">
        <v>48</v>
      </c>
      <c r="BN61"/>
      <c r="BO61" t="s">
        <v>48</v>
      </c>
      <c r="BP61" t="s">
        <v>48</v>
      </c>
      <c r="BQ61" t="s">
        <v>48</v>
      </c>
      <c r="BS61" t="s">
        <v>48</v>
      </c>
      <c r="BT61" t="s">
        <v>48</v>
      </c>
      <c r="BU61" t="s">
        <v>48</v>
      </c>
      <c r="BW61" t="s">
        <v>48</v>
      </c>
      <c r="BX61" t="s">
        <v>48</v>
      </c>
      <c r="BY61" t="s">
        <v>48</v>
      </c>
      <c r="BZ61" t="s">
        <v>48</v>
      </c>
      <c r="CA61" t="s">
        <v>48</v>
      </c>
      <c r="CB61" t="s">
        <v>48</v>
      </c>
      <c r="CC61" t="s">
        <v>48</v>
      </c>
      <c r="CD61" t="s">
        <v>48</v>
      </c>
      <c r="CE61" t="s">
        <v>48</v>
      </c>
      <c r="CF61" t="s">
        <v>48</v>
      </c>
      <c r="CG61" t="s">
        <v>48</v>
      </c>
      <c r="CH61" t="s">
        <v>48</v>
      </c>
      <c r="CI61" t="s">
        <v>48</v>
      </c>
      <c r="CJ61" t="s">
        <v>48</v>
      </c>
    </row>
    <row r="62" spans="1:88" x14ac:dyDescent="0.25">
      <c r="A62" s="4" t="s">
        <v>2103</v>
      </c>
      <c r="B62" s="4" t="s">
        <v>2059</v>
      </c>
      <c r="C62" s="4" t="s">
        <v>1713</v>
      </c>
      <c r="D62" s="4" t="str">
        <f>cna_product_database_catalog_website[[#This Row],[MainCategory]]&amp;"&gt;"&amp;cna_product_database_catalog_website[[#This Row],[SubCategory1]]&amp;"&gt;"&amp;cna_product_database_catalog_website[[#This Row],[SubCategory2]]</f>
        <v>Bulbs&gt;G11&gt;GU10 30K</v>
      </c>
      <c r="E62">
        <v>211</v>
      </c>
      <c r="F62" t="s">
        <v>395</v>
      </c>
      <c r="G62" s="3">
        <v>934</v>
      </c>
      <c r="H62" s="8">
        <v>2.5</v>
      </c>
      <c r="I62" t="s">
        <v>395</v>
      </c>
      <c r="J62" t="s">
        <v>395</v>
      </c>
      <c r="K62" t="s">
        <v>392</v>
      </c>
      <c r="L62" t="s">
        <v>342</v>
      </c>
      <c r="M62" s="12" t="str">
        <f>HYPERLINK(cna_product_database_catalog_website[[#This Row],[Spec Sheet Link]], cna_product_database_catalog_website[[#Headers],[Spec Sheet Link]])</f>
        <v>Spec Sheet Link</v>
      </c>
      <c r="N62" t="s">
        <v>47</v>
      </c>
      <c r="O62" s="3">
        <v>1</v>
      </c>
      <c r="P62" s="3">
        <v>1</v>
      </c>
      <c r="Q62" t="s">
        <v>228</v>
      </c>
      <c r="R62" t="s">
        <v>53</v>
      </c>
      <c r="S62" t="s">
        <v>68</v>
      </c>
      <c r="T62" t="s">
        <v>1061</v>
      </c>
      <c r="U62" t="s">
        <v>87</v>
      </c>
      <c r="V62" t="s">
        <v>274</v>
      </c>
      <c r="W62" t="s">
        <v>393</v>
      </c>
      <c r="X62" t="s">
        <v>78</v>
      </c>
      <c r="Y62" s="3" t="s">
        <v>1014</v>
      </c>
      <c r="Z62" s="3" t="s">
        <v>1006</v>
      </c>
      <c r="AA62" s="3" t="s">
        <v>60</v>
      </c>
      <c r="AB62" s="1" t="s">
        <v>1047</v>
      </c>
      <c r="AC62" s="1" t="s">
        <v>1059</v>
      </c>
      <c r="AD62" t="s">
        <v>59</v>
      </c>
      <c r="AE62"/>
      <c r="AF62" t="s">
        <v>48</v>
      </c>
      <c r="AL62" t="s">
        <v>1955</v>
      </c>
      <c r="AM62" t="s">
        <v>300</v>
      </c>
      <c r="AN62" t="s">
        <v>301</v>
      </c>
      <c r="AO62" t="s">
        <v>131</v>
      </c>
      <c r="AP62" t="s">
        <v>337</v>
      </c>
      <c r="AQ62" t="s">
        <v>388</v>
      </c>
      <c r="AR62">
        <v>39</v>
      </c>
      <c r="AS62">
        <v>0.09</v>
      </c>
      <c r="AV62" t="s">
        <v>394</v>
      </c>
      <c r="AW62" t="s">
        <v>633</v>
      </c>
      <c r="AX62" s="2" t="s">
        <v>229</v>
      </c>
      <c r="AY62" s="2" t="s">
        <v>63</v>
      </c>
      <c r="AZ62">
        <v>5.4</v>
      </c>
      <c r="BA62">
        <v>5.4</v>
      </c>
      <c r="BB62">
        <v>6.2</v>
      </c>
      <c r="BC62">
        <f>SUM(cna_product_database_catalog_website[[#This Row],[Box Length (cm)]]*cna_product_database_catalog_website[[#This Row],[Box Width (cm)]]*cna_product_database_catalog_website[[#This Row],[Box Height (cm)]]/1000000)</f>
        <v>1.8079200000000004E-4</v>
      </c>
      <c r="BD62">
        <f>SUM(cna_product_database_catalog_website[[#This Row],[Box CBM]]*35.3147)</f>
        <v>6.3846152424000017E-3</v>
      </c>
      <c r="BE62" t="s">
        <v>48</v>
      </c>
      <c r="BI6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62">
        <f>SUM(cna_product_database_catalog_website[[#This Row],[Carton CFT]]/61024)</f>
        <v>0</v>
      </c>
      <c r="BM62" t="s">
        <v>48</v>
      </c>
      <c r="BN62"/>
      <c r="BO62" t="s">
        <v>48</v>
      </c>
      <c r="BP62" t="s">
        <v>48</v>
      </c>
      <c r="BQ62" t="s">
        <v>48</v>
      </c>
      <c r="BS62" t="s">
        <v>48</v>
      </c>
      <c r="BT62" t="s">
        <v>48</v>
      </c>
      <c r="BU62" t="s">
        <v>48</v>
      </c>
      <c r="BW62" t="s">
        <v>48</v>
      </c>
      <c r="BX62" t="s">
        <v>48</v>
      </c>
      <c r="BY62" t="s">
        <v>48</v>
      </c>
      <c r="BZ62" t="s">
        <v>48</v>
      </c>
      <c r="CA62" t="s">
        <v>48</v>
      </c>
      <c r="CB62" t="s">
        <v>48</v>
      </c>
      <c r="CC62" t="s">
        <v>48</v>
      </c>
      <c r="CD62" t="s">
        <v>48</v>
      </c>
      <c r="CE62" t="s">
        <v>48</v>
      </c>
      <c r="CF62" t="s">
        <v>48</v>
      </c>
      <c r="CG62" t="s">
        <v>48</v>
      </c>
      <c r="CH62" t="s">
        <v>48</v>
      </c>
      <c r="CI62" t="s">
        <v>48</v>
      </c>
      <c r="CJ62" t="s">
        <v>48</v>
      </c>
    </row>
    <row r="63" spans="1:88" x14ac:dyDescent="0.25">
      <c r="A63" s="4" t="s">
        <v>2103</v>
      </c>
      <c r="B63" s="4" t="s">
        <v>2060</v>
      </c>
      <c r="C63" s="4" t="s">
        <v>1714</v>
      </c>
      <c r="D63" s="4" t="str">
        <f>cna_product_database_catalog_website[[#This Row],[MainCategory]]&amp;"&gt;"&amp;cna_product_database_catalog_website[[#This Row],[SubCategory1]]&amp;"&gt;"&amp;cna_product_database_catalog_website[[#This Row],[SubCategory2]]</f>
        <v>Bulbs&gt;G12&gt;GU10 40K</v>
      </c>
      <c r="E63">
        <v>212</v>
      </c>
      <c r="F63" t="s">
        <v>396</v>
      </c>
      <c r="G63" s="3">
        <v>951</v>
      </c>
      <c r="H63" s="8">
        <v>2.5</v>
      </c>
      <c r="I63" t="s">
        <v>396</v>
      </c>
      <c r="J63" t="s">
        <v>396</v>
      </c>
      <c r="K63" t="s">
        <v>392</v>
      </c>
      <c r="L63" t="s">
        <v>342</v>
      </c>
      <c r="M63" s="12" t="str">
        <f>HYPERLINK(cna_product_database_catalog_website[[#This Row],[Spec Sheet Link]], cna_product_database_catalog_website[[#Headers],[Spec Sheet Link]])</f>
        <v>Spec Sheet Link</v>
      </c>
      <c r="N63" t="s">
        <v>47</v>
      </c>
      <c r="O63" s="3">
        <v>1</v>
      </c>
      <c r="P63" s="3">
        <v>1</v>
      </c>
      <c r="Q63" t="s">
        <v>228</v>
      </c>
      <c r="R63" t="s">
        <v>53</v>
      </c>
      <c r="S63" t="s">
        <v>68</v>
      </c>
      <c r="T63" t="s">
        <v>1061</v>
      </c>
      <c r="U63" t="s">
        <v>87</v>
      </c>
      <c r="V63" t="s">
        <v>274</v>
      </c>
      <c r="W63" t="s">
        <v>393</v>
      </c>
      <c r="X63" t="s">
        <v>58</v>
      </c>
      <c r="Y63" s="3" t="s">
        <v>1058</v>
      </c>
      <c r="Z63" s="3" t="s">
        <v>1006</v>
      </c>
      <c r="AA63" s="3" t="s">
        <v>60</v>
      </c>
      <c r="AB63" s="1" t="s">
        <v>1047</v>
      </c>
      <c r="AC63" s="1" t="s">
        <v>1059</v>
      </c>
      <c r="AD63" t="s">
        <v>59</v>
      </c>
      <c r="AE63"/>
      <c r="AF63" t="s">
        <v>48</v>
      </c>
      <c r="AL63" t="s">
        <v>1955</v>
      </c>
      <c r="AM63" t="s">
        <v>300</v>
      </c>
      <c r="AN63" t="s">
        <v>301</v>
      </c>
      <c r="AO63" t="s">
        <v>131</v>
      </c>
      <c r="AP63" t="s">
        <v>337</v>
      </c>
      <c r="AQ63" t="s">
        <v>388</v>
      </c>
      <c r="AR63">
        <v>49</v>
      </c>
      <c r="AS63">
        <v>0.11</v>
      </c>
      <c r="AV63" t="s">
        <v>394</v>
      </c>
      <c r="AW63" t="s">
        <v>633</v>
      </c>
      <c r="AX63" s="2" t="s">
        <v>229</v>
      </c>
      <c r="AY63" s="2" t="s">
        <v>63</v>
      </c>
      <c r="AZ63">
        <v>5.4</v>
      </c>
      <c r="BA63">
        <v>5.4</v>
      </c>
      <c r="BB63">
        <v>6.2</v>
      </c>
      <c r="BC63">
        <f>SUM(cna_product_database_catalog_website[[#This Row],[Box Length (cm)]]*cna_product_database_catalog_website[[#This Row],[Box Width (cm)]]*cna_product_database_catalog_website[[#This Row],[Box Height (cm)]]/1000000)</f>
        <v>1.8079200000000004E-4</v>
      </c>
      <c r="BD63">
        <f>SUM(cna_product_database_catalog_website[[#This Row],[Box CBM]]*35.3147)</f>
        <v>6.3846152424000017E-3</v>
      </c>
      <c r="BE63" t="s">
        <v>48</v>
      </c>
      <c r="BI6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63">
        <f>SUM(cna_product_database_catalog_website[[#This Row],[Carton CFT]]/61024)</f>
        <v>0</v>
      </c>
      <c r="BM63" t="s">
        <v>48</v>
      </c>
      <c r="BN63"/>
      <c r="BO63" t="s">
        <v>48</v>
      </c>
      <c r="BP63" t="s">
        <v>48</v>
      </c>
      <c r="BQ63" t="s">
        <v>48</v>
      </c>
      <c r="BS63" t="s">
        <v>48</v>
      </c>
      <c r="BT63" t="s">
        <v>48</v>
      </c>
      <c r="BU63" t="s">
        <v>48</v>
      </c>
      <c r="BW63" t="s">
        <v>48</v>
      </c>
      <c r="BX63" t="s">
        <v>48</v>
      </c>
      <c r="BY63" t="s">
        <v>48</v>
      </c>
      <c r="BZ63" t="s">
        <v>48</v>
      </c>
      <c r="CA63" t="s">
        <v>48</v>
      </c>
      <c r="CB63" t="s">
        <v>48</v>
      </c>
      <c r="CC63" t="s">
        <v>48</v>
      </c>
      <c r="CD63" t="s">
        <v>48</v>
      </c>
      <c r="CE63" t="s">
        <v>48</v>
      </c>
      <c r="CF63" t="s">
        <v>48</v>
      </c>
      <c r="CG63" t="s">
        <v>48</v>
      </c>
      <c r="CH63" t="s">
        <v>48</v>
      </c>
      <c r="CI63" t="s">
        <v>48</v>
      </c>
      <c r="CJ63" t="s">
        <v>48</v>
      </c>
    </row>
    <row r="64" spans="1:88" x14ac:dyDescent="0.25">
      <c r="A64" s="4" t="s">
        <v>2103</v>
      </c>
      <c r="B64" s="4" t="s">
        <v>383</v>
      </c>
      <c r="C64" s="4" t="s">
        <v>1718</v>
      </c>
      <c r="D64" s="4" t="str">
        <f>cna_product_database_catalog_website[[#This Row],[MainCategory]]&amp;"&gt;"&amp;cna_product_database_catalog_website[[#This Row],[SubCategory1]]&amp;"&gt;"&amp;cna_product_database_catalog_website[[#This Row],[SubCategory2]]</f>
        <v>Bulbs&gt;MR11&gt;MR11 30K</v>
      </c>
      <c r="E64">
        <v>220</v>
      </c>
      <c r="F64" t="s">
        <v>1853</v>
      </c>
      <c r="G64" s="3">
        <v>1116</v>
      </c>
      <c r="H64" s="8">
        <v>4.5</v>
      </c>
      <c r="I64" t="s">
        <v>1853</v>
      </c>
      <c r="J64" t="s">
        <v>1853</v>
      </c>
      <c r="K64" t="s">
        <v>376</v>
      </c>
      <c r="L64" t="s">
        <v>342</v>
      </c>
      <c r="M64" s="12" t="str">
        <f>HYPERLINK(cna_product_database_catalog_website[[#This Row],[Spec Sheet Link]], cna_product_database_catalog_website[[#Headers],[Spec Sheet Link]])</f>
        <v>Spec Sheet Link</v>
      </c>
      <c r="N64" t="s">
        <v>47</v>
      </c>
      <c r="O64" s="3">
        <v>1</v>
      </c>
      <c r="P64" s="3">
        <v>1</v>
      </c>
      <c r="Q64" t="s">
        <v>273</v>
      </c>
      <c r="R64" t="s">
        <v>283</v>
      </c>
      <c r="S64" t="s">
        <v>377</v>
      </c>
      <c r="T64" t="s">
        <v>523</v>
      </c>
      <c r="U64" t="s">
        <v>55</v>
      </c>
      <c r="V64" t="s">
        <v>48</v>
      </c>
      <c r="W64" t="s">
        <v>378</v>
      </c>
      <c r="X64" t="s">
        <v>78</v>
      </c>
      <c r="Y64" s="3" t="s">
        <v>1013</v>
      </c>
      <c r="Z64" s="3" t="s">
        <v>367</v>
      </c>
      <c r="AA64" s="3" t="s">
        <v>60</v>
      </c>
      <c r="AB64" s="1" t="s">
        <v>1008</v>
      </c>
      <c r="AC64" s="1" t="s">
        <v>48</v>
      </c>
      <c r="AD64" t="s">
        <v>59</v>
      </c>
      <c r="AE64"/>
      <c r="AF64" t="s">
        <v>48</v>
      </c>
      <c r="AL64" t="s">
        <v>1957</v>
      </c>
      <c r="AM64" t="s">
        <v>379</v>
      </c>
      <c r="AN64" t="s">
        <v>566</v>
      </c>
      <c r="AO64" t="s">
        <v>380</v>
      </c>
      <c r="AP64" t="s">
        <v>381</v>
      </c>
      <c r="AQ64" t="s">
        <v>382</v>
      </c>
      <c r="AR64">
        <v>43</v>
      </c>
      <c r="AS64">
        <v>0.09</v>
      </c>
      <c r="AV64" t="s">
        <v>383</v>
      </c>
      <c r="AW64" t="s">
        <v>633</v>
      </c>
      <c r="AX64" s="2">
        <v>100</v>
      </c>
      <c r="AY64" s="2">
        <v>100</v>
      </c>
      <c r="BC64">
        <f>SUM(cna_product_database_catalog_website[[#This Row],[Box Length (cm)]]*cna_product_database_catalog_website[[#This Row],[Box Width (cm)]]*cna_product_database_catalog_website[[#This Row],[Box Height (cm)]]/1000000)</f>
        <v>0</v>
      </c>
      <c r="BD64">
        <f>SUM(cna_product_database_catalog_website[[#This Row],[Box CBM]]*35.3147)</f>
        <v>0</v>
      </c>
      <c r="BE64" t="s">
        <v>48</v>
      </c>
      <c r="BI6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64">
        <f>SUM(cna_product_database_catalog_website[[#This Row],[Carton CFT]]/61024)</f>
        <v>0</v>
      </c>
      <c r="BM64" t="s">
        <v>48</v>
      </c>
      <c r="BN64"/>
      <c r="BO64" t="s">
        <v>48</v>
      </c>
      <c r="BP64" t="s">
        <v>48</v>
      </c>
      <c r="BQ64" t="s">
        <v>48</v>
      </c>
      <c r="BS64" t="s">
        <v>48</v>
      </c>
      <c r="BT64" t="s">
        <v>48</v>
      </c>
      <c r="BU64" t="s">
        <v>48</v>
      </c>
      <c r="BW64" t="s">
        <v>48</v>
      </c>
      <c r="BX64" t="s">
        <v>48</v>
      </c>
      <c r="BY64" t="s">
        <v>48</v>
      </c>
      <c r="BZ64" t="s">
        <v>48</v>
      </c>
      <c r="CA64" t="s">
        <v>48</v>
      </c>
      <c r="CB64" t="s">
        <v>48</v>
      </c>
      <c r="CC64" t="s">
        <v>48</v>
      </c>
      <c r="CD64" t="s">
        <v>48</v>
      </c>
      <c r="CE64" t="s">
        <v>48</v>
      </c>
      <c r="CF64" t="s">
        <v>48</v>
      </c>
      <c r="CG64" t="s">
        <v>48</v>
      </c>
      <c r="CH64" t="s">
        <v>48</v>
      </c>
      <c r="CI64" t="s">
        <v>48</v>
      </c>
      <c r="CJ64" t="s">
        <v>48</v>
      </c>
    </row>
    <row r="65" spans="1:88" s="4" customFormat="1" x14ac:dyDescent="0.25">
      <c r="A65" s="4" t="s">
        <v>2103</v>
      </c>
      <c r="B65" s="4" t="s">
        <v>389</v>
      </c>
      <c r="C65" s="4" t="s">
        <v>1719</v>
      </c>
      <c r="D65" s="4" t="str">
        <f>cna_product_database_catalog_website[[#This Row],[MainCategory]]&amp;"&gt;"&amp;cna_product_database_catalog_website[[#This Row],[SubCategory1]]&amp;"&gt;"&amp;cna_product_database_catalog_website[[#This Row],[SubCategory2]]</f>
        <v>Bulbs&gt;MR16&gt;MR16 27K</v>
      </c>
      <c r="E65" s="4">
        <v>225</v>
      </c>
      <c r="F65" s="4" t="s">
        <v>2042</v>
      </c>
      <c r="G65" s="5">
        <v>858</v>
      </c>
      <c r="H65" s="9">
        <v>3.9</v>
      </c>
      <c r="I65" s="4" t="s">
        <v>2042</v>
      </c>
      <c r="J65" s="4" t="s">
        <v>2042</v>
      </c>
      <c r="K65" s="4" t="s">
        <v>2043</v>
      </c>
      <c r="L65" s="4" t="s">
        <v>2045</v>
      </c>
      <c r="M65" s="13" t="str">
        <f>HYPERLINK(cna_product_database_catalog_website[[#This Row],[Spec Sheet Link]], cna_product_database_catalog_website[[#Headers],[Spec Sheet Link]])</f>
        <v>Spec Sheet Link</v>
      </c>
      <c r="N65" s="4" t="s">
        <v>47</v>
      </c>
      <c r="O65" s="5">
        <v>1</v>
      </c>
      <c r="P65" s="5">
        <v>1</v>
      </c>
      <c r="Q65" s="4" t="s">
        <v>228</v>
      </c>
      <c r="R65" s="4" t="s">
        <v>283</v>
      </c>
      <c r="S65" s="4" t="s">
        <v>68</v>
      </c>
      <c r="T65" s="4" t="s">
        <v>1060</v>
      </c>
      <c r="U65" s="4" t="s">
        <v>87</v>
      </c>
      <c r="V65" s="4" t="s">
        <v>274</v>
      </c>
      <c r="W65" s="4" t="s">
        <v>385</v>
      </c>
      <c r="X65" s="4" t="s">
        <v>70</v>
      </c>
      <c r="Y65" s="5" t="s">
        <v>1058</v>
      </c>
      <c r="Z65" s="5" t="s">
        <v>386</v>
      </c>
      <c r="AA65" s="5" t="s">
        <v>60</v>
      </c>
      <c r="AB65" s="6" t="s">
        <v>1047</v>
      </c>
      <c r="AC65" s="6" t="s">
        <v>48</v>
      </c>
      <c r="AD65" s="4" t="s">
        <v>59</v>
      </c>
      <c r="AF65" s="4" t="s">
        <v>48</v>
      </c>
      <c r="AL65" s="4" t="s">
        <v>1958</v>
      </c>
      <c r="AM65" s="4" t="s">
        <v>387</v>
      </c>
      <c r="AN65" s="4" t="s">
        <v>106</v>
      </c>
      <c r="AO65" s="4" t="s">
        <v>131</v>
      </c>
      <c r="AP65" s="4" t="s">
        <v>345</v>
      </c>
      <c r="AQ65" s="4" t="s">
        <v>388</v>
      </c>
      <c r="AR65" s="4">
        <v>49</v>
      </c>
      <c r="AS65" s="4">
        <v>0.11</v>
      </c>
      <c r="AV65" s="4" t="s">
        <v>389</v>
      </c>
      <c r="AW65" s="4" t="s">
        <v>633</v>
      </c>
      <c r="AX65" s="7" t="s">
        <v>229</v>
      </c>
      <c r="AY65" s="7" t="s">
        <v>63</v>
      </c>
      <c r="AZ65" s="4">
        <v>4.8</v>
      </c>
      <c r="BA65" s="4">
        <v>4.8</v>
      </c>
      <c r="BB65" s="4">
        <v>5.4</v>
      </c>
      <c r="BC65" s="4">
        <f>SUM(cna_product_database_catalog_website[[#This Row],[Box Length (cm)]]*cna_product_database_catalog_website[[#This Row],[Box Width (cm)]]*cna_product_database_catalog_website[[#This Row],[Box Height (cm)]]/1000000)</f>
        <v>1.24416E-4</v>
      </c>
      <c r="BD65" s="4">
        <f>SUM(cna_product_database_catalog_website[[#This Row],[Box CBM]]*35.3147)</f>
        <v>4.3937137152000004E-3</v>
      </c>
      <c r="BE65" s="4" t="s">
        <v>48</v>
      </c>
      <c r="BI65" s="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65" s="4">
        <f>SUM(cna_product_database_catalog_website[[#This Row],[Carton CFT]]/61024)</f>
        <v>0</v>
      </c>
      <c r="BM65" s="4" t="s">
        <v>48</v>
      </c>
      <c r="BO65" s="4" t="s">
        <v>48</v>
      </c>
      <c r="BP65" s="4" t="s">
        <v>48</v>
      </c>
      <c r="BQ65" s="4" t="s">
        <v>48</v>
      </c>
      <c r="BS65" s="4" t="s">
        <v>48</v>
      </c>
      <c r="BT65" s="4" t="s">
        <v>48</v>
      </c>
      <c r="BU65" s="4" t="s">
        <v>48</v>
      </c>
      <c r="BW65" s="4" t="s">
        <v>48</v>
      </c>
      <c r="BX65" s="4" t="s">
        <v>48</v>
      </c>
      <c r="BY65" s="4" t="s">
        <v>48</v>
      </c>
      <c r="BZ65" s="4" t="s">
        <v>48</v>
      </c>
      <c r="CA65" s="4" t="s">
        <v>48</v>
      </c>
      <c r="CB65" s="4" t="s">
        <v>48</v>
      </c>
      <c r="CC65" s="4" t="s">
        <v>48</v>
      </c>
      <c r="CD65" s="4" t="s">
        <v>48</v>
      </c>
      <c r="CE65" s="4" t="s">
        <v>48</v>
      </c>
      <c r="CF65" s="4" t="s">
        <v>48</v>
      </c>
      <c r="CG65" s="4" t="s">
        <v>48</v>
      </c>
      <c r="CH65" s="4" t="s">
        <v>48</v>
      </c>
      <c r="CI65" s="4" t="s">
        <v>48</v>
      </c>
      <c r="CJ65" s="4" t="s">
        <v>48</v>
      </c>
    </row>
    <row r="66" spans="1:88" s="4" customFormat="1" x14ac:dyDescent="0.25">
      <c r="A66" s="4" t="s">
        <v>2103</v>
      </c>
      <c r="B66" s="4" t="s">
        <v>389</v>
      </c>
      <c r="C66" s="4" t="s">
        <v>2041</v>
      </c>
      <c r="D66" s="4" t="str">
        <f>cna_product_database_catalog_website[[#This Row],[MainCategory]]&amp;"&gt;"&amp;cna_product_database_catalog_website[[#This Row],[SubCategory1]]&amp;"&gt;"&amp;cna_product_database_catalog_website[[#This Row],[SubCategory2]]</f>
        <v xml:space="preserve">Bulbs&gt;MR16&gt;MR16 30K </v>
      </c>
      <c r="E66" s="4">
        <v>226</v>
      </c>
      <c r="F66" s="4" t="s">
        <v>2036</v>
      </c>
      <c r="G66" s="5">
        <v>1193</v>
      </c>
      <c r="H66" s="9">
        <v>3.9</v>
      </c>
      <c r="I66" s="4" t="s">
        <v>2036</v>
      </c>
      <c r="J66" s="4" t="s">
        <v>2036</v>
      </c>
      <c r="K66" s="4" t="s">
        <v>2044</v>
      </c>
      <c r="L66" s="4" t="s">
        <v>2046</v>
      </c>
      <c r="M66" s="13" t="str">
        <f>HYPERLINK(cna_product_database_catalog_website[[#This Row],[Spec Sheet Link]], cna_product_database_catalog_website[[#Headers],[Spec Sheet Link]])</f>
        <v>Spec Sheet Link</v>
      </c>
      <c r="N66" s="4" t="s">
        <v>47</v>
      </c>
      <c r="O66" s="5">
        <v>1</v>
      </c>
      <c r="P66" s="5">
        <v>1</v>
      </c>
      <c r="Q66" s="4" t="s">
        <v>228</v>
      </c>
      <c r="R66" s="4" t="s">
        <v>283</v>
      </c>
      <c r="S66" s="4" t="s">
        <v>68</v>
      </c>
      <c r="T66" s="4" t="s">
        <v>2037</v>
      </c>
      <c r="U66" s="4" t="s">
        <v>87</v>
      </c>
      <c r="V66" s="4" t="s">
        <v>274</v>
      </c>
      <c r="W66" s="4" t="s">
        <v>385</v>
      </c>
      <c r="X66" s="4" t="s">
        <v>78</v>
      </c>
      <c r="Y66" s="5" t="s">
        <v>1058</v>
      </c>
      <c r="Z66" s="5">
        <v>90</v>
      </c>
      <c r="AA66" s="5" t="s">
        <v>60</v>
      </c>
      <c r="AB66" s="6" t="s">
        <v>1047</v>
      </c>
      <c r="AC66" s="6" t="s">
        <v>71</v>
      </c>
      <c r="AD66" s="4" t="s">
        <v>59</v>
      </c>
      <c r="AF66" s="4" t="s">
        <v>48</v>
      </c>
      <c r="AL66" t="s">
        <v>1958</v>
      </c>
      <c r="AM66" t="s">
        <v>387</v>
      </c>
      <c r="AN66" t="s">
        <v>106</v>
      </c>
      <c r="AO66" t="s">
        <v>131</v>
      </c>
      <c r="AP66" t="s">
        <v>2040</v>
      </c>
      <c r="AQ66" t="s">
        <v>2039</v>
      </c>
      <c r="AR66">
        <v>30</v>
      </c>
      <c r="AS66">
        <v>7.0000000000000007E-2</v>
      </c>
      <c r="AV66" s="4" t="s">
        <v>389</v>
      </c>
      <c r="AW66" s="4" t="s">
        <v>2038</v>
      </c>
      <c r="AX66" s="7" t="s">
        <v>229</v>
      </c>
      <c r="AY66" s="7" t="s">
        <v>63</v>
      </c>
      <c r="AZ66">
        <v>4.8</v>
      </c>
      <c r="BA66">
        <v>4.8</v>
      </c>
      <c r="BB66">
        <v>5.4</v>
      </c>
      <c r="BC66" s="4">
        <f>SUM(cna_product_database_catalog_website[[#This Row],[Box Length (cm)]]*cna_product_database_catalog_website[[#This Row],[Box Width (cm)]]*cna_product_database_catalog_website[[#This Row],[Box Height (cm)]]/1000000)</f>
        <v>1.24416E-4</v>
      </c>
      <c r="BD66" s="4">
        <f>SUM(cna_product_database_catalog_website[[#This Row],[Box CBM]]*35.3147)</f>
        <v>4.3937137152000004E-3</v>
      </c>
      <c r="BE66" s="4" t="s">
        <v>48</v>
      </c>
      <c r="BI66" s="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66" s="4">
        <f>SUM(cna_product_database_catalog_website[[#This Row],[Carton CFT]]/61024)</f>
        <v>0</v>
      </c>
      <c r="BM66" s="4" t="s">
        <v>48</v>
      </c>
      <c r="BO66" s="4" t="s">
        <v>48</v>
      </c>
      <c r="BP66" s="4" t="s">
        <v>48</v>
      </c>
      <c r="BQ66" s="4" t="s">
        <v>48</v>
      </c>
      <c r="BS66" s="4" t="s">
        <v>48</v>
      </c>
      <c r="BT66" s="4" t="s">
        <v>48</v>
      </c>
      <c r="BU66" s="4" t="s">
        <v>48</v>
      </c>
      <c r="BW66" s="4" t="s">
        <v>48</v>
      </c>
      <c r="BX66" s="4" t="s">
        <v>48</v>
      </c>
      <c r="BY66" s="4" t="s">
        <v>48</v>
      </c>
      <c r="BZ66" s="4" t="s">
        <v>48</v>
      </c>
      <c r="CA66" s="4" t="s">
        <v>48</v>
      </c>
      <c r="CB66" s="4" t="s">
        <v>48</v>
      </c>
      <c r="CC66" s="4" t="s">
        <v>48</v>
      </c>
      <c r="CD66" s="4" t="s">
        <v>48</v>
      </c>
      <c r="CE66" s="4" t="s">
        <v>48</v>
      </c>
      <c r="CF66" s="4" t="s">
        <v>48</v>
      </c>
      <c r="CG66" s="4" t="s">
        <v>48</v>
      </c>
      <c r="CH66" s="4" t="s">
        <v>48</v>
      </c>
      <c r="CI66" s="4" t="s">
        <v>48</v>
      </c>
      <c r="CJ66" s="4" t="s">
        <v>48</v>
      </c>
    </row>
    <row r="67" spans="1:88" x14ac:dyDescent="0.25">
      <c r="A67" s="4" t="s">
        <v>2103</v>
      </c>
      <c r="B67" s="4" t="s">
        <v>389</v>
      </c>
      <c r="C67" s="4" t="s">
        <v>1720</v>
      </c>
      <c r="D67" s="4" t="str">
        <f>cna_product_database_catalog_website[[#This Row],[MainCategory]]&amp;"&gt;"&amp;cna_product_database_catalog_website[[#This Row],[SubCategory1]]&amp;"&gt;"&amp;cna_product_database_catalog_website[[#This Row],[SubCategory2]]</f>
        <v>Bulbs&gt;MR16&gt;MR16 40K</v>
      </c>
      <c r="E67">
        <v>227</v>
      </c>
      <c r="F67" t="s">
        <v>390</v>
      </c>
      <c r="G67" s="3">
        <v>914</v>
      </c>
      <c r="H67" s="8">
        <v>4.8</v>
      </c>
      <c r="I67" t="s">
        <v>390</v>
      </c>
      <c r="J67" t="s">
        <v>390</v>
      </c>
      <c r="K67" t="s">
        <v>384</v>
      </c>
      <c r="L67" t="s">
        <v>342</v>
      </c>
      <c r="M67" s="12" t="str">
        <f>HYPERLINK(cna_product_database_catalog_website[[#This Row],[Spec Sheet Link]], cna_product_database_catalog_website[[#Headers],[Spec Sheet Link]])</f>
        <v>Spec Sheet Link</v>
      </c>
      <c r="N67" t="s">
        <v>47</v>
      </c>
      <c r="O67" s="3">
        <v>1</v>
      </c>
      <c r="P67" s="3">
        <v>1</v>
      </c>
      <c r="Q67" t="s">
        <v>228</v>
      </c>
      <c r="R67" t="s">
        <v>283</v>
      </c>
      <c r="S67" t="s">
        <v>68</v>
      </c>
      <c r="T67" t="s">
        <v>1060</v>
      </c>
      <c r="U67" t="s">
        <v>87</v>
      </c>
      <c r="V67" t="s">
        <v>274</v>
      </c>
      <c r="W67" t="s">
        <v>385</v>
      </c>
      <c r="X67" t="s">
        <v>58</v>
      </c>
      <c r="Y67" s="3" t="s">
        <v>1058</v>
      </c>
      <c r="Z67" s="3" t="s">
        <v>386</v>
      </c>
      <c r="AA67" s="3" t="s">
        <v>60</v>
      </c>
      <c r="AB67" s="1" t="s">
        <v>1047</v>
      </c>
      <c r="AC67" s="1" t="s">
        <v>48</v>
      </c>
      <c r="AD67" t="s">
        <v>59</v>
      </c>
      <c r="AE67"/>
      <c r="AF67" t="s">
        <v>48</v>
      </c>
      <c r="AL67" t="s">
        <v>1958</v>
      </c>
      <c r="AM67" t="s">
        <v>387</v>
      </c>
      <c r="AN67" t="s">
        <v>106</v>
      </c>
      <c r="AO67" t="s">
        <v>131</v>
      </c>
      <c r="AP67" t="s">
        <v>345</v>
      </c>
      <c r="AQ67" t="s">
        <v>388</v>
      </c>
      <c r="AR67">
        <v>30</v>
      </c>
      <c r="AS67">
        <v>7.0000000000000007E-2</v>
      </c>
      <c r="AV67" t="s">
        <v>389</v>
      </c>
      <c r="AW67" t="s">
        <v>633</v>
      </c>
      <c r="AX67" s="2" t="s">
        <v>229</v>
      </c>
      <c r="AY67" s="2" t="s">
        <v>63</v>
      </c>
      <c r="AZ67">
        <v>4.8</v>
      </c>
      <c r="BA67">
        <v>4.8</v>
      </c>
      <c r="BB67">
        <v>5.4</v>
      </c>
      <c r="BC67">
        <f>SUM(cna_product_database_catalog_website[[#This Row],[Box Length (cm)]]*cna_product_database_catalog_website[[#This Row],[Box Width (cm)]]*cna_product_database_catalog_website[[#This Row],[Box Height (cm)]]/1000000)</f>
        <v>1.24416E-4</v>
      </c>
      <c r="BD67">
        <f>SUM(cna_product_database_catalog_website[[#This Row],[Box CBM]]*35.3147)</f>
        <v>4.3937137152000004E-3</v>
      </c>
      <c r="BE67" t="s">
        <v>48</v>
      </c>
      <c r="BI6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67">
        <f>SUM(cna_product_database_catalog_website[[#This Row],[Carton CFT]]/61024)</f>
        <v>0</v>
      </c>
      <c r="BM67" t="s">
        <v>48</v>
      </c>
      <c r="BN67"/>
      <c r="BO67" t="s">
        <v>48</v>
      </c>
      <c r="BP67" t="s">
        <v>48</v>
      </c>
      <c r="BQ67" t="s">
        <v>48</v>
      </c>
      <c r="BS67" t="s">
        <v>48</v>
      </c>
      <c r="BT67" t="s">
        <v>48</v>
      </c>
      <c r="BU67" t="s">
        <v>48</v>
      </c>
      <c r="BW67" t="s">
        <v>48</v>
      </c>
      <c r="BX67" t="s">
        <v>48</v>
      </c>
      <c r="BY67" t="s">
        <v>48</v>
      </c>
      <c r="BZ67" t="s">
        <v>48</v>
      </c>
      <c r="CA67" t="s">
        <v>48</v>
      </c>
      <c r="CB67" t="s">
        <v>48</v>
      </c>
      <c r="CC67" t="s">
        <v>48</v>
      </c>
      <c r="CD67" t="s">
        <v>48</v>
      </c>
      <c r="CE67" t="s">
        <v>48</v>
      </c>
      <c r="CF67" t="s">
        <v>48</v>
      </c>
      <c r="CG67" t="s">
        <v>48</v>
      </c>
      <c r="CH67" t="s">
        <v>48</v>
      </c>
      <c r="CI67" t="s">
        <v>48</v>
      </c>
      <c r="CJ67" t="s">
        <v>48</v>
      </c>
    </row>
    <row r="68" spans="1:88" x14ac:dyDescent="0.25">
      <c r="A68" s="4" t="s">
        <v>2103</v>
      </c>
      <c r="B68" s="4" t="s">
        <v>2061</v>
      </c>
      <c r="C68" s="4" t="s">
        <v>1715</v>
      </c>
      <c r="D68" s="4" t="str">
        <f>cna_product_database_catalog_website[[#This Row],[MainCategory]]&amp;"&gt;"&amp;cna_product_database_catalog_website[[#This Row],[SubCategory1]]&amp;"&gt;"&amp;cna_product_database_catalog_website[[#This Row],[SubCategory2]]</f>
        <v>Bulbs&gt;PAR&gt;PAR16 Short 30K</v>
      </c>
      <c r="E68">
        <v>235</v>
      </c>
      <c r="F68" t="s">
        <v>332</v>
      </c>
      <c r="G68" s="3">
        <v>1028</v>
      </c>
      <c r="H68" s="8">
        <v>2.9</v>
      </c>
      <c r="I68" t="s">
        <v>332</v>
      </c>
      <c r="J68" t="s">
        <v>332</v>
      </c>
      <c r="K68" t="s">
        <v>333</v>
      </c>
      <c r="L68" t="s">
        <v>334</v>
      </c>
      <c r="M68" s="12" t="str">
        <f>HYPERLINK(cna_product_database_catalog_website[[#This Row],[Spec Sheet Link]], cna_product_database_catalog_website[[#Headers],[Spec Sheet Link]])</f>
        <v>Spec Sheet Link</v>
      </c>
      <c r="N68" t="s">
        <v>47</v>
      </c>
      <c r="O68" s="3">
        <v>1</v>
      </c>
      <c r="P68" s="3">
        <v>1</v>
      </c>
      <c r="Q68" t="s">
        <v>220</v>
      </c>
      <c r="R68" t="s">
        <v>53</v>
      </c>
      <c r="S68" t="s">
        <v>68</v>
      </c>
      <c r="T68" t="s">
        <v>1099</v>
      </c>
      <c r="U68" t="s">
        <v>55</v>
      </c>
      <c r="V68" t="s">
        <v>274</v>
      </c>
      <c r="W68" t="s">
        <v>88</v>
      </c>
      <c r="X68" t="s">
        <v>78</v>
      </c>
      <c r="Y68" s="3" t="s">
        <v>1014</v>
      </c>
      <c r="Z68" s="3" t="s">
        <v>1006</v>
      </c>
      <c r="AA68" s="3" t="s">
        <v>60</v>
      </c>
      <c r="AB68" s="1" t="s">
        <v>1008</v>
      </c>
      <c r="AC68" s="1" t="s">
        <v>48</v>
      </c>
      <c r="AD68" t="s">
        <v>59</v>
      </c>
      <c r="AE68"/>
      <c r="AF68" t="s">
        <v>48</v>
      </c>
      <c r="AL68" t="s">
        <v>1959</v>
      </c>
      <c r="AM68" t="s">
        <v>335</v>
      </c>
      <c r="AN68" t="s">
        <v>336</v>
      </c>
      <c r="AO68" t="s">
        <v>131</v>
      </c>
      <c r="AP68" t="s">
        <v>337</v>
      </c>
      <c r="AQ68" t="s">
        <v>338</v>
      </c>
      <c r="AR68">
        <v>43</v>
      </c>
      <c r="AS68">
        <v>0.09</v>
      </c>
      <c r="AV68" t="s">
        <v>339</v>
      </c>
      <c r="AW68" t="s">
        <v>633</v>
      </c>
      <c r="AX68" s="2" t="s">
        <v>229</v>
      </c>
      <c r="AY68" s="2" t="s">
        <v>63</v>
      </c>
      <c r="AZ68">
        <v>5.4</v>
      </c>
      <c r="BA68">
        <v>5.4</v>
      </c>
      <c r="BB68">
        <v>6.5</v>
      </c>
      <c r="BC68">
        <f>SUM(cna_product_database_catalog_website[[#This Row],[Box Length (cm)]]*cna_product_database_catalog_website[[#This Row],[Box Width (cm)]]*cna_product_database_catalog_website[[#This Row],[Box Height (cm)]]/1000000)</f>
        <v>1.8954000000000003E-4</v>
      </c>
      <c r="BD68">
        <f>SUM(cna_product_database_catalog_website[[#This Row],[Box CBM]]*35.3147)</f>
        <v>6.6935482380000013E-3</v>
      </c>
      <c r="BE68" t="s">
        <v>48</v>
      </c>
      <c r="BI6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68">
        <f>SUM(cna_product_database_catalog_website[[#This Row],[Carton CFT]]/61024)</f>
        <v>0</v>
      </c>
      <c r="BM68" t="s">
        <v>48</v>
      </c>
      <c r="BN68"/>
      <c r="BO68" t="s">
        <v>48</v>
      </c>
      <c r="BP68" t="s">
        <v>48</v>
      </c>
      <c r="BQ68" t="s">
        <v>48</v>
      </c>
      <c r="BS68" t="s">
        <v>48</v>
      </c>
      <c r="BT68" t="s">
        <v>48</v>
      </c>
      <c r="BU68" t="s">
        <v>48</v>
      </c>
      <c r="BW68" t="s">
        <v>48</v>
      </c>
      <c r="BX68" t="s">
        <v>48</v>
      </c>
      <c r="BY68" t="s">
        <v>48</v>
      </c>
      <c r="BZ68" t="s">
        <v>48</v>
      </c>
      <c r="CA68" t="s">
        <v>48</v>
      </c>
      <c r="CB68" t="s">
        <v>48</v>
      </c>
      <c r="CC68" t="s">
        <v>48</v>
      </c>
      <c r="CD68" t="s">
        <v>48</v>
      </c>
      <c r="CE68" t="s">
        <v>48</v>
      </c>
      <c r="CF68" t="s">
        <v>48</v>
      </c>
      <c r="CG68" t="s">
        <v>48</v>
      </c>
      <c r="CH68" t="s">
        <v>48</v>
      </c>
      <c r="CI68" t="s">
        <v>48</v>
      </c>
      <c r="CJ68" t="s">
        <v>48</v>
      </c>
    </row>
    <row r="69" spans="1:88" x14ac:dyDescent="0.25">
      <c r="A69" s="4" t="s">
        <v>2103</v>
      </c>
      <c r="B69" s="4" t="s">
        <v>2061</v>
      </c>
      <c r="C69" s="4" t="s">
        <v>1716</v>
      </c>
      <c r="D69" s="4" t="str">
        <f>cna_product_database_catalog_website[[#This Row],[MainCategory]]&amp;"&gt;"&amp;cna_product_database_catalog_website[[#This Row],[SubCategory1]]&amp;"&gt;"&amp;cna_product_database_catalog_website[[#This Row],[SubCategory2]]</f>
        <v>Bulbs&gt;PAR&gt;PAR16 Short 40K</v>
      </c>
      <c r="E69">
        <v>236</v>
      </c>
      <c r="F69" t="s">
        <v>340</v>
      </c>
      <c r="G69" s="3">
        <v>1029</v>
      </c>
      <c r="H69" s="8">
        <v>2.9</v>
      </c>
      <c r="I69" t="s">
        <v>340</v>
      </c>
      <c r="J69" t="s">
        <v>340</v>
      </c>
      <c r="K69" t="s">
        <v>333</v>
      </c>
      <c r="L69" t="s">
        <v>334</v>
      </c>
      <c r="M69" s="12" t="str">
        <f>HYPERLINK(cna_product_database_catalog_website[[#This Row],[Spec Sheet Link]], cna_product_database_catalog_website[[#Headers],[Spec Sheet Link]])</f>
        <v>Spec Sheet Link</v>
      </c>
      <c r="N69" t="s">
        <v>47</v>
      </c>
      <c r="O69" s="3">
        <v>1</v>
      </c>
      <c r="P69" s="3">
        <v>1</v>
      </c>
      <c r="Q69" t="s">
        <v>220</v>
      </c>
      <c r="R69" t="s">
        <v>53</v>
      </c>
      <c r="S69" t="s">
        <v>68</v>
      </c>
      <c r="T69" t="s">
        <v>1099</v>
      </c>
      <c r="U69" t="s">
        <v>55</v>
      </c>
      <c r="V69" t="s">
        <v>274</v>
      </c>
      <c r="W69" t="s">
        <v>88</v>
      </c>
      <c r="X69" t="s">
        <v>58</v>
      </c>
      <c r="Y69" s="3" t="s">
        <v>1014</v>
      </c>
      <c r="Z69" s="3" t="s">
        <v>1006</v>
      </c>
      <c r="AA69" s="3" t="s">
        <v>60</v>
      </c>
      <c r="AB69" s="1" t="s">
        <v>1008</v>
      </c>
      <c r="AC69" s="1" t="s">
        <v>48</v>
      </c>
      <c r="AD69" t="s">
        <v>59</v>
      </c>
      <c r="AE69"/>
      <c r="AF69" t="s">
        <v>48</v>
      </c>
      <c r="AL69" t="s">
        <v>1959</v>
      </c>
      <c r="AM69" t="s">
        <v>335</v>
      </c>
      <c r="AN69" t="s">
        <v>336</v>
      </c>
      <c r="AO69" t="s">
        <v>131</v>
      </c>
      <c r="AP69" t="s">
        <v>337</v>
      </c>
      <c r="AQ69" t="s">
        <v>338</v>
      </c>
      <c r="AR69">
        <v>43</v>
      </c>
      <c r="AS69">
        <v>0.09</v>
      </c>
      <c r="AV69" t="s">
        <v>339</v>
      </c>
      <c r="AW69" t="s">
        <v>633</v>
      </c>
      <c r="AX69" s="2" t="s">
        <v>229</v>
      </c>
      <c r="AY69" s="2" t="s">
        <v>63</v>
      </c>
      <c r="AZ69">
        <v>5.4</v>
      </c>
      <c r="BA69">
        <v>5.4</v>
      </c>
      <c r="BB69">
        <v>6.5</v>
      </c>
      <c r="BC69">
        <f>SUM(cna_product_database_catalog_website[[#This Row],[Box Length (cm)]]*cna_product_database_catalog_website[[#This Row],[Box Width (cm)]]*cna_product_database_catalog_website[[#This Row],[Box Height (cm)]]/1000000)</f>
        <v>1.8954000000000003E-4</v>
      </c>
      <c r="BD69">
        <f>SUM(cna_product_database_catalog_website[[#This Row],[Box CBM]]*35.3147)</f>
        <v>6.6935482380000013E-3</v>
      </c>
      <c r="BE69" t="s">
        <v>48</v>
      </c>
      <c r="BI6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69">
        <f>SUM(cna_product_database_catalog_website[[#This Row],[Carton CFT]]/61024)</f>
        <v>0</v>
      </c>
      <c r="BM69" t="s">
        <v>48</v>
      </c>
      <c r="BN69"/>
      <c r="BO69" t="s">
        <v>48</v>
      </c>
      <c r="BP69" t="s">
        <v>48</v>
      </c>
      <c r="BQ69" t="s">
        <v>48</v>
      </c>
      <c r="BS69" t="s">
        <v>48</v>
      </c>
      <c r="BT69" t="s">
        <v>48</v>
      </c>
      <c r="BU69" t="s">
        <v>48</v>
      </c>
      <c r="BW69" t="s">
        <v>48</v>
      </c>
      <c r="BX69" t="s">
        <v>48</v>
      </c>
      <c r="BY69" t="s">
        <v>48</v>
      </c>
      <c r="BZ69" t="s">
        <v>48</v>
      </c>
      <c r="CA69" t="s">
        <v>48</v>
      </c>
      <c r="CB69" t="s">
        <v>48</v>
      </c>
      <c r="CC69" t="s">
        <v>48</v>
      </c>
      <c r="CD69" t="s">
        <v>48</v>
      </c>
      <c r="CE69" t="s">
        <v>48</v>
      </c>
      <c r="CF69" t="s">
        <v>48</v>
      </c>
      <c r="CG69" t="s">
        <v>48</v>
      </c>
      <c r="CH69" t="s">
        <v>48</v>
      </c>
      <c r="CI69" t="s">
        <v>48</v>
      </c>
      <c r="CJ69" t="s">
        <v>48</v>
      </c>
    </row>
    <row r="70" spans="1:88" x14ac:dyDescent="0.25">
      <c r="A70" s="4" t="s">
        <v>2103</v>
      </c>
      <c r="B70" s="4" t="s">
        <v>2061</v>
      </c>
      <c r="C70" s="4" t="s">
        <v>1717</v>
      </c>
      <c r="D70" s="4" t="str">
        <f>cna_product_database_catalog_website[[#This Row],[MainCategory]]&amp;"&gt;"&amp;cna_product_database_catalog_website[[#This Row],[SubCategory1]]&amp;"&gt;"&amp;cna_product_database_catalog_website[[#This Row],[SubCategory2]]</f>
        <v>Bulbs&gt;PAR&gt;PAR16 40K</v>
      </c>
      <c r="E70">
        <v>237</v>
      </c>
      <c r="F70" t="s">
        <v>1881</v>
      </c>
      <c r="G70" s="3">
        <v>861</v>
      </c>
      <c r="H70" s="8">
        <v>2.7</v>
      </c>
      <c r="I70" t="s">
        <v>1881</v>
      </c>
      <c r="J70" t="s">
        <v>1882</v>
      </c>
      <c r="K70" t="s">
        <v>341</v>
      </c>
      <c r="L70" t="s">
        <v>342</v>
      </c>
      <c r="M70" s="12" t="str">
        <f>HYPERLINK(cna_product_database_catalog_website[[#This Row],[Spec Sheet Link]], cna_product_database_catalog_website[[#Headers],[Spec Sheet Link]])</f>
        <v>Spec Sheet Link</v>
      </c>
      <c r="N70" t="s">
        <v>47</v>
      </c>
      <c r="O70" s="3">
        <v>1</v>
      </c>
      <c r="P70" s="3">
        <v>1</v>
      </c>
      <c r="Q70" t="s">
        <v>228</v>
      </c>
      <c r="R70" t="s">
        <v>53</v>
      </c>
      <c r="S70" t="s">
        <v>68</v>
      </c>
      <c r="T70" t="s">
        <v>1061</v>
      </c>
      <c r="U70" t="s">
        <v>87</v>
      </c>
      <c r="V70" t="s">
        <v>274</v>
      </c>
      <c r="W70" t="s">
        <v>88</v>
      </c>
      <c r="X70" t="s">
        <v>58</v>
      </c>
      <c r="Y70" s="3" t="s">
        <v>1014</v>
      </c>
      <c r="Z70" s="3" t="s">
        <v>1006</v>
      </c>
      <c r="AA70" s="3" t="s">
        <v>60</v>
      </c>
      <c r="AB70" s="1" t="s">
        <v>1008</v>
      </c>
      <c r="AC70" s="1" t="s">
        <v>48</v>
      </c>
      <c r="AD70" t="s">
        <v>59</v>
      </c>
      <c r="AE70"/>
      <c r="AF70" t="s">
        <v>48</v>
      </c>
      <c r="AL70" t="s">
        <v>1960</v>
      </c>
      <c r="AM70" t="s">
        <v>343</v>
      </c>
      <c r="AN70" t="s">
        <v>344</v>
      </c>
      <c r="AO70" t="s">
        <v>131</v>
      </c>
      <c r="AP70" t="s">
        <v>345</v>
      </c>
      <c r="AQ70" t="s">
        <v>338</v>
      </c>
      <c r="AR70">
        <v>69</v>
      </c>
      <c r="AS70">
        <v>0.152</v>
      </c>
      <c r="AV70" t="s">
        <v>339</v>
      </c>
      <c r="AW70" t="s">
        <v>1044</v>
      </c>
      <c r="AX70" s="2" t="s">
        <v>229</v>
      </c>
      <c r="AY70" s="2" t="s">
        <v>63</v>
      </c>
      <c r="AZ70">
        <v>5.8</v>
      </c>
      <c r="BA70">
        <v>5.6</v>
      </c>
      <c r="BB70">
        <v>8.6999999999999993</v>
      </c>
      <c r="BC70">
        <f>SUM(cna_product_database_catalog_website[[#This Row],[Box Length (cm)]]*cna_product_database_catalog_website[[#This Row],[Box Width (cm)]]*cna_product_database_catalog_website[[#This Row],[Box Height (cm)]]/1000000)</f>
        <v>2.8257599999999999E-4</v>
      </c>
      <c r="BD70">
        <f>SUM(cna_product_database_catalog_website[[#This Row],[Box CBM]]*35.3147)</f>
        <v>9.9790866672E-3</v>
      </c>
      <c r="BE70" t="s">
        <v>48</v>
      </c>
      <c r="BI7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70">
        <f>SUM(cna_product_database_catalog_website[[#This Row],[Carton CFT]]/61024)</f>
        <v>0</v>
      </c>
      <c r="BM70" t="s">
        <v>48</v>
      </c>
      <c r="BN70"/>
      <c r="BO70" t="s">
        <v>48</v>
      </c>
      <c r="BP70" t="s">
        <v>48</v>
      </c>
      <c r="BQ70" t="s">
        <v>48</v>
      </c>
      <c r="BS70" t="s">
        <v>48</v>
      </c>
      <c r="BT70" t="s">
        <v>48</v>
      </c>
      <c r="BU70" t="s">
        <v>48</v>
      </c>
      <c r="BW70" t="s">
        <v>48</v>
      </c>
      <c r="BX70" t="s">
        <v>48</v>
      </c>
      <c r="BY70" t="s">
        <v>48</v>
      </c>
      <c r="BZ70" t="s">
        <v>48</v>
      </c>
      <c r="CA70" t="s">
        <v>48</v>
      </c>
      <c r="CB70" t="s">
        <v>48</v>
      </c>
      <c r="CC70" t="s">
        <v>48</v>
      </c>
      <c r="CD70" t="s">
        <v>48</v>
      </c>
      <c r="CE70" t="s">
        <v>48</v>
      </c>
      <c r="CF70" t="s">
        <v>48</v>
      </c>
      <c r="CG70" t="s">
        <v>48</v>
      </c>
      <c r="CH70" t="s">
        <v>48</v>
      </c>
      <c r="CI70" t="s">
        <v>48</v>
      </c>
      <c r="CJ70" t="s">
        <v>48</v>
      </c>
    </row>
    <row r="71" spans="1:88" x14ac:dyDescent="0.25">
      <c r="A71" s="4" t="s">
        <v>2103</v>
      </c>
      <c r="B71" s="4" t="s">
        <v>2061</v>
      </c>
      <c r="C71" s="4" t="s">
        <v>1226</v>
      </c>
      <c r="D71" s="4" t="str">
        <f>cna_product_database_catalog_website[[#This Row],[MainCategory]]&amp;"&gt;"&amp;cna_product_database_catalog_website[[#This Row],[SubCategory1]]&amp;"&gt;"&amp;cna_product_database_catalog_website[[#This Row],[SubCategory2]]</f>
        <v>Bulbs&gt;PAR&gt;PAR20 - 5CCT</v>
      </c>
      <c r="E71">
        <v>240</v>
      </c>
      <c r="F71" t="s">
        <v>1854</v>
      </c>
      <c r="G71" s="3">
        <v>1217</v>
      </c>
      <c r="H71" s="8">
        <v>3.8</v>
      </c>
      <c r="I71" t="s">
        <v>1854</v>
      </c>
      <c r="J71" t="s">
        <v>1854</v>
      </c>
      <c r="K71" t="s">
        <v>346</v>
      </c>
      <c r="L71" t="s">
        <v>347</v>
      </c>
      <c r="M71" s="12" t="str">
        <f>HYPERLINK(cna_product_database_catalog_website[[#This Row],[Spec Sheet Link]], cna_product_database_catalog_website[[#Headers],[Spec Sheet Link]])</f>
        <v>Spec Sheet Link</v>
      </c>
      <c r="N71" t="s">
        <v>47</v>
      </c>
      <c r="O71" s="3">
        <v>1</v>
      </c>
      <c r="P71" s="3">
        <v>1</v>
      </c>
      <c r="Q71" t="s">
        <v>154</v>
      </c>
      <c r="R71" t="s">
        <v>53</v>
      </c>
      <c r="S71" t="s">
        <v>68</v>
      </c>
      <c r="T71" t="s">
        <v>1054</v>
      </c>
      <c r="U71" t="s">
        <v>55</v>
      </c>
      <c r="V71" t="s">
        <v>48</v>
      </c>
      <c r="W71" t="s">
        <v>88</v>
      </c>
      <c r="X71" t="s">
        <v>348</v>
      </c>
      <c r="Y71" s="3" t="s">
        <v>1014</v>
      </c>
      <c r="Z71" s="3" t="s">
        <v>1006</v>
      </c>
      <c r="AA71" s="3" t="s">
        <v>60</v>
      </c>
      <c r="AB71" s="1" t="s">
        <v>1008</v>
      </c>
      <c r="AC71" s="1" t="s">
        <v>48</v>
      </c>
      <c r="AD71" t="s">
        <v>59</v>
      </c>
      <c r="AE71"/>
      <c r="AF71" t="s">
        <v>48</v>
      </c>
      <c r="AL71" t="s">
        <v>104</v>
      </c>
      <c r="AM71" t="s">
        <v>102</v>
      </c>
      <c r="AN71" t="s">
        <v>103</v>
      </c>
      <c r="AO71" t="s">
        <v>349</v>
      </c>
      <c r="AP71" t="s">
        <v>175</v>
      </c>
      <c r="AQ71" t="s">
        <v>2005</v>
      </c>
      <c r="AR71">
        <v>66</v>
      </c>
      <c r="AS71">
        <v>0.14499999999999999</v>
      </c>
      <c r="AV71" t="s">
        <v>350</v>
      </c>
      <c r="AW71" t="s">
        <v>633</v>
      </c>
      <c r="AX71" s="2">
        <v>50</v>
      </c>
      <c r="AY71" s="2">
        <v>50</v>
      </c>
      <c r="AZ71">
        <v>6.6</v>
      </c>
      <c r="BA71">
        <v>6.6</v>
      </c>
      <c r="BB71">
        <v>9.5</v>
      </c>
      <c r="BC71">
        <f>SUM(cna_product_database_catalog_website[[#This Row],[Box Length (cm)]]*cna_product_database_catalog_website[[#This Row],[Box Width (cm)]]*cna_product_database_catalog_website[[#This Row],[Box Height (cm)]]/1000000)</f>
        <v>4.1381999999999991E-4</v>
      </c>
      <c r="BD71">
        <f>SUM(cna_product_database_catalog_website[[#This Row],[Box CBM]]*35.3147)</f>
        <v>1.4613929153999998E-2</v>
      </c>
      <c r="BE71" t="s">
        <v>48</v>
      </c>
      <c r="BI7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71">
        <f>SUM(cna_product_database_catalog_website[[#This Row],[Carton CFT]]/61024)</f>
        <v>0</v>
      </c>
      <c r="BM71" t="s">
        <v>48</v>
      </c>
      <c r="BN71"/>
      <c r="BO71" t="s">
        <v>48</v>
      </c>
      <c r="BP71" t="s">
        <v>48</v>
      </c>
      <c r="BQ71" t="s">
        <v>48</v>
      </c>
      <c r="BS71" t="s">
        <v>48</v>
      </c>
      <c r="BT71" t="s">
        <v>48</v>
      </c>
      <c r="BU71" t="s">
        <v>48</v>
      </c>
      <c r="BW71" t="s">
        <v>48</v>
      </c>
      <c r="BX71" t="s">
        <v>48</v>
      </c>
      <c r="BY71" t="s">
        <v>48</v>
      </c>
      <c r="BZ71" t="s">
        <v>48</v>
      </c>
      <c r="CA71" t="s">
        <v>48</v>
      </c>
      <c r="CB71" t="s">
        <v>48</v>
      </c>
      <c r="CC71" t="s">
        <v>48</v>
      </c>
      <c r="CD71" t="s">
        <v>48</v>
      </c>
      <c r="CE71" t="s">
        <v>48</v>
      </c>
      <c r="CF71" t="s">
        <v>48</v>
      </c>
      <c r="CG71" t="s">
        <v>48</v>
      </c>
      <c r="CH71" t="s">
        <v>48</v>
      </c>
      <c r="CI71" t="s">
        <v>48</v>
      </c>
      <c r="CJ71" t="s">
        <v>48</v>
      </c>
    </row>
    <row r="72" spans="1:88" x14ac:dyDescent="0.25">
      <c r="A72" s="4" t="s">
        <v>2103</v>
      </c>
      <c r="B72" s="4" t="s">
        <v>2061</v>
      </c>
      <c r="C72" s="4" t="s">
        <v>1228</v>
      </c>
      <c r="D72" s="4" t="str">
        <f>cna_product_database_catalog_website[[#This Row],[MainCategory]]&amp;"&gt;"&amp;cna_product_database_catalog_website[[#This Row],[SubCategory1]]&amp;"&gt;"&amp;cna_product_database_catalog_website[[#This Row],[SubCategory2]]</f>
        <v>Bulbs&gt;PAR&gt;PAR30L - 5CCT</v>
      </c>
      <c r="E72">
        <v>245</v>
      </c>
      <c r="F72" t="s">
        <v>1855</v>
      </c>
      <c r="G72" s="3">
        <v>1218</v>
      </c>
      <c r="H72" s="8">
        <v>5.5</v>
      </c>
      <c r="I72" t="s">
        <v>1855</v>
      </c>
      <c r="J72" t="s">
        <v>1855</v>
      </c>
      <c r="K72" t="s">
        <v>353</v>
      </c>
      <c r="L72" t="s">
        <v>354</v>
      </c>
      <c r="M72" s="12" t="str">
        <f>HYPERLINK(cna_product_database_catalog_website[[#This Row],[Spec Sheet Link]], cna_product_database_catalog_website[[#Headers],[Spec Sheet Link]])</f>
        <v>Spec Sheet Link</v>
      </c>
      <c r="N72" t="s">
        <v>47</v>
      </c>
      <c r="O72" s="3">
        <v>1</v>
      </c>
      <c r="P72" s="3">
        <v>1</v>
      </c>
      <c r="Q72" t="s">
        <v>239</v>
      </c>
      <c r="R72" t="s">
        <v>53</v>
      </c>
      <c r="S72" t="s">
        <v>121</v>
      </c>
      <c r="T72" t="s">
        <v>1094</v>
      </c>
      <c r="U72" t="s">
        <v>55</v>
      </c>
      <c r="V72" t="s">
        <v>48</v>
      </c>
      <c r="W72" t="s">
        <v>88</v>
      </c>
      <c r="X72" t="s">
        <v>348</v>
      </c>
      <c r="Y72" s="3" t="s">
        <v>1014</v>
      </c>
      <c r="Z72" s="3" t="s">
        <v>1006</v>
      </c>
      <c r="AA72" s="3" t="s">
        <v>60</v>
      </c>
      <c r="AB72" s="1" t="s">
        <v>1008</v>
      </c>
      <c r="AC72" s="1" t="s">
        <v>48</v>
      </c>
      <c r="AD72" t="s">
        <v>59</v>
      </c>
      <c r="AE72"/>
      <c r="AF72" t="s">
        <v>48</v>
      </c>
      <c r="AL72" t="s">
        <v>1961</v>
      </c>
      <c r="AM72" t="s">
        <v>355</v>
      </c>
      <c r="AN72" t="s">
        <v>356</v>
      </c>
      <c r="AO72" t="s">
        <v>357</v>
      </c>
      <c r="AP72" t="s">
        <v>358</v>
      </c>
      <c r="AQ72" t="s">
        <v>2003</v>
      </c>
      <c r="AR72">
        <v>136</v>
      </c>
      <c r="AS72">
        <v>0.29899999999999999</v>
      </c>
      <c r="AV72" t="s">
        <v>359</v>
      </c>
      <c r="AW72" t="s">
        <v>633</v>
      </c>
      <c r="AX72" s="2">
        <v>20</v>
      </c>
      <c r="AY72" s="2">
        <v>40</v>
      </c>
      <c r="AZ72">
        <v>10.199999999999999</v>
      </c>
      <c r="BA72">
        <v>10</v>
      </c>
      <c r="BB72">
        <v>12.7</v>
      </c>
      <c r="BC72">
        <f>SUM(cna_product_database_catalog_website[[#This Row],[Box Length (cm)]]*cna_product_database_catalog_website[[#This Row],[Box Width (cm)]]*cna_product_database_catalog_website[[#This Row],[Box Height (cm)]]/1000000)</f>
        <v>1.2953999999999999E-3</v>
      </c>
      <c r="BD72">
        <f>SUM(cna_product_database_catalog_website[[#This Row],[Box CBM]]*35.3147)</f>
        <v>4.5746662379999997E-2</v>
      </c>
      <c r="BE72" t="s">
        <v>48</v>
      </c>
      <c r="BI7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72">
        <f>SUM(cna_product_database_catalog_website[[#This Row],[Carton CFT]]/61024)</f>
        <v>0</v>
      </c>
      <c r="BM72" t="s">
        <v>48</v>
      </c>
      <c r="BN72"/>
      <c r="BO72" t="s">
        <v>48</v>
      </c>
      <c r="BP72" t="s">
        <v>48</v>
      </c>
      <c r="BQ72" t="s">
        <v>48</v>
      </c>
      <c r="BS72" t="s">
        <v>48</v>
      </c>
      <c r="BT72" t="s">
        <v>48</v>
      </c>
      <c r="BU72" t="s">
        <v>48</v>
      </c>
      <c r="BW72" t="s">
        <v>48</v>
      </c>
      <c r="BX72" t="s">
        <v>48</v>
      </c>
      <c r="BY72" t="s">
        <v>48</v>
      </c>
      <c r="BZ72" t="s">
        <v>48</v>
      </c>
      <c r="CA72" t="s">
        <v>48</v>
      </c>
      <c r="CB72" t="s">
        <v>48</v>
      </c>
      <c r="CC72" t="s">
        <v>48</v>
      </c>
      <c r="CD72" t="s">
        <v>48</v>
      </c>
      <c r="CE72" t="s">
        <v>48</v>
      </c>
      <c r="CF72" t="s">
        <v>48</v>
      </c>
      <c r="CG72" t="s">
        <v>48</v>
      </c>
      <c r="CH72" t="s">
        <v>48</v>
      </c>
      <c r="CI72" t="s">
        <v>48</v>
      </c>
      <c r="CJ72" t="s">
        <v>48</v>
      </c>
    </row>
    <row r="73" spans="1:88" x14ac:dyDescent="0.25">
      <c r="A73" s="4" t="s">
        <v>2103</v>
      </c>
      <c r="B73" s="4" t="s">
        <v>2061</v>
      </c>
      <c r="C73" s="4" t="s">
        <v>1229</v>
      </c>
      <c r="D73" s="4" t="str">
        <f>cna_product_database_catalog_website[[#This Row],[MainCategory]]&amp;"&gt;"&amp;cna_product_database_catalog_website[[#This Row],[SubCategory1]]&amp;"&gt;"&amp;cna_product_database_catalog_website[[#This Row],[SubCategory2]]</f>
        <v>Bulbs&gt;PAR&gt;PAR30S - 5CCT</v>
      </c>
      <c r="E73">
        <v>246</v>
      </c>
      <c r="F73" t="s">
        <v>1856</v>
      </c>
      <c r="G73" s="3">
        <v>1219</v>
      </c>
      <c r="H73" s="8">
        <v>5.5</v>
      </c>
      <c r="I73" t="s">
        <v>1856</v>
      </c>
      <c r="J73" t="s">
        <v>1856</v>
      </c>
      <c r="K73" t="s">
        <v>360</v>
      </c>
      <c r="L73" t="s">
        <v>361</v>
      </c>
      <c r="M73" s="12" t="str">
        <f>HYPERLINK(cna_product_database_catalog_website[[#This Row],[Spec Sheet Link]], cna_product_database_catalog_website[[#Headers],[Spec Sheet Link]])</f>
        <v>Spec Sheet Link</v>
      </c>
      <c r="N73" t="s">
        <v>47</v>
      </c>
      <c r="O73" s="3">
        <v>1</v>
      </c>
      <c r="P73" s="3">
        <v>1</v>
      </c>
      <c r="Q73" t="s">
        <v>239</v>
      </c>
      <c r="R73" t="s">
        <v>53</v>
      </c>
      <c r="S73" t="s">
        <v>121</v>
      </c>
      <c r="T73" t="s">
        <v>1094</v>
      </c>
      <c r="U73" t="s">
        <v>55</v>
      </c>
      <c r="V73" t="s">
        <v>48</v>
      </c>
      <c r="W73" t="s">
        <v>88</v>
      </c>
      <c r="X73" t="s">
        <v>348</v>
      </c>
      <c r="Y73" s="3" t="s">
        <v>1014</v>
      </c>
      <c r="Z73" s="3" t="s">
        <v>1006</v>
      </c>
      <c r="AA73" s="3" t="s">
        <v>60</v>
      </c>
      <c r="AB73" s="1" t="s">
        <v>1008</v>
      </c>
      <c r="AC73" s="1" t="s">
        <v>48</v>
      </c>
      <c r="AD73" t="s">
        <v>59</v>
      </c>
      <c r="AE73"/>
      <c r="AF73" t="s">
        <v>48</v>
      </c>
      <c r="AL73" t="s">
        <v>1962</v>
      </c>
      <c r="AM73" t="s">
        <v>1956</v>
      </c>
      <c r="AN73" t="s">
        <v>362</v>
      </c>
      <c r="AO73" t="s">
        <v>357</v>
      </c>
      <c r="AP73" t="s">
        <v>358</v>
      </c>
      <c r="AQ73" t="s">
        <v>2003</v>
      </c>
      <c r="AV73" t="s">
        <v>363</v>
      </c>
      <c r="AW73" t="s">
        <v>633</v>
      </c>
      <c r="AX73" s="2">
        <v>20</v>
      </c>
      <c r="AY73" s="2">
        <v>40</v>
      </c>
      <c r="BC73">
        <f>SUM(cna_product_database_catalog_website[[#This Row],[Box Length (cm)]]*cna_product_database_catalog_website[[#This Row],[Box Width (cm)]]*cna_product_database_catalog_website[[#This Row],[Box Height (cm)]]/1000000)</f>
        <v>0</v>
      </c>
      <c r="BD73">
        <f>SUM(cna_product_database_catalog_website[[#This Row],[Box CBM]]*35.3147)</f>
        <v>0</v>
      </c>
      <c r="BE73" t="s">
        <v>48</v>
      </c>
      <c r="BI7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73">
        <f>SUM(cna_product_database_catalog_website[[#This Row],[Carton CFT]]/61024)</f>
        <v>0</v>
      </c>
      <c r="BM73" t="s">
        <v>48</v>
      </c>
      <c r="BN73"/>
      <c r="BO73" t="s">
        <v>48</v>
      </c>
      <c r="BP73" t="s">
        <v>48</v>
      </c>
      <c r="BQ73" t="s">
        <v>48</v>
      </c>
      <c r="BS73" t="s">
        <v>48</v>
      </c>
      <c r="BT73" t="s">
        <v>48</v>
      </c>
      <c r="BU73" t="s">
        <v>48</v>
      </c>
      <c r="BW73" t="s">
        <v>48</v>
      </c>
      <c r="BX73" t="s">
        <v>48</v>
      </c>
      <c r="BY73" t="s">
        <v>48</v>
      </c>
      <c r="BZ73" t="s">
        <v>48</v>
      </c>
      <c r="CA73" t="s">
        <v>48</v>
      </c>
      <c r="CB73" t="s">
        <v>48</v>
      </c>
      <c r="CC73" t="s">
        <v>48</v>
      </c>
      <c r="CD73" t="s">
        <v>48</v>
      </c>
      <c r="CE73" t="s">
        <v>48</v>
      </c>
      <c r="CF73" t="s">
        <v>48</v>
      </c>
      <c r="CG73" t="s">
        <v>48</v>
      </c>
      <c r="CH73" t="s">
        <v>48</v>
      </c>
      <c r="CI73" t="s">
        <v>48</v>
      </c>
      <c r="CJ73" t="s">
        <v>48</v>
      </c>
    </row>
    <row r="74" spans="1:88" x14ac:dyDescent="0.25">
      <c r="A74" s="4" t="s">
        <v>2103</v>
      </c>
      <c r="B74" s="4" t="s">
        <v>2061</v>
      </c>
      <c r="C74" s="4" t="s">
        <v>1227</v>
      </c>
      <c r="D74" s="4" t="str">
        <f>cna_product_database_catalog_website[[#This Row],[MainCategory]]&amp;"&gt;"&amp;cna_product_database_catalog_website[[#This Row],[SubCategory1]]&amp;"&gt;"&amp;cna_product_database_catalog_website[[#This Row],[SubCategory2]]</f>
        <v>Bulbs&gt;PAR&gt;PAR38 - 5CCT</v>
      </c>
      <c r="E74">
        <v>250</v>
      </c>
      <c r="F74" t="s">
        <v>1052</v>
      </c>
      <c r="G74" s="3">
        <v>1031</v>
      </c>
      <c r="H74" s="8">
        <v>9.5</v>
      </c>
      <c r="I74" t="s">
        <v>1052</v>
      </c>
      <c r="J74" t="s">
        <v>1052</v>
      </c>
      <c r="K74" t="s">
        <v>1932</v>
      </c>
      <c r="L74" t="s">
        <v>1931</v>
      </c>
      <c r="M74" s="12" t="str">
        <f>HYPERLINK(cna_product_database_catalog_website[[#This Row],[Spec Sheet Link]], cna_product_database_catalog_website[[#Headers],[Spec Sheet Link]])</f>
        <v>Spec Sheet Link</v>
      </c>
      <c r="N74" t="s">
        <v>47</v>
      </c>
      <c r="O74" s="3">
        <v>1</v>
      </c>
      <c r="P74" s="3">
        <v>1</v>
      </c>
      <c r="Q74" t="s">
        <v>424</v>
      </c>
      <c r="R74" t="s">
        <v>53</v>
      </c>
      <c r="S74" t="s">
        <v>366</v>
      </c>
      <c r="T74" t="s">
        <v>1054</v>
      </c>
      <c r="U74" t="s">
        <v>87</v>
      </c>
      <c r="V74" t="s">
        <v>1053</v>
      </c>
      <c r="W74" t="s">
        <v>88</v>
      </c>
      <c r="X74" t="s">
        <v>348</v>
      </c>
      <c r="Y74" s="3" t="s">
        <v>1014</v>
      </c>
      <c r="Z74" s="3" t="s">
        <v>367</v>
      </c>
      <c r="AA74" s="3" t="s">
        <v>60</v>
      </c>
      <c r="AB74" s="1" t="s">
        <v>1047</v>
      </c>
      <c r="AC74" s="1" t="s">
        <v>1055</v>
      </c>
      <c r="AD74" t="s">
        <v>59</v>
      </c>
      <c r="AE74"/>
      <c r="AF74" t="s">
        <v>48</v>
      </c>
      <c r="AL74" t="s">
        <v>1964</v>
      </c>
      <c r="AM74" t="s">
        <v>1056</v>
      </c>
      <c r="AN74" t="s">
        <v>164</v>
      </c>
      <c r="AO74" t="s">
        <v>146</v>
      </c>
      <c r="AP74" t="s">
        <v>1057</v>
      </c>
      <c r="AQ74" t="s">
        <v>2004</v>
      </c>
      <c r="AR74">
        <v>208</v>
      </c>
      <c r="AS74">
        <v>0.46</v>
      </c>
      <c r="AV74" t="s">
        <v>369</v>
      </c>
      <c r="AW74" t="s">
        <v>633</v>
      </c>
      <c r="AX74" s="2" t="s">
        <v>365</v>
      </c>
      <c r="AY74" s="2" t="s">
        <v>365</v>
      </c>
      <c r="AZ74">
        <v>12.6</v>
      </c>
      <c r="BA74">
        <v>12.6</v>
      </c>
      <c r="BB74">
        <v>14.3</v>
      </c>
      <c r="BC74">
        <f>SUM(cna_product_database_catalog_website[[#This Row],[Box Length (cm)]]*cna_product_database_catalog_website[[#This Row],[Box Width (cm)]]*cna_product_database_catalog_website[[#This Row],[Box Height (cm)]]/1000000)</f>
        <v>2.2702680000000002E-3</v>
      </c>
      <c r="BD74">
        <f>SUM(cna_product_database_catalog_website[[#This Row],[Box CBM]]*35.3147)</f>
        <v>8.0173833339600015E-2</v>
      </c>
      <c r="BE74" t="s">
        <v>48</v>
      </c>
      <c r="BI7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74">
        <f>SUM(cna_product_database_catalog_website[[#This Row],[Carton CFT]]/61024)</f>
        <v>0</v>
      </c>
      <c r="BM74" t="s">
        <v>48</v>
      </c>
      <c r="BN74"/>
      <c r="BO74" t="s">
        <v>510</v>
      </c>
      <c r="BP74" t="s">
        <v>48</v>
      </c>
      <c r="BQ74" t="s">
        <v>48</v>
      </c>
      <c r="BS74" t="s">
        <v>48</v>
      </c>
      <c r="BT74" t="s">
        <v>48</v>
      </c>
      <c r="BU74" t="s">
        <v>48</v>
      </c>
      <c r="BW74" t="s">
        <v>48</v>
      </c>
      <c r="BX74" t="s">
        <v>48</v>
      </c>
      <c r="BY74" t="s">
        <v>48</v>
      </c>
      <c r="BZ74" t="s">
        <v>48</v>
      </c>
      <c r="CA74" t="s">
        <v>48</v>
      </c>
      <c r="CB74" t="s">
        <v>48</v>
      </c>
      <c r="CC74" t="s">
        <v>48</v>
      </c>
      <c r="CD74" t="s">
        <v>48</v>
      </c>
      <c r="CE74" t="s">
        <v>48</v>
      </c>
      <c r="CF74" t="s">
        <v>48</v>
      </c>
      <c r="CG74" t="s">
        <v>48</v>
      </c>
      <c r="CH74" t="s">
        <v>48</v>
      </c>
      <c r="CI74" t="s">
        <v>48</v>
      </c>
      <c r="CJ74" t="s">
        <v>48</v>
      </c>
    </row>
    <row r="75" spans="1:88" x14ac:dyDescent="0.25">
      <c r="A75" s="4" t="s">
        <v>2103</v>
      </c>
      <c r="B75" s="4" t="s">
        <v>2062</v>
      </c>
      <c r="C75" s="4" t="s">
        <v>1230</v>
      </c>
      <c r="D75" s="4" t="str">
        <f>cna_product_database_catalog_website[[#This Row],[MainCategory]]&amp;"&gt;"&amp;cna_product_database_catalog_website[[#This Row],[SubCategory1]]&amp;"&gt;"&amp;cna_product_database_catalog_website[[#This Row],[SubCategory2]]</f>
        <v>Bulbs&gt;BR&gt;BR30 - 5CCT</v>
      </c>
      <c r="E75">
        <v>260</v>
      </c>
      <c r="F75" t="s">
        <v>2000</v>
      </c>
      <c r="G75" s="3">
        <v>1121</v>
      </c>
      <c r="H75" s="8">
        <v>4.2</v>
      </c>
      <c r="I75" t="s">
        <v>2000</v>
      </c>
      <c r="J75" t="s">
        <v>2000</v>
      </c>
      <c r="K75" t="s">
        <v>371</v>
      </c>
      <c r="L75" t="s">
        <v>372</v>
      </c>
      <c r="M75" s="12" t="str">
        <f>HYPERLINK(cna_product_database_catalog_website[[#This Row],[Spec Sheet Link]], cna_product_database_catalog_website[[#Headers],[Spec Sheet Link]])</f>
        <v>Spec Sheet Link</v>
      </c>
      <c r="N75" t="s">
        <v>47</v>
      </c>
      <c r="O75" s="3">
        <v>1</v>
      </c>
      <c r="P75" s="3">
        <v>1</v>
      </c>
      <c r="Q75" t="s">
        <v>351</v>
      </c>
      <c r="R75" t="s">
        <v>53</v>
      </c>
      <c r="S75" t="s">
        <v>407</v>
      </c>
      <c r="T75" t="s">
        <v>1143</v>
      </c>
      <c r="U75" t="s">
        <v>55</v>
      </c>
      <c r="V75" t="s">
        <v>2001</v>
      </c>
      <c r="W75" t="s">
        <v>88</v>
      </c>
      <c r="X75" t="s">
        <v>348</v>
      </c>
      <c r="Y75" s="3" t="s">
        <v>1010</v>
      </c>
      <c r="Z75" s="3" t="s">
        <v>367</v>
      </c>
      <c r="AA75" s="3" t="s">
        <v>60</v>
      </c>
      <c r="AB75" s="1" t="s">
        <v>1047</v>
      </c>
      <c r="AC75" s="1" t="s">
        <v>551</v>
      </c>
      <c r="AD75" t="s">
        <v>59</v>
      </c>
      <c r="AE75"/>
      <c r="AF75" t="s">
        <v>48</v>
      </c>
      <c r="AL75" t="s">
        <v>1963</v>
      </c>
      <c r="AM75" t="s">
        <v>373</v>
      </c>
      <c r="AN75" t="s">
        <v>374</v>
      </c>
      <c r="AO75" t="s">
        <v>357</v>
      </c>
      <c r="AP75" t="s">
        <v>2002</v>
      </c>
      <c r="AQ75" t="s">
        <v>2003</v>
      </c>
      <c r="AR75">
        <v>118</v>
      </c>
      <c r="AS75">
        <v>0.26</v>
      </c>
      <c r="AV75" t="s">
        <v>375</v>
      </c>
      <c r="AW75" t="s">
        <v>633</v>
      </c>
      <c r="AX75" s="2">
        <v>20</v>
      </c>
      <c r="AY75" s="2">
        <v>40</v>
      </c>
      <c r="AZ75">
        <v>10.199999999999999</v>
      </c>
      <c r="BA75">
        <v>10</v>
      </c>
      <c r="BB75">
        <v>14.4</v>
      </c>
      <c r="BC75">
        <f>SUM(cna_product_database_catalog_website[[#This Row],[Box Length (cm)]]*cna_product_database_catalog_website[[#This Row],[Box Width (cm)]]*cna_product_database_catalog_website[[#This Row],[Box Height (cm)]]/1000000)</f>
        <v>1.4687999999999999E-3</v>
      </c>
      <c r="BD75">
        <f>SUM(cna_product_database_catalog_website[[#This Row],[Box CBM]]*35.3147)</f>
        <v>5.1870231359999998E-2</v>
      </c>
      <c r="BE75" t="s">
        <v>48</v>
      </c>
      <c r="BI7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75">
        <f>SUM(cna_product_database_catalog_website[[#This Row],[Carton CFT]]/61024)</f>
        <v>0</v>
      </c>
      <c r="BM75" t="s">
        <v>48</v>
      </c>
      <c r="BN75"/>
      <c r="BO75" t="s">
        <v>48</v>
      </c>
      <c r="BP75" t="s">
        <v>48</v>
      </c>
      <c r="BQ75" t="s">
        <v>48</v>
      </c>
      <c r="BS75" t="s">
        <v>48</v>
      </c>
      <c r="BT75" t="s">
        <v>48</v>
      </c>
      <c r="BU75" t="s">
        <v>48</v>
      </c>
      <c r="BW75" t="s">
        <v>48</v>
      </c>
      <c r="BX75" t="s">
        <v>48</v>
      </c>
      <c r="BY75" t="s">
        <v>48</v>
      </c>
      <c r="BZ75" t="s">
        <v>48</v>
      </c>
      <c r="CA75" t="s">
        <v>48</v>
      </c>
      <c r="CB75" t="s">
        <v>48</v>
      </c>
      <c r="CC75" t="s">
        <v>48</v>
      </c>
      <c r="CD75" t="s">
        <v>48</v>
      </c>
      <c r="CE75" t="s">
        <v>48</v>
      </c>
      <c r="CF75" t="s">
        <v>48</v>
      </c>
      <c r="CG75" t="s">
        <v>48</v>
      </c>
      <c r="CH75" t="s">
        <v>48</v>
      </c>
      <c r="CI75" t="s">
        <v>48</v>
      </c>
      <c r="CJ75" t="s">
        <v>48</v>
      </c>
    </row>
    <row r="76" spans="1:88" x14ac:dyDescent="0.25">
      <c r="A76" s="4" t="s">
        <v>2104</v>
      </c>
      <c r="B76" s="4" t="s">
        <v>2063</v>
      </c>
      <c r="C76" s="4" t="s">
        <v>1234</v>
      </c>
      <c r="D76" s="4" t="str">
        <f>cna_product_database_catalog_website[[#This Row],[MainCategory]]&amp;"&gt;"&amp;cna_product_database_catalog_website[[#This Row],[SubCategory1]]&amp;"&gt;"&amp;cna_product_database_catalog_website[[#This Row],[SubCategory2]]</f>
        <v>Recessed&gt;Panels&gt;4" Round Panel - 5CCT</v>
      </c>
      <c r="E76">
        <v>300</v>
      </c>
      <c r="F76" t="s">
        <v>1883</v>
      </c>
      <c r="G76" s="3">
        <v>1100</v>
      </c>
      <c r="H76" s="8">
        <v>6.5</v>
      </c>
      <c r="I76" t="s">
        <v>1883</v>
      </c>
      <c r="J76" t="s">
        <v>416</v>
      </c>
      <c r="K76" t="s">
        <v>417</v>
      </c>
      <c r="L76" t="s">
        <v>418</v>
      </c>
      <c r="M76" s="12" t="str">
        <f>HYPERLINK(cna_product_database_catalog_website[[#This Row],[Spec Sheet Link]], cna_product_database_catalog_website[[#Headers],[Spec Sheet Link]])</f>
        <v>Spec Sheet Link</v>
      </c>
      <c r="N76" t="s">
        <v>47</v>
      </c>
      <c r="O76" s="3">
        <v>1</v>
      </c>
      <c r="P76" s="3">
        <v>1</v>
      </c>
      <c r="Q76" t="s">
        <v>239</v>
      </c>
      <c r="R76" t="s">
        <v>53</v>
      </c>
      <c r="S76" t="s">
        <v>407</v>
      </c>
      <c r="T76" t="s">
        <v>1973</v>
      </c>
      <c r="U76" t="s">
        <v>419</v>
      </c>
      <c r="V76" t="s">
        <v>48</v>
      </c>
      <c r="W76" t="s">
        <v>420</v>
      </c>
      <c r="X76" t="s">
        <v>348</v>
      </c>
      <c r="Y76" s="3" t="s">
        <v>1010</v>
      </c>
      <c r="Z76" s="3">
        <v>80</v>
      </c>
      <c r="AA76" s="3" t="s">
        <v>60</v>
      </c>
      <c r="AB76" s="1" t="s">
        <v>1008</v>
      </c>
      <c r="AC76" s="1" t="s">
        <v>1975</v>
      </c>
      <c r="AD76" t="s">
        <v>1974</v>
      </c>
      <c r="AE76"/>
      <c r="AF76" t="s">
        <v>48</v>
      </c>
      <c r="AG76" t="s">
        <v>48</v>
      </c>
      <c r="AH76" t="s">
        <v>48</v>
      </c>
      <c r="AI76" t="s">
        <v>48</v>
      </c>
      <c r="AL76" t="s">
        <v>1979</v>
      </c>
      <c r="AM76" t="s">
        <v>1977</v>
      </c>
      <c r="AN76" t="s">
        <v>1978</v>
      </c>
      <c r="AO76" t="s">
        <v>1976</v>
      </c>
      <c r="AP76" t="s">
        <v>433</v>
      </c>
      <c r="AQ76" t="s">
        <v>1980</v>
      </c>
      <c r="AR76">
        <v>253</v>
      </c>
      <c r="AS76">
        <v>0.56000000000000005</v>
      </c>
      <c r="AV76" t="s">
        <v>48</v>
      </c>
      <c r="AW76" t="s">
        <v>48</v>
      </c>
      <c r="AX76" s="2">
        <v>24</v>
      </c>
      <c r="AY76" s="2">
        <v>24</v>
      </c>
      <c r="BC76">
        <f>SUM(cna_product_database_catalog_website[[#This Row],[Box Length (cm)]]*cna_product_database_catalog_website[[#This Row],[Box Width (cm)]]*cna_product_database_catalog_website[[#This Row],[Box Height (cm)]]/1000000)</f>
        <v>0</v>
      </c>
      <c r="BD76">
        <f>SUM(cna_product_database_catalog_website[[#This Row],[Box CBM]]*35.3147)</f>
        <v>0</v>
      </c>
      <c r="BE76" t="s">
        <v>48</v>
      </c>
      <c r="BI7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76">
        <f>SUM(cna_product_database_catalog_website[[#This Row],[Carton CFT]]/61024)</f>
        <v>0</v>
      </c>
      <c r="BK76" t="s">
        <v>1984</v>
      </c>
      <c r="BL76" t="s">
        <v>1983</v>
      </c>
      <c r="BM76" t="s">
        <v>1985</v>
      </c>
      <c r="BN76"/>
      <c r="BO76" t="s">
        <v>510</v>
      </c>
      <c r="BP76" t="s">
        <v>48</v>
      </c>
      <c r="BQ76" t="s">
        <v>48</v>
      </c>
      <c r="BS76" t="s">
        <v>48</v>
      </c>
      <c r="BT76" t="s">
        <v>48</v>
      </c>
      <c r="BU76" t="s">
        <v>48</v>
      </c>
      <c r="BW76" t="s">
        <v>48</v>
      </c>
      <c r="BX76" t="s">
        <v>48</v>
      </c>
      <c r="BY76" t="s">
        <v>48</v>
      </c>
      <c r="BZ76" t="s">
        <v>48</v>
      </c>
      <c r="CA76" t="s">
        <v>48</v>
      </c>
      <c r="CB76" t="s">
        <v>48</v>
      </c>
      <c r="CC76" t="s">
        <v>48</v>
      </c>
      <c r="CD76" t="s">
        <v>48</v>
      </c>
      <c r="CE76" t="s">
        <v>48</v>
      </c>
      <c r="CF76" t="s">
        <v>48</v>
      </c>
      <c r="CG76" t="s">
        <v>48</v>
      </c>
      <c r="CH76" t="s">
        <v>48</v>
      </c>
      <c r="CI76" t="s">
        <v>48</v>
      </c>
      <c r="CJ76" t="s">
        <v>48</v>
      </c>
    </row>
    <row r="77" spans="1:88" x14ac:dyDescent="0.25">
      <c r="A77" s="4" t="s">
        <v>2104</v>
      </c>
      <c r="B77" s="4" t="s">
        <v>2063</v>
      </c>
      <c r="C77" s="4" t="s">
        <v>1236</v>
      </c>
      <c r="D77" s="4" t="str">
        <f>cna_product_database_catalog_website[[#This Row],[MainCategory]]&amp;"&gt;"&amp;cna_product_database_catalog_website[[#This Row],[SubCategory1]]&amp;"&gt;"&amp;cna_product_database_catalog_website[[#This Row],[SubCategory2]]</f>
        <v>Recessed&gt;Panels&gt;4" Fire Rated - 5CCT</v>
      </c>
      <c r="E77">
        <v>302</v>
      </c>
      <c r="F77" t="s">
        <v>1884</v>
      </c>
      <c r="G77" s="3">
        <v>1123</v>
      </c>
      <c r="H77" s="8">
        <v>13</v>
      </c>
      <c r="I77" t="s">
        <v>1884</v>
      </c>
      <c r="J77" t="s">
        <v>1180</v>
      </c>
      <c r="K77" t="s">
        <v>423</v>
      </c>
      <c r="L77" t="s">
        <v>422</v>
      </c>
      <c r="M77" s="12" t="str">
        <f>HYPERLINK(cna_product_database_catalog_website[[#This Row],[Spec Sheet Link]], cna_product_database_catalog_website[[#Headers],[Spec Sheet Link]])</f>
        <v>Spec Sheet Link</v>
      </c>
      <c r="N77" t="s">
        <v>47</v>
      </c>
      <c r="O77" s="3">
        <v>1</v>
      </c>
      <c r="P77" s="3">
        <v>1</v>
      </c>
      <c r="Q77" t="s">
        <v>424</v>
      </c>
      <c r="R77" t="s">
        <v>53</v>
      </c>
      <c r="S77" t="s">
        <v>121</v>
      </c>
      <c r="T77" t="s">
        <v>523</v>
      </c>
      <c r="U77" t="s">
        <v>419</v>
      </c>
      <c r="V77" t="s">
        <v>48</v>
      </c>
      <c r="W77" t="s">
        <v>420</v>
      </c>
      <c r="X77" t="s">
        <v>348</v>
      </c>
      <c r="Y77" s="3" t="s">
        <v>1010</v>
      </c>
      <c r="Z77" s="3" t="s">
        <v>1006</v>
      </c>
      <c r="AA77" s="3" t="s">
        <v>60</v>
      </c>
      <c r="AB77" s="1" t="s">
        <v>1008</v>
      </c>
      <c r="AC77" s="1" t="s">
        <v>1975</v>
      </c>
      <c r="AD77" t="s">
        <v>1987</v>
      </c>
      <c r="AE77" t="s">
        <v>1989</v>
      </c>
      <c r="AF77" t="s">
        <v>48</v>
      </c>
      <c r="AG77" t="s">
        <v>48</v>
      </c>
      <c r="AH77" t="s">
        <v>48</v>
      </c>
      <c r="AI77" t="s">
        <v>48</v>
      </c>
      <c r="AL77" t="s">
        <v>48</v>
      </c>
      <c r="AO77" t="s">
        <v>48</v>
      </c>
      <c r="AP77" t="s">
        <v>48</v>
      </c>
      <c r="AQ77" t="s">
        <v>48</v>
      </c>
      <c r="AR77">
        <v>35</v>
      </c>
      <c r="AS77">
        <v>0.08</v>
      </c>
      <c r="AV77" t="s">
        <v>48</v>
      </c>
      <c r="AW77" t="s">
        <v>48</v>
      </c>
      <c r="AX77" s="2">
        <v>18</v>
      </c>
      <c r="AY77" s="2">
        <v>18</v>
      </c>
      <c r="BC77">
        <f>SUM(cna_product_database_catalog_website[[#This Row],[Box Length (cm)]]*cna_product_database_catalog_website[[#This Row],[Box Width (cm)]]*cna_product_database_catalog_website[[#This Row],[Box Height (cm)]]/1000000)</f>
        <v>0</v>
      </c>
      <c r="BD77">
        <f>SUM(cna_product_database_catalog_website[[#This Row],[Box CBM]]*35.3147)</f>
        <v>0</v>
      </c>
      <c r="BE77" t="s">
        <v>48</v>
      </c>
      <c r="BI7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77">
        <f>SUM(cna_product_database_catalog_website[[#This Row],[Carton CFT]]/61024)</f>
        <v>0</v>
      </c>
      <c r="BL77" t="s">
        <v>1986</v>
      </c>
      <c r="BM77" t="s">
        <v>431</v>
      </c>
      <c r="BN77"/>
      <c r="BO77" t="s">
        <v>510</v>
      </c>
      <c r="BP77" t="s">
        <v>48</v>
      </c>
      <c r="BQ77" t="s">
        <v>48</v>
      </c>
      <c r="BS77" t="s">
        <v>48</v>
      </c>
      <c r="BT77" t="s">
        <v>48</v>
      </c>
      <c r="BU77" t="s">
        <v>48</v>
      </c>
      <c r="BW77" t="s">
        <v>48</v>
      </c>
      <c r="BX77" t="s">
        <v>48</v>
      </c>
      <c r="BY77" t="s">
        <v>48</v>
      </c>
      <c r="BZ77" t="s">
        <v>48</v>
      </c>
      <c r="CA77" t="s">
        <v>48</v>
      </c>
      <c r="CB77" t="s">
        <v>48</v>
      </c>
      <c r="CC77" t="s">
        <v>48</v>
      </c>
      <c r="CD77" t="s">
        <v>48</v>
      </c>
      <c r="CE77" t="s">
        <v>48</v>
      </c>
      <c r="CF77" t="s">
        <v>48</v>
      </c>
      <c r="CG77" t="s">
        <v>48</v>
      </c>
      <c r="CH77" t="s">
        <v>48</v>
      </c>
      <c r="CI77" t="s">
        <v>48</v>
      </c>
      <c r="CJ77" t="s">
        <v>48</v>
      </c>
    </row>
    <row r="78" spans="1:88" x14ac:dyDescent="0.25">
      <c r="A78" s="4" t="s">
        <v>2104</v>
      </c>
      <c r="B78" s="4" t="s">
        <v>2063</v>
      </c>
      <c r="C78" s="4" t="s">
        <v>1722</v>
      </c>
      <c r="D78" s="4" t="str">
        <f>cna_product_database_catalog_website[[#This Row],[MainCategory]]&amp;"&gt;"&amp;cna_product_database_catalog_website[[#This Row],[SubCategory1]]&amp;"&gt;"&amp;cna_product_database_catalog_website[[#This Row],[SubCategory2]]</f>
        <v>Recessed&gt;Panels&gt;6" Round Panel 30K</v>
      </c>
      <c r="E78">
        <v>305</v>
      </c>
      <c r="F78" t="s">
        <v>1885</v>
      </c>
      <c r="G78" s="3">
        <v>1099</v>
      </c>
      <c r="H78" s="8">
        <v>8.5</v>
      </c>
      <c r="I78" t="s">
        <v>1885</v>
      </c>
      <c r="J78" t="s">
        <v>425</v>
      </c>
      <c r="K78" t="s">
        <v>426</v>
      </c>
      <c r="L78" t="s">
        <v>427</v>
      </c>
      <c r="M78" s="12" t="str">
        <f>HYPERLINK(cna_product_database_catalog_website[[#This Row],[Spec Sheet Link]], cna_product_database_catalog_website[[#Headers],[Spec Sheet Link]])</f>
        <v>Spec Sheet Link</v>
      </c>
      <c r="N78" t="s">
        <v>47</v>
      </c>
      <c r="O78" s="3">
        <v>1</v>
      </c>
      <c r="P78" s="3">
        <v>1</v>
      </c>
      <c r="Q78" t="s">
        <v>424</v>
      </c>
      <c r="R78" t="s">
        <v>53</v>
      </c>
      <c r="S78" t="s">
        <v>512</v>
      </c>
      <c r="T78" t="s">
        <v>1093</v>
      </c>
      <c r="U78" t="s">
        <v>428</v>
      </c>
      <c r="V78" t="s">
        <v>48</v>
      </c>
      <c r="W78" t="s">
        <v>420</v>
      </c>
      <c r="X78" t="s">
        <v>78</v>
      </c>
      <c r="Y78" s="3" t="s">
        <v>1010</v>
      </c>
      <c r="Z78" s="3" t="s">
        <v>367</v>
      </c>
      <c r="AA78" s="3" t="s">
        <v>60</v>
      </c>
      <c r="AB78" s="1" t="s">
        <v>1008</v>
      </c>
      <c r="AC78" s="1" t="s">
        <v>1975</v>
      </c>
      <c r="AD78" t="s">
        <v>48</v>
      </c>
      <c r="AE78"/>
      <c r="AF78" t="s">
        <v>48</v>
      </c>
      <c r="AG78" t="s">
        <v>48</v>
      </c>
      <c r="AH78" t="s">
        <v>48</v>
      </c>
      <c r="AI78" t="s">
        <v>48</v>
      </c>
      <c r="AL78" t="s">
        <v>48</v>
      </c>
      <c r="AO78" t="s">
        <v>48</v>
      </c>
      <c r="AP78" t="s">
        <v>48</v>
      </c>
      <c r="AQ78" t="s">
        <v>48</v>
      </c>
      <c r="AR78">
        <v>35</v>
      </c>
      <c r="AS78">
        <v>0.08</v>
      </c>
      <c r="AV78" t="s">
        <v>48</v>
      </c>
      <c r="AW78" t="s">
        <v>48</v>
      </c>
      <c r="AX78" s="2" t="s">
        <v>48</v>
      </c>
      <c r="AY78" s="2" t="s">
        <v>48</v>
      </c>
      <c r="BC78">
        <f>SUM(cna_product_database_catalog_website[[#This Row],[Box Length (cm)]]*cna_product_database_catalog_website[[#This Row],[Box Width (cm)]]*cna_product_database_catalog_website[[#This Row],[Box Height (cm)]]/1000000)</f>
        <v>0</v>
      </c>
      <c r="BD78">
        <f>SUM(cna_product_database_catalog_website[[#This Row],[Box CBM]]*35.3147)</f>
        <v>0</v>
      </c>
      <c r="BE78" t="s">
        <v>48</v>
      </c>
      <c r="BI7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78">
        <f>SUM(cna_product_database_catalog_website[[#This Row],[Carton CFT]]/61024)</f>
        <v>0</v>
      </c>
      <c r="BM78" t="s">
        <v>48</v>
      </c>
      <c r="BN78"/>
      <c r="BO78" t="s">
        <v>510</v>
      </c>
      <c r="BP78" t="s">
        <v>48</v>
      </c>
      <c r="BQ78" t="s">
        <v>48</v>
      </c>
      <c r="BS78" t="s">
        <v>48</v>
      </c>
      <c r="BT78" t="s">
        <v>48</v>
      </c>
      <c r="BU78" t="s">
        <v>48</v>
      </c>
      <c r="BW78" t="s">
        <v>48</v>
      </c>
      <c r="BX78" t="s">
        <v>48</v>
      </c>
      <c r="BY78" t="s">
        <v>48</v>
      </c>
      <c r="BZ78" t="s">
        <v>48</v>
      </c>
      <c r="CA78" t="s">
        <v>48</v>
      </c>
      <c r="CB78" t="s">
        <v>48</v>
      </c>
      <c r="CC78" t="s">
        <v>48</v>
      </c>
      <c r="CD78" t="s">
        <v>48</v>
      </c>
      <c r="CE78" t="s">
        <v>48</v>
      </c>
      <c r="CF78" t="s">
        <v>48</v>
      </c>
      <c r="CG78" t="s">
        <v>48</v>
      </c>
      <c r="CH78" t="s">
        <v>48</v>
      </c>
      <c r="CI78" t="s">
        <v>48</v>
      </c>
      <c r="CJ78" t="s">
        <v>48</v>
      </c>
    </row>
    <row r="79" spans="1:88" x14ac:dyDescent="0.25">
      <c r="A79" s="4" t="s">
        <v>2104</v>
      </c>
      <c r="B79" s="4" t="s">
        <v>2063</v>
      </c>
      <c r="C79" s="4" t="s">
        <v>1238</v>
      </c>
      <c r="D79" s="4" t="str">
        <f>cna_product_database_catalog_website[[#This Row],[MainCategory]]&amp;"&gt;"&amp;cna_product_database_catalog_website[[#This Row],[SubCategory1]]&amp;"&gt;"&amp;cna_product_database_catalog_website[[#This Row],[SubCategory2]]</f>
        <v>Recessed&gt;Panels&gt;6" Fire Rated - 5CCT</v>
      </c>
      <c r="E79">
        <v>307</v>
      </c>
      <c r="F79" t="s">
        <v>1886</v>
      </c>
      <c r="G79" s="3">
        <v>1124</v>
      </c>
      <c r="H79" s="8">
        <v>14.5</v>
      </c>
      <c r="I79" t="s">
        <v>1886</v>
      </c>
      <c r="J79" t="s">
        <v>1183</v>
      </c>
      <c r="K79" t="s">
        <v>432</v>
      </c>
      <c r="L79" t="s">
        <v>430</v>
      </c>
      <c r="M79" s="12" t="str">
        <f>HYPERLINK(cna_product_database_catalog_website[[#This Row],[Spec Sheet Link]], cna_product_database_catalog_website[[#Headers],[Spec Sheet Link]])</f>
        <v>Spec Sheet Link</v>
      </c>
      <c r="N79" t="s">
        <v>47</v>
      </c>
      <c r="O79" s="3">
        <v>1</v>
      </c>
      <c r="P79" s="3">
        <v>1</v>
      </c>
      <c r="Q79" t="s">
        <v>370</v>
      </c>
      <c r="R79" t="s">
        <v>53</v>
      </c>
      <c r="S79" t="s">
        <v>48</v>
      </c>
      <c r="T79" t="s">
        <v>48</v>
      </c>
      <c r="U79" t="s">
        <v>419</v>
      </c>
      <c r="V79" t="s">
        <v>48</v>
      </c>
      <c r="W79" t="s">
        <v>420</v>
      </c>
      <c r="X79" t="s">
        <v>348</v>
      </c>
      <c r="Y79" s="3" t="s">
        <v>1010</v>
      </c>
      <c r="Z79" s="3" t="s">
        <v>367</v>
      </c>
      <c r="AA79" s="3" t="s">
        <v>60</v>
      </c>
      <c r="AB79" s="1" t="s">
        <v>1008</v>
      </c>
      <c r="AC79" s="1" t="s">
        <v>1975</v>
      </c>
      <c r="AD79" t="s">
        <v>1987</v>
      </c>
      <c r="AE79" t="s">
        <v>1989</v>
      </c>
      <c r="AF79" t="s">
        <v>48</v>
      </c>
      <c r="AG79" t="s">
        <v>48</v>
      </c>
      <c r="AH79" t="s">
        <v>48</v>
      </c>
      <c r="AI79" t="s">
        <v>48</v>
      </c>
      <c r="AL79" t="s">
        <v>48</v>
      </c>
      <c r="AO79" t="s">
        <v>48</v>
      </c>
      <c r="AP79" t="s">
        <v>48</v>
      </c>
      <c r="AQ79" t="s">
        <v>48</v>
      </c>
      <c r="AR79">
        <v>425</v>
      </c>
      <c r="AS79">
        <v>0.94</v>
      </c>
      <c r="AV79" t="s">
        <v>48</v>
      </c>
      <c r="AW79" t="s">
        <v>48</v>
      </c>
      <c r="AX79" s="2" t="s">
        <v>48</v>
      </c>
      <c r="AY79" s="2" t="s">
        <v>48</v>
      </c>
      <c r="BC79">
        <f>SUM(cna_product_database_catalog_website[[#This Row],[Box Length (cm)]]*cna_product_database_catalog_website[[#This Row],[Box Width (cm)]]*cna_product_database_catalog_website[[#This Row],[Box Height (cm)]]/1000000)</f>
        <v>0</v>
      </c>
      <c r="BD79">
        <f>SUM(cna_product_database_catalog_website[[#This Row],[Box CBM]]*35.3147)</f>
        <v>0</v>
      </c>
      <c r="BE79" t="s">
        <v>48</v>
      </c>
      <c r="BI7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79">
        <f>SUM(cna_product_database_catalog_website[[#This Row],[Carton CFT]]/61024)</f>
        <v>0</v>
      </c>
      <c r="BM79" t="s">
        <v>48</v>
      </c>
      <c r="BN79"/>
      <c r="BO79" t="s">
        <v>510</v>
      </c>
      <c r="BP79" t="s">
        <v>48</v>
      </c>
      <c r="BQ79" t="s">
        <v>48</v>
      </c>
      <c r="BS79" t="s">
        <v>48</v>
      </c>
      <c r="BT79" t="s">
        <v>48</v>
      </c>
      <c r="BU79" t="s">
        <v>48</v>
      </c>
      <c r="BW79" t="s">
        <v>48</v>
      </c>
      <c r="BX79" t="s">
        <v>48</v>
      </c>
      <c r="BY79" t="s">
        <v>48</v>
      </c>
      <c r="BZ79" t="s">
        <v>48</v>
      </c>
      <c r="CA79" t="s">
        <v>48</v>
      </c>
      <c r="CB79" t="s">
        <v>48</v>
      </c>
      <c r="CC79" t="s">
        <v>48</v>
      </c>
      <c r="CD79" t="s">
        <v>48</v>
      </c>
      <c r="CE79" t="s">
        <v>48</v>
      </c>
      <c r="CF79" t="s">
        <v>48</v>
      </c>
      <c r="CG79" t="s">
        <v>48</v>
      </c>
      <c r="CH79" t="s">
        <v>48</v>
      </c>
      <c r="CI79" t="s">
        <v>48</v>
      </c>
      <c r="CJ79" t="s">
        <v>48</v>
      </c>
    </row>
    <row r="80" spans="1:88" x14ac:dyDescent="0.25">
      <c r="A80" s="4" t="s">
        <v>2104</v>
      </c>
      <c r="B80" s="4" t="s">
        <v>2063</v>
      </c>
      <c r="C80" s="4" t="s">
        <v>1721</v>
      </c>
      <c r="D80" s="4" t="str">
        <f>cna_product_database_catalog_website[[#This Row],[MainCategory]]&amp;"&gt;"&amp;cna_product_database_catalog_website[[#This Row],[SubCategory1]]&amp;"&gt;"&amp;cna_product_database_catalog_website[[#This Row],[SubCategory2]]</f>
        <v>Recessed&gt;Panels&gt;4" DPS Round Panel 5CCT</v>
      </c>
      <c r="E80">
        <v>310</v>
      </c>
      <c r="F80" t="s">
        <v>1187</v>
      </c>
      <c r="G80" s="3">
        <v>1081</v>
      </c>
      <c r="H80" s="9">
        <v>8.9</v>
      </c>
      <c r="I80" t="s">
        <v>1187</v>
      </c>
      <c r="J80" t="s">
        <v>1187</v>
      </c>
      <c r="K80" t="s">
        <v>397</v>
      </c>
      <c r="L80" t="s">
        <v>398</v>
      </c>
      <c r="M80" s="12" t="str">
        <f>HYPERLINK(cna_product_database_catalog_website[[#This Row],[Spec Sheet Link]], cna_product_database_catalog_website[[#Headers],[Spec Sheet Link]])</f>
        <v>Spec Sheet Link</v>
      </c>
      <c r="N80" t="s">
        <v>47</v>
      </c>
      <c r="O80" s="3">
        <v>1</v>
      </c>
      <c r="P80" s="3">
        <v>1</v>
      </c>
      <c r="Q80" t="s">
        <v>239</v>
      </c>
      <c r="R80" t="s">
        <v>53</v>
      </c>
      <c r="S80" t="s">
        <v>399</v>
      </c>
      <c r="T80" t="s">
        <v>401</v>
      </c>
      <c r="U80" t="s">
        <v>400</v>
      </c>
      <c r="V80" t="s">
        <v>48</v>
      </c>
      <c r="W80" t="s">
        <v>409</v>
      </c>
      <c r="X80" t="s">
        <v>78</v>
      </c>
      <c r="Y80" s="3" t="s">
        <v>1010</v>
      </c>
      <c r="Z80" s="3" t="s">
        <v>367</v>
      </c>
      <c r="AA80" s="3" t="s">
        <v>60</v>
      </c>
      <c r="AB80" s="1" t="s">
        <v>1047</v>
      </c>
      <c r="AC80" s="1" t="s">
        <v>434</v>
      </c>
      <c r="AD80" t="s">
        <v>1189</v>
      </c>
      <c r="AE80"/>
      <c r="AF80" t="s">
        <v>48</v>
      </c>
      <c r="AG80" t="s">
        <v>48</v>
      </c>
      <c r="AH80" t="s">
        <v>48</v>
      </c>
      <c r="AI80" t="s">
        <v>48</v>
      </c>
      <c r="AL80" t="s">
        <v>48</v>
      </c>
      <c r="AM80" t="s">
        <v>1190</v>
      </c>
      <c r="AN80" t="s">
        <v>106</v>
      </c>
      <c r="AO80" t="s">
        <v>200</v>
      </c>
      <c r="AP80" t="s">
        <v>433</v>
      </c>
      <c r="AQ80" t="s">
        <v>48</v>
      </c>
      <c r="AV80" t="s">
        <v>48</v>
      </c>
      <c r="AW80" t="s">
        <v>403</v>
      </c>
      <c r="AX80" s="2" t="s">
        <v>402</v>
      </c>
      <c r="AY80" s="2" t="s">
        <v>402</v>
      </c>
      <c r="BC80">
        <f>SUM(cna_product_database_catalog_website[[#This Row],[Box Length (cm)]]*cna_product_database_catalog_website[[#This Row],[Box Width (cm)]]*cna_product_database_catalog_website[[#This Row],[Box Height (cm)]]/1000000)</f>
        <v>0</v>
      </c>
      <c r="BD80">
        <f>SUM(cna_product_database_catalog_website[[#This Row],[Box CBM]]*35.3147)</f>
        <v>0</v>
      </c>
      <c r="BE80" t="s">
        <v>48</v>
      </c>
      <c r="BI8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80">
        <f>SUM(cna_product_database_catalog_website[[#This Row],[Carton CFT]]/61024)</f>
        <v>0</v>
      </c>
      <c r="BM80" t="s">
        <v>48</v>
      </c>
      <c r="BN80"/>
      <c r="BO80" t="s">
        <v>1194</v>
      </c>
      <c r="BP80" t="s">
        <v>48</v>
      </c>
      <c r="BQ80" t="s">
        <v>48</v>
      </c>
      <c r="BS80" t="s">
        <v>48</v>
      </c>
      <c r="BT80" t="s">
        <v>48</v>
      </c>
      <c r="BU80" t="s">
        <v>48</v>
      </c>
      <c r="BW80" t="s">
        <v>48</v>
      </c>
      <c r="BX80" t="s">
        <v>48</v>
      </c>
      <c r="BY80" t="s">
        <v>48</v>
      </c>
      <c r="BZ80" t="s">
        <v>48</v>
      </c>
      <c r="CA80" t="s">
        <v>48</v>
      </c>
      <c r="CB80" t="s">
        <v>48</v>
      </c>
      <c r="CC80" t="s">
        <v>48</v>
      </c>
      <c r="CD80" t="s">
        <v>48</v>
      </c>
      <c r="CE80" t="s">
        <v>48</v>
      </c>
      <c r="CF80" t="s">
        <v>48</v>
      </c>
      <c r="CG80" t="s">
        <v>48</v>
      </c>
      <c r="CH80" t="s">
        <v>48</v>
      </c>
      <c r="CI80" t="s">
        <v>48</v>
      </c>
      <c r="CJ80" t="s">
        <v>48</v>
      </c>
    </row>
    <row r="81" spans="1:88" x14ac:dyDescent="0.25">
      <c r="A81" s="4" t="s">
        <v>2104</v>
      </c>
      <c r="B81" s="4" t="s">
        <v>2064</v>
      </c>
      <c r="C81" s="4" t="s">
        <v>1727</v>
      </c>
      <c r="D81" s="4" t="str">
        <f>cna_product_database_catalog_website[[#This Row],[MainCategory]]&amp;"&gt;"&amp;cna_product_database_catalog_website[[#This Row],[SubCategory1]]&amp;"&gt;"&amp;cna_product_database_catalog_website[[#This Row],[SubCategory2]]</f>
        <v>Recessed&gt;Gimbal&gt;4" Gimbal - 3CCT - BK</v>
      </c>
      <c r="E81">
        <v>320</v>
      </c>
      <c r="F81" t="s">
        <v>1184</v>
      </c>
      <c r="G81" s="3">
        <v>1089</v>
      </c>
      <c r="H81" s="8">
        <v>8.5</v>
      </c>
      <c r="I81" t="s">
        <v>1184</v>
      </c>
      <c r="J81" t="s">
        <v>1184</v>
      </c>
      <c r="K81" t="s">
        <v>438</v>
      </c>
      <c r="L81" t="s">
        <v>439</v>
      </c>
      <c r="M81" s="12" t="str">
        <f>HYPERLINK(cna_product_database_catalog_website[[#This Row],[Spec Sheet Link]], cna_product_database_catalog_website[[#Headers],[Spec Sheet Link]])</f>
        <v>Spec Sheet Link</v>
      </c>
      <c r="N81" t="s">
        <v>47</v>
      </c>
      <c r="O81" s="3">
        <v>1</v>
      </c>
      <c r="P81" s="3">
        <v>1</v>
      </c>
      <c r="Q81" t="s">
        <v>239</v>
      </c>
      <c r="R81" t="s">
        <v>53</v>
      </c>
      <c r="S81" t="s">
        <v>2029</v>
      </c>
      <c r="T81" t="s">
        <v>2028</v>
      </c>
      <c r="U81" t="s">
        <v>419</v>
      </c>
      <c r="V81" t="s">
        <v>48</v>
      </c>
      <c r="W81" t="s">
        <v>420</v>
      </c>
      <c r="X81" t="s">
        <v>1105</v>
      </c>
      <c r="Y81" s="3" t="s">
        <v>1014</v>
      </c>
      <c r="Z81" s="3" t="s">
        <v>1006</v>
      </c>
      <c r="AA81" s="3" t="s">
        <v>60</v>
      </c>
      <c r="AB81" s="1" t="s">
        <v>1047</v>
      </c>
      <c r="AC81" s="1" t="s">
        <v>2017</v>
      </c>
      <c r="AD81" t="s">
        <v>450</v>
      </c>
      <c r="AE81"/>
      <c r="AF81" t="s">
        <v>48</v>
      </c>
      <c r="AG81" t="s">
        <v>48</v>
      </c>
      <c r="AH81" t="s">
        <v>48</v>
      </c>
      <c r="AI81" t="s">
        <v>48</v>
      </c>
      <c r="AL81" t="s">
        <v>48</v>
      </c>
      <c r="AO81" t="s">
        <v>373</v>
      </c>
      <c r="AP81" t="s">
        <v>374</v>
      </c>
      <c r="AQ81" t="s">
        <v>440</v>
      </c>
      <c r="AV81" t="s">
        <v>48</v>
      </c>
      <c r="AW81" t="s">
        <v>48</v>
      </c>
      <c r="AX81" s="2" t="s">
        <v>441</v>
      </c>
      <c r="AY81" s="2" t="s">
        <v>441</v>
      </c>
      <c r="BC81">
        <f>SUM(cna_product_database_catalog_website[[#This Row],[Box Length (cm)]]*cna_product_database_catalog_website[[#This Row],[Box Width (cm)]]*cna_product_database_catalog_website[[#This Row],[Box Height (cm)]]/1000000)</f>
        <v>0</v>
      </c>
      <c r="BD81">
        <f>SUM(cna_product_database_catalog_website[[#This Row],[Box CBM]]*35.3147)</f>
        <v>0</v>
      </c>
      <c r="BE81" t="s">
        <v>48</v>
      </c>
      <c r="BI8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81">
        <f>SUM(cna_product_database_catalog_website[[#This Row],[Carton CFT]]/61024)</f>
        <v>0</v>
      </c>
      <c r="BM81" t="s">
        <v>48</v>
      </c>
      <c r="BN81"/>
      <c r="BO81" t="s">
        <v>1585</v>
      </c>
      <c r="BP81" t="s">
        <v>48</v>
      </c>
      <c r="BQ81" t="s">
        <v>48</v>
      </c>
      <c r="BS81" t="s">
        <v>48</v>
      </c>
      <c r="BT81" t="s">
        <v>48</v>
      </c>
      <c r="BU81" t="s">
        <v>48</v>
      </c>
      <c r="BW81" t="s">
        <v>48</v>
      </c>
      <c r="BX81" t="s">
        <v>48</v>
      </c>
      <c r="BY81" t="s">
        <v>48</v>
      </c>
      <c r="BZ81" t="s">
        <v>48</v>
      </c>
      <c r="CA81" t="s">
        <v>48</v>
      </c>
      <c r="CB81" t="s">
        <v>48</v>
      </c>
      <c r="CC81" t="s">
        <v>48</v>
      </c>
      <c r="CD81" t="s">
        <v>48</v>
      </c>
      <c r="CE81" t="s">
        <v>48</v>
      </c>
      <c r="CF81" t="s">
        <v>48</v>
      </c>
      <c r="CG81" t="s">
        <v>48</v>
      </c>
      <c r="CH81" t="s">
        <v>48</v>
      </c>
      <c r="CI81" t="s">
        <v>48</v>
      </c>
      <c r="CJ81" t="s">
        <v>48</v>
      </c>
    </row>
    <row r="82" spans="1:88" x14ac:dyDescent="0.25">
      <c r="A82" s="4" t="s">
        <v>2104</v>
      </c>
      <c r="B82" s="4" t="s">
        <v>2064</v>
      </c>
      <c r="C82" s="4" t="s">
        <v>1728</v>
      </c>
      <c r="D82" s="4" t="str">
        <f>cna_product_database_catalog_website[[#This Row],[MainCategory]]&amp;"&gt;"&amp;cna_product_database_catalog_website[[#This Row],[SubCategory1]]&amp;"&gt;"&amp;cna_product_database_catalog_website[[#This Row],[SubCategory2]]</f>
        <v>Recessed&gt;Gimbal&gt;4" Gimbal - 5CCT - BK</v>
      </c>
      <c r="E82">
        <v>321</v>
      </c>
      <c r="F82" t="s">
        <v>1887</v>
      </c>
      <c r="G82" s="3">
        <v>1155</v>
      </c>
      <c r="H82" s="8">
        <v>9.5</v>
      </c>
      <c r="I82" t="s">
        <v>1887</v>
      </c>
      <c r="J82" t="s">
        <v>1859</v>
      </c>
      <c r="K82" t="s">
        <v>442</v>
      </c>
      <c r="L82" t="s">
        <v>443</v>
      </c>
      <c r="M82" s="12" t="str">
        <f>HYPERLINK(cna_product_database_catalog_website[[#This Row],[Spec Sheet Link]], cna_product_database_catalog_website[[#Headers],[Spec Sheet Link]])</f>
        <v>Spec Sheet Link</v>
      </c>
      <c r="N82" t="s">
        <v>47</v>
      </c>
      <c r="O82" s="3">
        <v>1</v>
      </c>
      <c r="P82" s="3">
        <v>1</v>
      </c>
      <c r="Q82" t="s">
        <v>239</v>
      </c>
      <c r="R82" t="s">
        <v>53</v>
      </c>
      <c r="S82" t="s">
        <v>48</v>
      </c>
      <c r="T82" t="s">
        <v>48</v>
      </c>
      <c r="U82" t="s">
        <v>419</v>
      </c>
      <c r="V82" t="s">
        <v>48</v>
      </c>
      <c r="W82" t="s">
        <v>420</v>
      </c>
      <c r="X82" t="s">
        <v>244</v>
      </c>
      <c r="Y82" s="3" t="s">
        <v>1014</v>
      </c>
      <c r="Z82" s="3" t="s">
        <v>1006</v>
      </c>
      <c r="AA82" s="3" t="s">
        <v>60</v>
      </c>
      <c r="AB82" s="1" t="s">
        <v>1047</v>
      </c>
      <c r="AC82" s="1" t="s">
        <v>2017</v>
      </c>
      <c r="AD82" t="s">
        <v>450</v>
      </c>
      <c r="AE82"/>
      <c r="AF82" t="s">
        <v>48</v>
      </c>
      <c r="AG82" t="s">
        <v>48</v>
      </c>
      <c r="AH82" t="s">
        <v>48</v>
      </c>
      <c r="AI82" t="s">
        <v>48</v>
      </c>
      <c r="AL82" t="s">
        <v>48</v>
      </c>
      <c r="AO82" t="s">
        <v>444</v>
      </c>
      <c r="AP82" t="s">
        <v>374</v>
      </c>
      <c r="AQ82" t="s">
        <v>445</v>
      </c>
      <c r="AV82" t="s">
        <v>48</v>
      </c>
      <c r="AW82" t="s">
        <v>48</v>
      </c>
      <c r="AX82" s="2" t="s">
        <v>48</v>
      </c>
      <c r="AY82" s="2" t="s">
        <v>48</v>
      </c>
      <c r="BC82">
        <f>SUM(cna_product_database_catalog_website[[#This Row],[Box Length (cm)]]*cna_product_database_catalog_website[[#This Row],[Box Width (cm)]]*cna_product_database_catalog_website[[#This Row],[Box Height (cm)]]/1000000)</f>
        <v>0</v>
      </c>
      <c r="BD82">
        <f>SUM(cna_product_database_catalog_website[[#This Row],[Box CBM]]*35.3147)</f>
        <v>0</v>
      </c>
      <c r="BE82" t="s">
        <v>48</v>
      </c>
      <c r="BI8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82">
        <f>SUM(cna_product_database_catalog_website[[#This Row],[Carton CFT]]/61024)</f>
        <v>0</v>
      </c>
      <c r="BM82" t="s">
        <v>48</v>
      </c>
      <c r="BN82"/>
      <c r="BO82" t="s">
        <v>1585</v>
      </c>
      <c r="BP82" t="s">
        <v>48</v>
      </c>
      <c r="BQ82" t="s">
        <v>48</v>
      </c>
      <c r="BS82" t="s">
        <v>48</v>
      </c>
      <c r="BT82" t="s">
        <v>48</v>
      </c>
      <c r="BU82" t="s">
        <v>48</v>
      </c>
      <c r="BW82" t="s">
        <v>48</v>
      </c>
      <c r="BX82" t="s">
        <v>48</v>
      </c>
      <c r="BY82" t="s">
        <v>48</v>
      </c>
      <c r="BZ82" t="s">
        <v>48</v>
      </c>
      <c r="CA82" t="s">
        <v>48</v>
      </c>
      <c r="CB82" t="s">
        <v>48</v>
      </c>
      <c r="CC82" t="s">
        <v>48</v>
      </c>
      <c r="CD82" t="s">
        <v>48</v>
      </c>
      <c r="CE82" t="s">
        <v>48</v>
      </c>
      <c r="CF82" t="s">
        <v>48</v>
      </c>
      <c r="CG82" t="s">
        <v>48</v>
      </c>
      <c r="CH82" t="s">
        <v>48</v>
      </c>
      <c r="CI82" t="s">
        <v>48</v>
      </c>
      <c r="CJ82" t="s">
        <v>48</v>
      </c>
    </row>
    <row r="83" spans="1:88" x14ac:dyDescent="0.25">
      <c r="A83" s="4" t="s">
        <v>2104</v>
      </c>
      <c r="B83" s="4" t="s">
        <v>2064</v>
      </c>
      <c r="C83" s="4" t="s">
        <v>1729</v>
      </c>
      <c r="D83" s="4" t="str">
        <f>cna_product_database_catalog_website[[#This Row],[MainCategory]]&amp;"&gt;"&amp;cna_product_database_catalog_website[[#This Row],[SubCategory1]]&amp;"&gt;"&amp;cna_product_database_catalog_website[[#This Row],[SubCategory2]]</f>
        <v>Recessed&gt;Gimbal&gt;4" Gimbal - 5CCT - WH</v>
      </c>
      <c r="E83">
        <v>322</v>
      </c>
      <c r="F83" t="s">
        <v>1888</v>
      </c>
      <c r="G83" s="3">
        <v>1154</v>
      </c>
      <c r="H83" s="8">
        <v>9.5</v>
      </c>
      <c r="I83" t="s">
        <v>1888</v>
      </c>
      <c r="J83" t="s">
        <v>1860</v>
      </c>
      <c r="K83" t="s">
        <v>446</v>
      </c>
      <c r="L83" t="s">
        <v>443</v>
      </c>
      <c r="M83" s="12" t="str">
        <f>HYPERLINK(cna_product_database_catalog_website[[#This Row],[Spec Sheet Link]], cna_product_database_catalog_website[[#Headers],[Spec Sheet Link]])</f>
        <v>Spec Sheet Link</v>
      </c>
      <c r="N83" t="s">
        <v>47</v>
      </c>
      <c r="O83" s="3">
        <v>1</v>
      </c>
      <c r="P83" s="3">
        <v>1</v>
      </c>
      <c r="Q83" t="s">
        <v>239</v>
      </c>
      <c r="R83" t="s">
        <v>53</v>
      </c>
      <c r="S83" t="s">
        <v>48</v>
      </c>
      <c r="T83" t="s">
        <v>48</v>
      </c>
      <c r="U83" t="s">
        <v>419</v>
      </c>
      <c r="V83" t="s">
        <v>48</v>
      </c>
      <c r="W83" t="s">
        <v>420</v>
      </c>
      <c r="X83" t="s">
        <v>244</v>
      </c>
      <c r="Y83" s="3" t="s">
        <v>1014</v>
      </c>
      <c r="Z83" s="3" t="s">
        <v>1006</v>
      </c>
      <c r="AA83" s="3" t="s">
        <v>60</v>
      </c>
      <c r="AB83" s="1" t="s">
        <v>1047</v>
      </c>
      <c r="AC83" s="1" t="s">
        <v>2017</v>
      </c>
      <c r="AD83" t="s">
        <v>450</v>
      </c>
      <c r="AE83"/>
      <c r="AF83" t="s">
        <v>48</v>
      </c>
      <c r="AG83" t="s">
        <v>48</v>
      </c>
      <c r="AH83" t="s">
        <v>48</v>
      </c>
      <c r="AI83" t="s">
        <v>48</v>
      </c>
      <c r="AL83" t="s">
        <v>48</v>
      </c>
      <c r="AO83" t="s">
        <v>444</v>
      </c>
      <c r="AP83" t="s">
        <v>374</v>
      </c>
      <c r="AQ83" t="s">
        <v>445</v>
      </c>
      <c r="AV83" t="s">
        <v>48</v>
      </c>
      <c r="AW83" t="s">
        <v>48</v>
      </c>
      <c r="AX83" s="2" t="s">
        <v>48</v>
      </c>
      <c r="AY83" s="2" t="s">
        <v>48</v>
      </c>
      <c r="BC83">
        <f>SUM(cna_product_database_catalog_website[[#This Row],[Box Length (cm)]]*cna_product_database_catalog_website[[#This Row],[Box Width (cm)]]*cna_product_database_catalog_website[[#This Row],[Box Height (cm)]]/1000000)</f>
        <v>0</v>
      </c>
      <c r="BD83">
        <f>SUM(cna_product_database_catalog_website[[#This Row],[Box CBM]]*35.3147)</f>
        <v>0</v>
      </c>
      <c r="BE83" t="s">
        <v>48</v>
      </c>
      <c r="BI8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83">
        <f>SUM(cna_product_database_catalog_website[[#This Row],[Carton CFT]]/61024)</f>
        <v>0</v>
      </c>
      <c r="BM83" t="s">
        <v>48</v>
      </c>
      <c r="BN83"/>
      <c r="BO83" t="s">
        <v>510</v>
      </c>
      <c r="BP83" t="s">
        <v>48</v>
      </c>
      <c r="BQ83" t="s">
        <v>48</v>
      </c>
      <c r="BS83" t="s">
        <v>48</v>
      </c>
      <c r="BT83" t="s">
        <v>48</v>
      </c>
      <c r="BU83" t="s">
        <v>48</v>
      </c>
      <c r="BW83" t="s">
        <v>48</v>
      </c>
      <c r="BX83" t="s">
        <v>48</v>
      </c>
      <c r="BY83" t="s">
        <v>48</v>
      </c>
      <c r="BZ83" t="s">
        <v>48</v>
      </c>
      <c r="CA83" t="s">
        <v>48</v>
      </c>
      <c r="CB83" t="s">
        <v>48</v>
      </c>
      <c r="CC83" t="s">
        <v>48</v>
      </c>
      <c r="CD83" t="s">
        <v>48</v>
      </c>
      <c r="CE83" t="s">
        <v>48</v>
      </c>
      <c r="CF83" t="s">
        <v>48</v>
      </c>
      <c r="CG83" t="s">
        <v>48</v>
      </c>
      <c r="CH83" t="s">
        <v>48</v>
      </c>
      <c r="CI83" t="s">
        <v>48</v>
      </c>
      <c r="CJ83" t="s">
        <v>48</v>
      </c>
    </row>
    <row r="84" spans="1:88" x14ac:dyDescent="0.25">
      <c r="A84" s="4" t="s">
        <v>2104</v>
      </c>
      <c r="B84" s="4" t="s">
        <v>2064</v>
      </c>
      <c r="C84" s="4" t="s">
        <v>1857</v>
      </c>
      <c r="D84" s="4" t="str">
        <f>cna_product_database_catalog_website[[#This Row],[MainCategory]]&amp;"&gt;"&amp;cna_product_database_catalog_website[[#This Row],[SubCategory1]]&amp;"&gt;"&amp;cna_product_database_catalog_website[[#This Row],[SubCategory2]]</f>
        <v>Recessed&gt;Gimbal&gt;4" Eyeball - 3CCT - WH</v>
      </c>
      <c r="E84">
        <v>325</v>
      </c>
      <c r="F84" t="s">
        <v>1185</v>
      </c>
      <c r="G84" s="3">
        <v>1038</v>
      </c>
      <c r="H84" s="8">
        <v>18</v>
      </c>
      <c r="I84" t="s">
        <v>1185</v>
      </c>
      <c r="J84" t="s">
        <v>1185</v>
      </c>
      <c r="K84" t="s">
        <v>447</v>
      </c>
      <c r="L84" t="s">
        <v>448</v>
      </c>
      <c r="M84" s="12" t="str">
        <f>HYPERLINK(cna_product_database_catalog_website[[#This Row],[Spec Sheet Link]], cna_product_database_catalog_website[[#Headers],[Spec Sheet Link]])</f>
        <v>Spec Sheet Link</v>
      </c>
      <c r="N84" t="s">
        <v>47</v>
      </c>
      <c r="O84" s="3">
        <v>1</v>
      </c>
      <c r="P84" s="3">
        <v>1</v>
      </c>
      <c r="Q84" t="s">
        <v>424</v>
      </c>
      <c r="R84" t="s">
        <v>53</v>
      </c>
      <c r="S84" t="s">
        <v>48</v>
      </c>
      <c r="T84" t="s">
        <v>48</v>
      </c>
      <c r="U84" t="s">
        <v>419</v>
      </c>
      <c r="V84" t="s">
        <v>48</v>
      </c>
      <c r="W84" t="s">
        <v>420</v>
      </c>
      <c r="X84" t="s">
        <v>1105</v>
      </c>
      <c r="Y84" s="3" t="s">
        <v>1014</v>
      </c>
      <c r="Z84" s="3" t="s">
        <v>1007</v>
      </c>
      <c r="AA84" s="3" t="s">
        <v>60</v>
      </c>
      <c r="AB84" s="1" t="s">
        <v>1047</v>
      </c>
      <c r="AC84" s="1" t="s">
        <v>449</v>
      </c>
      <c r="AD84" t="s">
        <v>450</v>
      </c>
      <c r="AE84"/>
      <c r="AF84" t="s">
        <v>48</v>
      </c>
      <c r="AG84" t="s">
        <v>48</v>
      </c>
      <c r="AH84" t="s">
        <v>48</v>
      </c>
      <c r="AI84" t="s">
        <v>48</v>
      </c>
      <c r="AL84" t="s">
        <v>48</v>
      </c>
      <c r="AO84" t="s">
        <v>451</v>
      </c>
      <c r="AP84" t="s">
        <v>433</v>
      </c>
      <c r="AQ84" t="s">
        <v>452</v>
      </c>
      <c r="AR84">
        <v>530</v>
      </c>
      <c r="AS84">
        <v>1.17</v>
      </c>
      <c r="AV84" t="s">
        <v>48</v>
      </c>
      <c r="AW84" t="s">
        <v>403</v>
      </c>
      <c r="AX84" s="2" t="s">
        <v>429</v>
      </c>
      <c r="AY84" s="2" t="s">
        <v>429</v>
      </c>
      <c r="BC84">
        <f>SUM(cna_product_database_catalog_website[[#This Row],[Box Length (cm)]]*cna_product_database_catalog_website[[#This Row],[Box Width (cm)]]*cna_product_database_catalog_website[[#This Row],[Box Height (cm)]]/1000000)</f>
        <v>0</v>
      </c>
      <c r="BD84">
        <f>SUM(cna_product_database_catalog_website[[#This Row],[Box CBM]]*35.3147)</f>
        <v>0</v>
      </c>
      <c r="BE84" t="s">
        <v>48</v>
      </c>
      <c r="BI8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84">
        <f>SUM(cna_product_database_catalog_website[[#This Row],[Carton CFT]]/61024)</f>
        <v>0</v>
      </c>
      <c r="BM84" t="s">
        <v>453</v>
      </c>
      <c r="BN84"/>
      <c r="BO84" t="s">
        <v>510</v>
      </c>
      <c r="BP84" t="s">
        <v>48</v>
      </c>
      <c r="BQ84" t="s">
        <v>48</v>
      </c>
      <c r="BS84" t="s">
        <v>48</v>
      </c>
      <c r="BT84" t="s">
        <v>48</v>
      </c>
      <c r="BU84" t="s">
        <v>48</v>
      </c>
      <c r="BW84" t="s">
        <v>48</v>
      </c>
      <c r="BX84" t="s">
        <v>48</v>
      </c>
      <c r="BY84" t="s">
        <v>48</v>
      </c>
      <c r="BZ84" t="s">
        <v>48</v>
      </c>
      <c r="CA84" t="s">
        <v>48</v>
      </c>
      <c r="CB84" t="s">
        <v>48</v>
      </c>
      <c r="CC84" t="s">
        <v>48</v>
      </c>
      <c r="CD84" t="s">
        <v>48</v>
      </c>
      <c r="CE84" t="s">
        <v>48</v>
      </c>
      <c r="CF84" t="s">
        <v>48</v>
      </c>
      <c r="CG84" t="s">
        <v>48</v>
      </c>
      <c r="CH84" t="s">
        <v>48</v>
      </c>
      <c r="CI84" t="s">
        <v>48</v>
      </c>
      <c r="CJ84" t="s">
        <v>48</v>
      </c>
    </row>
    <row r="85" spans="1:88" s="4" customFormat="1" x14ac:dyDescent="0.25">
      <c r="A85" s="4" t="s">
        <v>2104</v>
      </c>
      <c r="B85" s="4" t="s">
        <v>2064</v>
      </c>
      <c r="C85" s="4" t="s">
        <v>1731</v>
      </c>
      <c r="D85" s="4" t="str">
        <f>cna_product_database_catalog_website[[#This Row],[MainCategory]]&amp;"&gt;"&amp;cna_product_database_catalog_website[[#This Row],[SubCategory1]]&amp;"&gt;"&amp;cna_product_database_catalog_website[[#This Row],[SubCategory2]]</f>
        <v>Recessed&gt;Gimbal&gt;4" Floating Gimbal 5CCT - WH</v>
      </c>
      <c r="E85" s="4">
        <v>330</v>
      </c>
      <c r="F85" s="4" t="s">
        <v>1890</v>
      </c>
      <c r="G85" s="5">
        <v>608</v>
      </c>
      <c r="H85" s="9">
        <v>10.9</v>
      </c>
      <c r="I85" s="4" t="s">
        <v>1890</v>
      </c>
      <c r="J85" s="4" t="s">
        <v>1615</v>
      </c>
      <c r="K85" s="4" t="s">
        <v>437</v>
      </c>
      <c r="L85" s="4" t="s">
        <v>1617</v>
      </c>
      <c r="M85" s="12" t="str">
        <f>HYPERLINK(cna_product_database_catalog_website[[#This Row],[Spec Sheet Link]], cna_product_database_catalog_website[[#Headers],[Spec Sheet Link]])</f>
        <v>Spec Sheet Link</v>
      </c>
      <c r="N85" s="4" t="s">
        <v>47</v>
      </c>
      <c r="O85" s="5">
        <v>1</v>
      </c>
      <c r="P85" s="5">
        <v>1</v>
      </c>
      <c r="Q85" s="4" t="s">
        <v>239</v>
      </c>
      <c r="R85" s="4" t="s">
        <v>53</v>
      </c>
      <c r="S85" s="4" t="s">
        <v>1619</v>
      </c>
      <c r="T85" s="4" t="s">
        <v>544</v>
      </c>
      <c r="U85" s="4" t="s">
        <v>419</v>
      </c>
      <c r="V85" s="4" t="s">
        <v>48</v>
      </c>
      <c r="W85" s="4" t="s">
        <v>420</v>
      </c>
      <c r="X85" s="4" t="s">
        <v>348</v>
      </c>
      <c r="Y85" s="5" t="s">
        <v>1013</v>
      </c>
      <c r="Z85" s="5" t="s">
        <v>1006</v>
      </c>
      <c r="AA85" s="5" t="s">
        <v>60</v>
      </c>
      <c r="AB85" s="1" t="s">
        <v>1047</v>
      </c>
      <c r="AC85" s="6" t="s">
        <v>449</v>
      </c>
      <c r="AD85" s="4" t="s">
        <v>450</v>
      </c>
      <c r="AF85" s="4" t="s">
        <v>48</v>
      </c>
      <c r="AG85" s="4" t="s">
        <v>48</v>
      </c>
      <c r="AH85" s="4" t="s">
        <v>48</v>
      </c>
      <c r="AI85" s="4" t="s">
        <v>48</v>
      </c>
      <c r="AL85" s="4" t="s">
        <v>48</v>
      </c>
      <c r="AM85" s="4" t="s">
        <v>1620</v>
      </c>
      <c r="AN85" s="4" t="s">
        <v>1621</v>
      </c>
      <c r="AO85" s="4" t="s">
        <v>200</v>
      </c>
      <c r="AP85" s="4" t="s">
        <v>433</v>
      </c>
      <c r="AQ85" s="4" t="s">
        <v>1622</v>
      </c>
      <c r="AR85" s="4">
        <v>470</v>
      </c>
      <c r="AS85" s="4">
        <v>1.04</v>
      </c>
      <c r="AV85" s="4" t="s">
        <v>48</v>
      </c>
      <c r="AW85" s="4" t="s">
        <v>403</v>
      </c>
      <c r="AX85" s="7">
        <v>20</v>
      </c>
      <c r="AY85" s="7">
        <v>20</v>
      </c>
      <c r="BC85" s="4">
        <f>SUM(cna_product_database_catalog_website[[#This Row],[Box Length (cm)]]*cna_product_database_catalog_website[[#This Row],[Box Width (cm)]]*cna_product_database_catalog_website[[#This Row],[Box Height (cm)]]/1000000)</f>
        <v>0</v>
      </c>
      <c r="BD85" s="4">
        <f>SUM(cna_product_database_catalog_website[[#This Row],[Box CBM]]*35.3147)</f>
        <v>0</v>
      </c>
      <c r="BE85" s="4" t="s">
        <v>48</v>
      </c>
      <c r="BI85" s="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85" s="4">
        <f>SUM(cna_product_database_catalog_website[[#This Row],[Carton CFT]]/61024)</f>
        <v>0</v>
      </c>
      <c r="BM85" s="4" t="s">
        <v>1623</v>
      </c>
      <c r="BO85" s="4" t="s">
        <v>510</v>
      </c>
      <c r="BP85" s="4" t="s">
        <v>48</v>
      </c>
      <c r="BQ85" s="4" t="s">
        <v>48</v>
      </c>
      <c r="BS85" s="4" t="s">
        <v>48</v>
      </c>
      <c r="BT85" s="4" t="s">
        <v>48</v>
      </c>
      <c r="BU85" s="4" t="s">
        <v>48</v>
      </c>
      <c r="BW85" s="4" t="s">
        <v>48</v>
      </c>
      <c r="BX85" s="4" t="s">
        <v>48</v>
      </c>
      <c r="BY85" s="4" t="s">
        <v>48</v>
      </c>
      <c r="BZ85" s="4" t="s">
        <v>48</v>
      </c>
      <c r="CA85" s="4" t="s">
        <v>48</v>
      </c>
      <c r="CB85" s="4" t="s">
        <v>48</v>
      </c>
      <c r="CC85" s="4" t="s">
        <v>48</v>
      </c>
      <c r="CD85" s="4" t="s">
        <v>48</v>
      </c>
      <c r="CE85" s="4" t="s">
        <v>48</v>
      </c>
      <c r="CF85" s="4" t="s">
        <v>48</v>
      </c>
      <c r="CG85" s="4" t="s">
        <v>48</v>
      </c>
      <c r="CH85" s="4" t="s">
        <v>48</v>
      </c>
      <c r="CI85" s="4" t="s">
        <v>48</v>
      </c>
      <c r="CJ85" s="4" t="s">
        <v>48</v>
      </c>
    </row>
    <row r="86" spans="1:88" s="4" customFormat="1" x14ac:dyDescent="0.25">
      <c r="A86" s="4" t="s">
        <v>2104</v>
      </c>
      <c r="B86" s="4" t="s">
        <v>2064</v>
      </c>
      <c r="C86" s="4" t="s">
        <v>1730</v>
      </c>
      <c r="D86" s="4" t="str">
        <f>cna_product_database_catalog_website[[#This Row],[MainCategory]]&amp;"&gt;"&amp;cna_product_database_catalog_website[[#This Row],[SubCategory1]]&amp;"&gt;"&amp;cna_product_database_catalog_website[[#This Row],[SubCategory2]]</f>
        <v>Recessed&gt;Gimbal&gt;4" Floating Gimbal 5CCT - BK</v>
      </c>
      <c r="E86" s="4">
        <v>331</v>
      </c>
      <c r="F86" s="4" t="s">
        <v>1891</v>
      </c>
      <c r="G86" s="5">
        <v>1141</v>
      </c>
      <c r="H86" s="9">
        <v>12.9</v>
      </c>
      <c r="I86" s="4" t="s">
        <v>1891</v>
      </c>
      <c r="J86" s="4" t="s">
        <v>1862</v>
      </c>
      <c r="K86" s="4" t="s">
        <v>436</v>
      </c>
      <c r="M86" s="12" t="str">
        <f>HYPERLINK(cna_product_database_catalog_website[[#This Row],[Spec Sheet Link]], cna_product_database_catalog_website[[#Headers],[Spec Sheet Link]])</f>
        <v>Spec Sheet Link</v>
      </c>
      <c r="N86" s="4" t="s">
        <v>47</v>
      </c>
      <c r="O86" s="5">
        <v>1</v>
      </c>
      <c r="P86" s="5">
        <v>1</v>
      </c>
      <c r="Q86" s="4" t="s">
        <v>424</v>
      </c>
      <c r="R86" s="4" t="s">
        <v>53</v>
      </c>
      <c r="S86" s="4" t="s">
        <v>512</v>
      </c>
      <c r="T86" s="4" t="s">
        <v>1093</v>
      </c>
      <c r="U86" s="4" t="s">
        <v>419</v>
      </c>
      <c r="V86" s="4" t="s">
        <v>48</v>
      </c>
      <c r="W86" s="4" t="s">
        <v>420</v>
      </c>
      <c r="X86" s="4" t="s">
        <v>348</v>
      </c>
      <c r="Y86" s="5" t="s">
        <v>1013</v>
      </c>
      <c r="Z86" s="5" t="s">
        <v>1006</v>
      </c>
      <c r="AA86" s="5" t="s">
        <v>60</v>
      </c>
      <c r="AB86" s="1" t="s">
        <v>1008</v>
      </c>
      <c r="AC86" s="6" t="s">
        <v>449</v>
      </c>
      <c r="AD86" s="4" t="s">
        <v>450</v>
      </c>
      <c r="AF86" s="4" t="s">
        <v>48</v>
      </c>
      <c r="AG86" s="4" t="s">
        <v>48</v>
      </c>
      <c r="AH86" s="4" t="s">
        <v>48</v>
      </c>
      <c r="AI86" s="4" t="s">
        <v>48</v>
      </c>
      <c r="AL86" s="4" t="s">
        <v>48</v>
      </c>
      <c r="AM86" s="4" t="s">
        <v>1620</v>
      </c>
      <c r="AN86" s="4" t="s">
        <v>1621</v>
      </c>
      <c r="AO86" s="4" t="s">
        <v>200</v>
      </c>
      <c r="AP86" s="4" t="s">
        <v>433</v>
      </c>
      <c r="AQ86" s="4" t="s">
        <v>1622</v>
      </c>
      <c r="AR86" s="4">
        <v>470</v>
      </c>
      <c r="AS86" s="4">
        <v>1.04</v>
      </c>
      <c r="AV86" s="4" t="s">
        <v>48</v>
      </c>
      <c r="AW86" s="4" t="s">
        <v>403</v>
      </c>
      <c r="AX86" s="7">
        <v>20</v>
      </c>
      <c r="AY86" s="7">
        <v>20</v>
      </c>
      <c r="BC86" s="4">
        <f>SUM(cna_product_database_catalog_website[[#This Row],[Box Length (cm)]]*cna_product_database_catalog_website[[#This Row],[Box Width (cm)]]*cna_product_database_catalog_website[[#This Row],[Box Height (cm)]]/1000000)</f>
        <v>0</v>
      </c>
      <c r="BD86" s="4">
        <f>SUM(cna_product_database_catalog_website[[#This Row],[Box CBM]]*35.3147)</f>
        <v>0</v>
      </c>
      <c r="BE86" s="4" t="s">
        <v>48</v>
      </c>
      <c r="BI86" s="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86" s="4">
        <f>SUM(cna_product_database_catalog_website[[#This Row],[Carton CFT]]/61024)</f>
        <v>0</v>
      </c>
      <c r="BM86" s="4" t="s">
        <v>1623</v>
      </c>
      <c r="BO86" s="4" t="s">
        <v>1585</v>
      </c>
      <c r="BP86" s="4" t="s">
        <v>48</v>
      </c>
      <c r="BQ86" s="4" t="s">
        <v>48</v>
      </c>
      <c r="BS86" s="4" t="s">
        <v>48</v>
      </c>
      <c r="BT86" s="4" t="s">
        <v>48</v>
      </c>
      <c r="BU86" s="4" t="s">
        <v>48</v>
      </c>
      <c r="BW86" s="4" t="s">
        <v>48</v>
      </c>
      <c r="BX86" s="4" t="s">
        <v>48</v>
      </c>
      <c r="BY86" s="4" t="s">
        <v>48</v>
      </c>
      <c r="BZ86" s="4" t="s">
        <v>48</v>
      </c>
      <c r="CA86" s="4" t="s">
        <v>48</v>
      </c>
      <c r="CB86" s="4" t="s">
        <v>48</v>
      </c>
      <c r="CC86" s="4" t="s">
        <v>48</v>
      </c>
      <c r="CD86" s="4" t="s">
        <v>48</v>
      </c>
      <c r="CE86" s="4" t="s">
        <v>48</v>
      </c>
      <c r="CF86" s="4" t="s">
        <v>48</v>
      </c>
      <c r="CG86" s="4" t="s">
        <v>48</v>
      </c>
      <c r="CH86" s="4" t="s">
        <v>48</v>
      </c>
      <c r="CI86" s="4" t="s">
        <v>48</v>
      </c>
      <c r="CJ86" s="4" t="s">
        <v>48</v>
      </c>
    </row>
    <row r="87" spans="1:88" s="4" customFormat="1" x14ac:dyDescent="0.25">
      <c r="A87" s="4" t="s">
        <v>2104</v>
      </c>
      <c r="B87" s="4" t="s">
        <v>2064</v>
      </c>
      <c r="C87" s="4" t="s">
        <v>1731</v>
      </c>
      <c r="D87" s="4" t="str">
        <f>cna_product_database_catalog_website[[#This Row],[MainCategory]]&amp;"&gt;"&amp;cna_product_database_catalog_website[[#This Row],[SubCategory1]]&amp;"&gt;"&amp;cna_product_database_catalog_website[[#This Row],[SubCategory2]]</f>
        <v>Recessed&gt;Gimbal&gt;4" Floating Gimbal 5CCT - WH</v>
      </c>
      <c r="E87" s="4">
        <v>332</v>
      </c>
      <c r="F87" s="4" t="s">
        <v>1892</v>
      </c>
      <c r="G87" s="5">
        <v>1140</v>
      </c>
      <c r="H87" s="9">
        <v>12.9</v>
      </c>
      <c r="I87" s="4" t="s">
        <v>1892</v>
      </c>
      <c r="J87" s="4" t="s">
        <v>1616</v>
      </c>
      <c r="K87" s="4" t="s">
        <v>437</v>
      </c>
      <c r="L87" s="4" t="s">
        <v>1618</v>
      </c>
      <c r="M87" s="12" t="str">
        <f>HYPERLINK(cna_product_database_catalog_website[[#This Row],[Spec Sheet Link]], cna_product_database_catalog_website[[#Headers],[Spec Sheet Link]])</f>
        <v>Spec Sheet Link</v>
      </c>
      <c r="N87" s="4" t="s">
        <v>47</v>
      </c>
      <c r="O87" s="5">
        <v>1</v>
      </c>
      <c r="P87" s="5">
        <v>1</v>
      </c>
      <c r="Q87" s="4" t="s">
        <v>424</v>
      </c>
      <c r="R87" s="4" t="s">
        <v>53</v>
      </c>
      <c r="S87" s="4" t="s">
        <v>512</v>
      </c>
      <c r="T87" s="4" t="s">
        <v>1093</v>
      </c>
      <c r="U87" s="4" t="s">
        <v>419</v>
      </c>
      <c r="V87" s="4" t="s">
        <v>48</v>
      </c>
      <c r="W87" s="4" t="s">
        <v>420</v>
      </c>
      <c r="X87" s="4" t="s">
        <v>348</v>
      </c>
      <c r="Y87" s="5" t="s">
        <v>1013</v>
      </c>
      <c r="Z87" s="5" t="s">
        <v>1006</v>
      </c>
      <c r="AA87" s="5" t="s">
        <v>60</v>
      </c>
      <c r="AB87" s="1" t="s">
        <v>1008</v>
      </c>
      <c r="AC87" s="6" t="s">
        <v>449</v>
      </c>
      <c r="AD87" s="4" t="s">
        <v>450</v>
      </c>
      <c r="AF87" s="4" t="s">
        <v>48</v>
      </c>
      <c r="AG87" s="4" t="s">
        <v>48</v>
      </c>
      <c r="AH87" s="4" t="s">
        <v>48</v>
      </c>
      <c r="AI87" s="4" t="s">
        <v>48</v>
      </c>
      <c r="AL87" s="4" t="s">
        <v>48</v>
      </c>
      <c r="AM87" s="4" t="s">
        <v>1620</v>
      </c>
      <c r="AN87" s="4" t="s">
        <v>1621</v>
      </c>
      <c r="AO87" s="4" t="s">
        <v>200</v>
      </c>
      <c r="AP87" s="4" t="s">
        <v>433</v>
      </c>
      <c r="AQ87" s="4" t="s">
        <v>1622</v>
      </c>
      <c r="AR87" s="4">
        <v>470</v>
      </c>
      <c r="AS87" s="4">
        <v>1.04</v>
      </c>
      <c r="AV87" s="4" t="s">
        <v>48</v>
      </c>
      <c r="AW87" s="4" t="s">
        <v>403</v>
      </c>
      <c r="AX87" s="7">
        <v>20</v>
      </c>
      <c r="AY87" s="7">
        <v>20</v>
      </c>
      <c r="BC87" s="4">
        <f>SUM(cna_product_database_catalog_website[[#This Row],[Box Length (cm)]]*cna_product_database_catalog_website[[#This Row],[Box Width (cm)]]*cna_product_database_catalog_website[[#This Row],[Box Height (cm)]]/1000000)</f>
        <v>0</v>
      </c>
      <c r="BD87" s="4">
        <f>SUM(cna_product_database_catalog_website[[#This Row],[Box CBM]]*35.3147)</f>
        <v>0</v>
      </c>
      <c r="BE87" s="4" t="s">
        <v>48</v>
      </c>
      <c r="BI87" s="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87" s="4">
        <f>SUM(cna_product_database_catalog_website[[#This Row],[Carton CFT]]/61024)</f>
        <v>0</v>
      </c>
      <c r="BM87" s="4" t="s">
        <v>1623</v>
      </c>
      <c r="BO87" s="4" t="s">
        <v>510</v>
      </c>
      <c r="BP87" s="4" t="s">
        <v>48</v>
      </c>
      <c r="BQ87" s="4" t="s">
        <v>48</v>
      </c>
      <c r="BS87" s="4" t="s">
        <v>48</v>
      </c>
      <c r="BT87" s="4" t="s">
        <v>48</v>
      </c>
      <c r="BU87" s="4" t="s">
        <v>48</v>
      </c>
      <c r="BW87" s="4" t="s">
        <v>48</v>
      </c>
      <c r="BX87" s="4" t="s">
        <v>48</v>
      </c>
      <c r="BY87" s="4" t="s">
        <v>48</v>
      </c>
      <c r="BZ87" s="4" t="s">
        <v>48</v>
      </c>
      <c r="CA87" s="4" t="s">
        <v>48</v>
      </c>
      <c r="CB87" s="4" t="s">
        <v>48</v>
      </c>
      <c r="CC87" s="4" t="s">
        <v>48</v>
      </c>
      <c r="CD87" s="4" t="s">
        <v>48</v>
      </c>
      <c r="CE87" s="4" t="s">
        <v>48</v>
      </c>
      <c r="CF87" s="4" t="s">
        <v>48</v>
      </c>
      <c r="CG87" s="4" t="s">
        <v>48</v>
      </c>
      <c r="CH87" s="4" t="s">
        <v>48</v>
      </c>
      <c r="CI87" s="4" t="s">
        <v>48</v>
      </c>
      <c r="CJ87" s="4" t="s">
        <v>48</v>
      </c>
    </row>
    <row r="88" spans="1:88" x14ac:dyDescent="0.25">
      <c r="A88" s="4" t="s">
        <v>2104</v>
      </c>
      <c r="B88" s="4" t="s">
        <v>2065</v>
      </c>
      <c r="C88" s="4" t="s">
        <v>1724</v>
      </c>
      <c r="D88" s="4" t="str">
        <f>cna_product_database_catalog_website[[#This Row],[MainCategory]]&amp;"&gt;"&amp;cna_product_database_catalog_website[[#This Row],[SubCategory1]]&amp;"&gt;"&amp;cna_product_database_catalog_website[[#This Row],[SubCategory2]]</f>
        <v>Recessed&gt;Eyeball&gt;3.5" Eyeball - 30K - WH</v>
      </c>
      <c r="E88">
        <v>340</v>
      </c>
      <c r="F88" t="s">
        <v>1861</v>
      </c>
      <c r="G88" s="3">
        <v>1102</v>
      </c>
      <c r="H88" s="8">
        <v>17</v>
      </c>
      <c r="I88" t="s">
        <v>1861</v>
      </c>
      <c r="J88" t="s">
        <v>1861</v>
      </c>
      <c r="K88" t="s">
        <v>454</v>
      </c>
      <c r="L88" t="s">
        <v>455</v>
      </c>
      <c r="M88" s="12" t="str">
        <f>HYPERLINK(cna_product_database_catalog_website[[#This Row],[Spec Sheet Link]], cna_product_database_catalog_website[[#Headers],[Spec Sheet Link]])</f>
        <v>Spec Sheet Link</v>
      </c>
      <c r="N88" t="s">
        <v>47</v>
      </c>
      <c r="O88" s="3">
        <v>1</v>
      </c>
      <c r="P88" s="3">
        <v>1</v>
      </c>
      <c r="Q88" t="s">
        <v>424</v>
      </c>
      <c r="R88" t="s">
        <v>53</v>
      </c>
      <c r="S88" t="s">
        <v>48</v>
      </c>
      <c r="T88" t="s">
        <v>48</v>
      </c>
      <c r="U88" t="s">
        <v>419</v>
      </c>
      <c r="V88" t="s">
        <v>48</v>
      </c>
      <c r="W88" t="s">
        <v>420</v>
      </c>
      <c r="X88" t="s">
        <v>78</v>
      </c>
      <c r="Y88" s="3" t="s">
        <v>1014</v>
      </c>
      <c r="Z88" s="3" t="s">
        <v>1007</v>
      </c>
      <c r="AA88" s="3" t="s">
        <v>60</v>
      </c>
      <c r="AB88" s="1" t="s">
        <v>1047</v>
      </c>
      <c r="AC88" s="1" t="s">
        <v>48</v>
      </c>
      <c r="AD88" t="s">
        <v>48</v>
      </c>
      <c r="AE88"/>
      <c r="AF88" t="s">
        <v>48</v>
      </c>
      <c r="AG88" t="s">
        <v>48</v>
      </c>
      <c r="AH88" t="s">
        <v>48</v>
      </c>
      <c r="AI88" t="s">
        <v>48</v>
      </c>
      <c r="AL88" t="s">
        <v>48</v>
      </c>
      <c r="AO88" t="s">
        <v>456</v>
      </c>
      <c r="AP88" t="s">
        <v>457</v>
      </c>
      <c r="AQ88" t="s">
        <v>458</v>
      </c>
      <c r="AR88">
        <v>630</v>
      </c>
      <c r="AS88">
        <v>1.39</v>
      </c>
      <c r="AV88" t="s">
        <v>48</v>
      </c>
      <c r="AW88" t="s">
        <v>48</v>
      </c>
      <c r="AX88" s="2" t="s">
        <v>48</v>
      </c>
      <c r="AY88" s="2" t="s">
        <v>48</v>
      </c>
      <c r="BC88">
        <f>SUM(cna_product_database_catalog_website[[#This Row],[Box Length (cm)]]*cna_product_database_catalog_website[[#This Row],[Box Width (cm)]]*cna_product_database_catalog_website[[#This Row],[Box Height (cm)]]/1000000)</f>
        <v>0</v>
      </c>
      <c r="BD88">
        <f>SUM(cna_product_database_catalog_website[[#This Row],[Box CBM]]*35.3147)</f>
        <v>0</v>
      </c>
      <c r="BE88" t="s">
        <v>48</v>
      </c>
      <c r="BI8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88">
        <f>SUM(cna_product_database_catalog_website[[#This Row],[Carton CFT]]/61024)</f>
        <v>0</v>
      </c>
      <c r="BM88" t="s">
        <v>48</v>
      </c>
      <c r="BN88"/>
      <c r="BO88" t="s">
        <v>510</v>
      </c>
      <c r="BP88" t="s">
        <v>48</v>
      </c>
      <c r="BQ88" t="s">
        <v>48</v>
      </c>
      <c r="BS88" t="s">
        <v>48</v>
      </c>
      <c r="BT88" t="s">
        <v>48</v>
      </c>
      <c r="BU88" t="s">
        <v>48</v>
      </c>
      <c r="BW88" t="s">
        <v>48</v>
      </c>
      <c r="BX88" t="s">
        <v>48</v>
      </c>
      <c r="BY88" t="s">
        <v>48</v>
      </c>
      <c r="BZ88" t="s">
        <v>48</v>
      </c>
      <c r="CA88" t="s">
        <v>48</v>
      </c>
      <c r="CB88" t="s">
        <v>48</v>
      </c>
      <c r="CC88" t="s">
        <v>48</v>
      </c>
      <c r="CD88" t="s">
        <v>48</v>
      </c>
      <c r="CE88" t="s">
        <v>48</v>
      </c>
      <c r="CF88" t="s">
        <v>48</v>
      </c>
      <c r="CG88" t="s">
        <v>48</v>
      </c>
      <c r="CH88" t="s">
        <v>48</v>
      </c>
      <c r="CI88" t="s">
        <v>48</v>
      </c>
      <c r="CJ88" t="s">
        <v>48</v>
      </c>
    </row>
    <row r="89" spans="1:88" x14ac:dyDescent="0.25">
      <c r="A89" s="4" t="s">
        <v>2104</v>
      </c>
      <c r="B89" s="4" t="s">
        <v>2065</v>
      </c>
      <c r="C89" s="4" t="s">
        <v>1725</v>
      </c>
      <c r="D89" s="4" t="str">
        <f>cna_product_database_catalog_website[[#This Row],[MainCategory]]&amp;"&gt;"&amp;cna_product_database_catalog_website[[#This Row],[SubCategory1]]&amp;"&gt;"&amp;cna_product_database_catalog_website[[#This Row],[SubCategory2]]</f>
        <v>Recessed&gt;Eyeball&gt;3.5" Eyeball - 3CCT - BK</v>
      </c>
      <c r="E89">
        <v>341</v>
      </c>
      <c r="F89" t="s">
        <v>1243</v>
      </c>
      <c r="G89" s="3">
        <v>1040</v>
      </c>
      <c r="H89" s="8">
        <v>18</v>
      </c>
      <c r="I89" t="s">
        <v>1243</v>
      </c>
      <c r="J89" t="s">
        <v>506</v>
      </c>
      <c r="K89" t="s">
        <v>48</v>
      </c>
      <c r="L89" t="s">
        <v>46</v>
      </c>
      <c r="M89" s="12"/>
      <c r="N89" t="s">
        <v>47</v>
      </c>
      <c r="O89" s="3">
        <v>1</v>
      </c>
      <c r="P89" s="3">
        <v>1</v>
      </c>
      <c r="Q89" t="s">
        <v>424</v>
      </c>
      <c r="R89" t="s">
        <v>53</v>
      </c>
      <c r="S89" t="s">
        <v>48</v>
      </c>
      <c r="T89" t="s">
        <v>48</v>
      </c>
      <c r="U89" t="s">
        <v>419</v>
      </c>
      <c r="V89" t="s">
        <v>48</v>
      </c>
      <c r="W89" t="s">
        <v>420</v>
      </c>
      <c r="X89" t="s">
        <v>1105</v>
      </c>
      <c r="Y89" s="3" t="s">
        <v>1014</v>
      </c>
      <c r="Z89" s="3" t="s">
        <v>1007</v>
      </c>
      <c r="AA89" s="3" t="s">
        <v>60</v>
      </c>
      <c r="AB89" s="1" t="s">
        <v>1047</v>
      </c>
      <c r="AC89" s="1" t="s">
        <v>48</v>
      </c>
      <c r="AD89" t="s">
        <v>48</v>
      </c>
      <c r="AE89"/>
      <c r="AF89" t="s">
        <v>48</v>
      </c>
      <c r="AG89" t="s">
        <v>48</v>
      </c>
      <c r="AH89" t="s">
        <v>48</v>
      </c>
      <c r="AI89" t="s">
        <v>48</v>
      </c>
      <c r="AL89" t="s">
        <v>48</v>
      </c>
      <c r="AO89" t="s">
        <v>48</v>
      </c>
      <c r="AP89" t="s">
        <v>48</v>
      </c>
      <c r="AQ89" t="s">
        <v>48</v>
      </c>
      <c r="AR89">
        <v>630</v>
      </c>
      <c r="AV89" t="s">
        <v>48</v>
      </c>
      <c r="AW89" t="s">
        <v>48</v>
      </c>
      <c r="AX89" s="2" t="s">
        <v>429</v>
      </c>
      <c r="AY89" s="2" t="s">
        <v>429</v>
      </c>
      <c r="BC89">
        <f>SUM(cna_product_database_catalog_website[[#This Row],[Box Length (cm)]]*cna_product_database_catalog_website[[#This Row],[Box Width (cm)]]*cna_product_database_catalog_website[[#This Row],[Box Height (cm)]]/1000000)</f>
        <v>0</v>
      </c>
      <c r="BD89">
        <f>SUM(cna_product_database_catalog_website[[#This Row],[Box CBM]]*35.3147)</f>
        <v>0</v>
      </c>
      <c r="BE89" t="s">
        <v>48</v>
      </c>
      <c r="BI8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89">
        <f>SUM(cna_product_database_catalog_website[[#This Row],[Carton CFT]]/61024)</f>
        <v>0</v>
      </c>
      <c r="BM89" t="s">
        <v>48</v>
      </c>
      <c r="BN89" t="s">
        <v>48</v>
      </c>
      <c r="BO89" t="s">
        <v>1585</v>
      </c>
      <c r="BP89" t="s">
        <v>48</v>
      </c>
      <c r="BQ89" t="s">
        <v>48</v>
      </c>
      <c r="BS89" t="s">
        <v>48</v>
      </c>
      <c r="BT89" t="s">
        <v>48</v>
      </c>
      <c r="BU89" t="s">
        <v>48</v>
      </c>
      <c r="BW89" t="s">
        <v>48</v>
      </c>
      <c r="BX89" t="s">
        <v>48</v>
      </c>
      <c r="BY89" t="s">
        <v>48</v>
      </c>
      <c r="BZ89" t="s">
        <v>48</v>
      </c>
      <c r="CA89" t="s">
        <v>48</v>
      </c>
      <c r="CB89" t="s">
        <v>48</v>
      </c>
      <c r="CC89" t="s">
        <v>48</v>
      </c>
      <c r="CD89" t="s">
        <v>48</v>
      </c>
      <c r="CE89" t="s">
        <v>48</v>
      </c>
      <c r="CF89" t="s">
        <v>48</v>
      </c>
      <c r="CG89" t="s">
        <v>48</v>
      </c>
      <c r="CH89" t="s">
        <v>48</v>
      </c>
      <c r="CI89" t="s">
        <v>48</v>
      </c>
      <c r="CJ89" t="s">
        <v>48</v>
      </c>
    </row>
    <row r="90" spans="1:88" x14ac:dyDescent="0.25">
      <c r="A90" s="4" t="s">
        <v>2104</v>
      </c>
      <c r="B90" s="4" t="s">
        <v>2065</v>
      </c>
      <c r="C90" s="4" t="s">
        <v>1723</v>
      </c>
      <c r="D90" s="4" t="str">
        <f>cna_product_database_catalog_website[[#This Row],[MainCategory]]&amp;"&gt;"&amp;cna_product_database_catalog_website[[#This Row],[SubCategory1]]&amp;"&gt;"&amp;cna_product_database_catalog_website[[#This Row],[SubCategory2]]</f>
        <v>Recessed&gt;Eyeball&gt;3.5" Eyeball - 3CCT - WH</v>
      </c>
      <c r="E90">
        <v>342</v>
      </c>
      <c r="F90" t="s">
        <v>1186</v>
      </c>
      <c r="G90" s="3">
        <v>1041</v>
      </c>
      <c r="H90" s="8">
        <v>18</v>
      </c>
      <c r="I90" t="s">
        <v>1186</v>
      </c>
      <c r="J90" t="s">
        <v>1186</v>
      </c>
      <c r="K90" t="s">
        <v>454</v>
      </c>
      <c r="L90" t="s">
        <v>459</v>
      </c>
      <c r="M90" s="12" t="str">
        <f>HYPERLINK(cna_product_database_catalog_website[[#This Row],[Spec Sheet Link]], cna_product_database_catalog_website[[#Headers],[Spec Sheet Link]])</f>
        <v>Spec Sheet Link</v>
      </c>
      <c r="N90" t="s">
        <v>47</v>
      </c>
      <c r="O90" s="3">
        <v>1</v>
      </c>
      <c r="P90" s="3">
        <v>1</v>
      </c>
      <c r="Q90" t="s">
        <v>424</v>
      </c>
      <c r="R90" t="s">
        <v>53</v>
      </c>
      <c r="S90" t="s">
        <v>48</v>
      </c>
      <c r="T90" t="s">
        <v>48</v>
      </c>
      <c r="U90" t="s">
        <v>419</v>
      </c>
      <c r="V90" t="s">
        <v>48</v>
      </c>
      <c r="W90" t="s">
        <v>2027</v>
      </c>
      <c r="X90" t="s">
        <v>1105</v>
      </c>
      <c r="Y90" s="3" t="s">
        <v>1014</v>
      </c>
      <c r="Z90" s="3" t="s">
        <v>1007</v>
      </c>
      <c r="AA90" s="3" t="s">
        <v>60</v>
      </c>
      <c r="AB90" s="1" t="s">
        <v>1047</v>
      </c>
      <c r="AC90" s="1" t="s">
        <v>449</v>
      </c>
      <c r="AD90" t="s">
        <v>450</v>
      </c>
      <c r="AE90"/>
      <c r="AF90" t="s">
        <v>48</v>
      </c>
      <c r="AG90" t="s">
        <v>48</v>
      </c>
      <c r="AH90" t="s">
        <v>48</v>
      </c>
      <c r="AI90" t="s">
        <v>48</v>
      </c>
      <c r="AL90" t="s">
        <v>48</v>
      </c>
      <c r="AO90" t="s">
        <v>456</v>
      </c>
      <c r="AP90" t="s">
        <v>457</v>
      </c>
      <c r="AQ90" t="s">
        <v>458</v>
      </c>
      <c r="AR90">
        <v>630</v>
      </c>
      <c r="AS90">
        <v>1.39</v>
      </c>
      <c r="AV90" t="s">
        <v>48</v>
      </c>
      <c r="AW90" t="s">
        <v>403</v>
      </c>
      <c r="AX90" s="2" t="s">
        <v>429</v>
      </c>
      <c r="AY90" s="2" t="s">
        <v>429</v>
      </c>
      <c r="BC90">
        <f>SUM(cna_product_database_catalog_website[[#This Row],[Box Length (cm)]]*cna_product_database_catalog_website[[#This Row],[Box Width (cm)]]*cna_product_database_catalog_website[[#This Row],[Box Height (cm)]]/1000000)</f>
        <v>0</v>
      </c>
      <c r="BD90">
        <f>SUM(cna_product_database_catalog_website[[#This Row],[Box CBM]]*35.3147)</f>
        <v>0</v>
      </c>
      <c r="BE90" t="s">
        <v>48</v>
      </c>
      <c r="BI9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90">
        <f>SUM(cna_product_database_catalog_website[[#This Row],[Carton CFT]]/61024)</f>
        <v>0</v>
      </c>
      <c r="BM90" t="s">
        <v>460</v>
      </c>
      <c r="BN90"/>
      <c r="BO90" t="s">
        <v>510</v>
      </c>
      <c r="BP90" t="s">
        <v>48</v>
      </c>
      <c r="BQ90" t="s">
        <v>48</v>
      </c>
      <c r="BS90" t="s">
        <v>48</v>
      </c>
      <c r="BT90" t="s">
        <v>48</v>
      </c>
      <c r="BU90" t="s">
        <v>48</v>
      </c>
      <c r="BW90" t="s">
        <v>48</v>
      </c>
      <c r="BX90" t="s">
        <v>48</v>
      </c>
      <c r="BY90" t="s">
        <v>48</v>
      </c>
      <c r="BZ90" t="s">
        <v>48</v>
      </c>
      <c r="CA90" t="s">
        <v>48</v>
      </c>
      <c r="CB90" t="s">
        <v>48</v>
      </c>
      <c r="CC90" t="s">
        <v>48</v>
      </c>
      <c r="CD90" t="s">
        <v>48</v>
      </c>
      <c r="CE90" t="s">
        <v>48</v>
      </c>
      <c r="CF90" t="s">
        <v>48</v>
      </c>
      <c r="CG90" t="s">
        <v>48</v>
      </c>
      <c r="CH90" t="s">
        <v>48</v>
      </c>
      <c r="CI90" t="s">
        <v>48</v>
      </c>
      <c r="CJ90" t="s">
        <v>48</v>
      </c>
    </row>
    <row r="91" spans="1:88" x14ac:dyDescent="0.25">
      <c r="A91" s="4" t="s">
        <v>2104</v>
      </c>
      <c r="B91" s="4" t="s">
        <v>2065</v>
      </c>
      <c r="C91" s="4" t="s">
        <v>1726</v>
      </c>
      <c r="D91" s="4" t="str">
        <f>cna_product_database_catalog_website[[#This Row],[MainCategory]]&amp;"&gt;"&amp;cna_product_database_catalog_website[[#This Row],[SubCategory1]]&amp;"&gt;"&amp;cna_product_database_catalog_website[[#This Row],[SubCategory2]]</f>
        <v>Recessed&gt;Eyeball&gt;3.5" Eyeball - 5CCT - WH</v>
      </c>
      <c r="E91">
        <v>343</v>
      </c>
      <c r="F91" t="s">
        <v>1889</v>
      </c>
      <c r="G91" s="3">
        <v>1125</v>
      </c>
      <c r="H91" s="8">
        <v>19</v>
      </c>
      <c r="I91" t="s">
        <v>1889</v>
      </c>
      <c r="J91" t="s">
        <v>1858</v>
      </c>
      <c r="K91" t="s">
        <v>461</v>
      </c>
      <c r="L91" t="s">
        <v>462</v>
      </c>
      <c r="M91" s="12" t="str">
        <f>HYPERLINK(cna_product_database_catalog_website[[#This Row],[Spec Sheet Link]], cna_product_database_catalog_website[[#Headers],[Spec Sheet Link]])</f>
        <v>Spec Sheet Link</v>
      </c>
      <c r="N91" t="s">
        <v>47</v>
      </c>
      <c r="O91" s="3">
        <v>1</v>
      </c>
      <c r="P91" s="3">
        <v>1</v>
      </c>
      <c r="Q91" t="s">
        <v>424</v>
      </c>
      <c r="R91" t="s">
        <v>53</v>
      </c>
      <c r="S91" t="s">
        <v>48</v>
      </c>
      <c r="T91" t="s">
        <v>48</v>
      </c>
      <c r="U91" t="s">
        <v>419</v>
      </c>
      <c r="V91" t="s">
        <v>48</v>
      </c>
      <c r="W91" t="s">
        <v>420</v>
      </c>
      <c r="X91" t="s">
        <v>244</v>
      </c>
      <c r="Y91" s="3" t="s">
        <v>1014</v>
      </c>
      <c r="Z91" s="3" t="s">
        <v>463</v>
      </c>
      <c r="AA91" s="3" t="s">
        <v>60</v>
      </c>
      <c r="AB91" s="1" t="s">
        <v>1047</v>
      </c>
      <c r="AC91" s="1" t="s">
        <v>48</v>
      </c>
      <c r="AD91" t="s">
        <v>48</v>
      </c>
      <c r="AE91"/>
      <c r="AF91" t="s">
        <v>48</v>
      </c>
      <c r="AG91" t="s">
        <v>48</v>
      </c>
      <c r="AH91" t="s">
        <v>48</v>
      </c>
      <c r="AI91" t="s">
        <v>48</v>
      </c>
      <c r="AL91" t="s">
        <v>48</v>
      </c>
      <c r="AO91" t="s">
        <v>464</v>
      </c>
      <c r="AP91" t="s">
        <v>465</v>
      </c>
      <c r="AQ91" t="s">
        <v>466</v>
      </c>
      <c r="AR91">
        <v>630</v>
      </c>
      <c r="AS91">
        <v>1.39</v>
      </c>
      <c r="AV91" t="s">
        <v>48</v>
      </c>
      <c r="AW91" t="s">
        <v>403</v>
      </c>
      <c r="AX91" s="2" t="s">
        <v>48</v>
      </c>
      <c r="AY91" s="2" t="s">
        <v>48</v>
      </c>
      <c r="BC91">
        <f>SUM(cna_product_database_catalog_website[[#This Row],[Box Length (cm)]]*cna_product_database_catalog_website[[#This Row],[Box Width (cm)]]*cna_product_database_catalog_website[[#This Row],[Box Height (cm)]]/1000000)</f>
        <v>0</v>
      </c>
      <c r="BD91">
        <f>SUM(cna_product_database_catalog_website[[#This Row],[Box CBM]]*35.3147)</f>
        <v>0</v>
      </c>
      <c r="BE91" t="s">
        <v>48</v>
      </c>
      <c r="BI9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91">
        <f>SUM(cna_product_database_catalog_website[[#This Row],[Carton CFT]]/61024)</f>
        <v>0</v>
      </c>
      <c r="BM91" t="s">
        <v>48</v>
      </c>
      <c r="BN91"/>
      <c r="BO91" t="s">
        <v>510</v>
      </c>
      <c r="BP91" t="s">
        <v>48</v>
      </c>
      <c r="BQ91" t="s">
        <v>48</v>
      </c>
      <c r="BS91" t="s">
        <v>48</v>
      </c>
      <c r="BT91" t="s">
        <v>48</v>
      </c>
      <c r="BU91" t="s">
        <v>48</v>
      </c>
      <c r="BW91" t="s">
        <v>48</v>
      </c>
      <c r="BX91" t="s">
        <v>48</v>
      </c>
      <c r="BY91" t="s">
        <v>48</v>
      </c>
      <c r="BZ91" t="s">
        <v>48</v>
      </c>
      <c r="CA91" t="s">
        <v>48</v>
      </c>
      <c r="CB91" t="s">
        <v>48</v>
      </c>
      <c r="CC91" t="s">
        <v>48</v>
      </c>
      <c r="CD91" t="s">
        <v>48</v>
      </c>
      <c r="CE91" t="s">
        <v>48</v>
      </c>
      <c r="CF91" t="s">
        <v>48</v>
      </c>
      <c r="CG91" t="s">
        <v>48</v>
      </c>
      <c r="CH91" t="s">
        <v>48</v>
      </c>
      <c r="CI91" t="s">
        <v>48</v>
      </c>
      <c r="CJ91" t="s">
        <v>48</v>
      </c>
    </row>
    <row r="92" spans="1:88" x14ac:dyDescent="0.25">
      <c r="A92" s="4" t="s">
        <v>2104</v>
      </c>
      <c r="B92" s="4" t="s">
        <v>2066</v>
      </c>
      <c r="C92" s="4" t="s">
        <v>1732</v>
      </c>
      <c r="D92" s="4" t="str">
        <f>cna_product_database_catalog_website[[#This Row],[MainCategory]]&amp;"&gt;"&amp;cna_product_database_catalog_website[[#This Row],[SubCategory1]]&amp;"&gt;"&amp;cna_product_database_catalog_website[[#This Row],[SubCategory2]]</f>
        <v>Recessed&gt;Retrofit&gt;4" Retrofit - 5CCT</v>
      </c>
      <c r="E92">
        <v>360</v>
      </c>
      <c r="F92" t="s">
        <v>1894</v>
      </c>
      <c r="G92" s="3">
        <v>1106</v>
      </c>
      <c r="H92" s="8">
        <v>8.9</v>
      </c>
      <c r="I92" t="s">
        <v>1894</v>
      </c>
      <c r="J92" t="s">
        <v>482</v>
      </c>
      <c r="K92" t="s">
        <v>483</v>
      </c>
      <c r="L92" t="s">
        <v>484</v>
      </c>
      <c r="M92" s="12" t="str">
        <f>HYPERLINK(cna_product_database_catalog_website[[#This Row],[Spec Sheet Link]], cna_product_database_catalog_website[[#Headers],[Spec Sheet Link]])</f>
        <v>Spec Sheet Link</v>
      </c>
      <c r="N92" t="s">
        <v>47</v>
      </c>
      <c r="O92" s="3">
        <v>1</v>
      </c>
      <c r="P92" s="3">
        <v>1</v>
      </c>
      <c r="Q92" t="s">
        <v>351</v>
      </c>
      <c r="R92" t="s">
        <v>53</v>
      </c>
      <c r="S92" t="s">
        <v>407</v>
      </c>
      <c r="T92" t="s">
        <v>2014</v>
      </c>
      <c r="U92" t="s">
        <v>400</v>
      </c>
      <c r="V92" t="s">
        <v>48</v>
      </c>
      <c r="W92" t="s">
        <v>420</v>
      </c>
      <c r="X92" t="s">
        <v>244</v>
      </c>
      <c r="Y92" s="3" t="s">
        <v>1012</v>
      </c>
      <c r="Z92" s="3" t="s">
        <v>1006</v>
      </c>
      <c r="AA92" s="3" t="s">
        <v>486</v>
      </c>
      <c r="AB92" s="1" t="s">
        <v>1047</v>
      </c>
      <c r="AC92" s="1" t="s">
        <v>2017</v>
      </c>
      <c r="AD92" t="s">
        <v>450</v>
      </c>
      <c r="AE92"/>
      <c r="AF92" t="s">
        <v>48</v>
      </c>
      <c r="AG92" t="s">
        <v>48</v>
      </c>
      <c r="AH92" t="s">
        <v>48</v>
      </c>
      <c r="AI92" t="s">
        <v>48</v>
      </c>
      <c r="AL92" t="s">
        <v>2026</v>
      </c>
      <c r="AM92" t="s">
        <v>379</v>
      </c>
      <c r="AN92" t="s">
        <v>2026</v>
      </c>
      <c r="AO92" t="s">
        <v>163</v>
      </c>
      <c r="AP92" t="s">
        <v>485</v>
      </c>
      <c r="AQ92" t="s">
        <v>2021</v>
      </c>
      <c r="AR92">
        <v>35</v>
      </c>
      <c r="AS92">
        <v>0.08</v>
      </c>
      <c r="AV92" t="s">
        <v>48</v>
      </c>
      <c r="AW92" t="s">
        <v>403</v>
      </c>
      <c r="AX92" s="2">
        <v>40</v>
      </c>
      <c r="AY92" s="2">
        <v>40</v>
      </c>
      <c r="BC92">
        <f>SUM(cna_product_database_catalog_website[[#This Row],[Box Length (cm)]]*cna_product_database_catalog_website[[#This Row],[Box Width (cm)]]*cna_product_database_catalog_website[[#This Row],[Box Height (cm)]]/1000000)</f>
        <v>0</v>
      </c>
      <c r="BD92">
        <f>SUM(cna_product_database_catalog_website[[#This Row],[Box CBM]]*35.3147)</f>
        <v>0</v>
      </c>
      <c r="BE92" t="s">
        <v>48</v>
      </c>
      <c r="BI9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92">
        <f>SUM(cna_product_database_catalog_website[[#This Row],[Carton CFT]]/61024)</f>
        <v>0</v>
      </c>
      <c r="BM92" t="s">
        <v>48</v>
      </c>
      <c r="BN92" t="s">
        <v>486</v>
      </c>
      <c r="BO92" t="s">
        <v>510</v>
      </c>
      <c r="BP92" t="s">
        <v>48</v>
      </c>
      <c r="BQ92" t="s">
        <v>48</v>
      </c>
      <c r="BS92" t="s">
        <v>48</v>
      </c>
      <c r="BT92" t="s">
        <v>48</v>
      </c>
      <c r="BU92" t="s">
        <v>48</v>
      </c>
      <c r="BW92" t="s">
        <v>48</v>
      </c>
      <c r="BX92" t="s">
        <v>48</v>
      </c>
      <c r="BY92" t="s">
        <v>48</v>
      </c>
      <c r="BZ92" t="s">
        <v>48</v>
      </c>
      <c r="CA92" t="s">
        <v>48</v>
      </c>
      <c r="CB92" t="s">
        <v>48</v>
      </c>
      <c r="CC92" t="s">
        <v>48</v>
      </c>
      <c r="CD92" t="s">
        <v>48</v>
      </c>
      <c r="CE92" t="s">
        <v>48</v>
      </c>
      <c r="CF92" t="s">
        <v>48</v>
      </c>
      <c r="CG92" t="s">
        <v>48</v>
      </c>
      <c r="CH92" t="s">
        <v>48</v>
      </c>
      <c r="CI92" t="s">
        <v>48</v>
      </c>
      <c r="CJ92" t="s">
        <v>48</v>
      </c>
    </row>
    <row r="93" spans="1:88" x14ac:dyDescent="0.25">
      <c r="A93" s="4" t="s">
        <v>2104</v>
      </c>
      <c r="B93" s="4" t="s">
        <v>2066</v>
      </c>
      <c r="C93" s="4" t="s">
        <v>1733</v>
      </c>
      <c r="D93" s="4" t="str">
        <f>cna_product_database_catalog_website[[#This Row],[MainCategory]]&amp;"&gt;"&amp;cna_product_database_catalog_website[[#This Row],[SubCategory1]]&amp;"&gt;"&amp;cna_product_database_catalog_website[[#This Row],[SubCategory2]]</f>
        <v>Recessed&gt;Retrofit&gt;5" / 6" Retrofit - 5CCT</v>
      </c>
      <c r="E93">
        <v>361</v>
      </c>
      <c r="F93" t="s">
        <v>1245</v>
      </c>
      <c r="G93" s="3">
        <v>1017</v>
      </c>
      <c r="H93" s="8">
        <v>10.9</v>
      </c>
      <c r="I93" t="s">
        <v>1245</v>
      </c>
      <c r="J93" t="s">
        <v>1245</v>
      </c>
      <c r="K93" t="s">
        <v>1248</v>
      </c>
      <c r="L93" t="s">
        <v>487</v>
      </c>
      <c r="M93" s="12" t="str">
        <f>HYPERLINK(cna_product_database_catalog_website[[#This Row],[Spec Sheet Link]], cna_product_database_catalog_website[[#Headers],[Spec Sheet Link]])</f>
        <v>Spec Sheet Link</v>
      </c>
      <c r="N93" t="s">
        <v>47</v>
      </c>
      <c r="O93" s="3">
        <v>1</v>
      </c>
      <c r="P93" s="3">
        <v>1</v>
      </c>
      <c r="Q93" t="s">
        <v>239</v>
      </c>
      <c r="R93" t="s">
        <v>53</v>
      </c>
      <c r="S93" t="s">
        <v>2012</v>
      </c>
      <c r="T93" t="s">
        <v>2013</v>
      </c>
      <c r="U93" t="s">
        <v>400</v>
      </c>
      <c r="W93" t="s">
        <v>420</v>
      </c>
      <c r="X93" t="s">
        <v>244</v>
      </c>
      <c r="Y93" s="3" t="s">
        <v>1012</v>
      </c>
      <c r="Z93" s="3" t="s">
        <v>1006</v>
      </c>
      <c r="AA93" s="3" t="s">
        <v>486</v>
      </c>
      <c r="AB93" s="1" t="s">
        <v>1047</v>
      </c>
      <c r="AC93" s="1" t="s">
        <v>2017</v>
      </c>
      <c r="AD93" t="s">
        <v>450</v>
      </c>
      <c r="AE93"/>
      <c r="AL93" t="s">
        <v>2026</v>
      </c>
      <c r="AM93" t="s">
        <v>379</v>
      </c>
      <c r="AN93" t="s">
        <v>2026</v>
      </c>
      <c r="AO93" t="s">
        <v>2023</v>
      </c>
      <c r="AP93" t="s">
        <v>2025</v>
      </c>
      <c r="AQ93" t="s">
        <v>2024</v>
      </c>
      <c r="AW93" t="s">
        <v>403</v>
      </c>
      <c r="AX93" s="2">
        <v>40</v>
      </c>
      <c r="AY93" s="2">
        <v>40</v>
      </c>
      <c r="BC93">
        <f>SUM(cna_product_database_catalog_website[[#This Row],[Box Length (cm)]]*cna_product_database_catalog_website[[#This Row],[Box Width (cm)]]*cna_product_database_catalog_website[[#This Row],[Box Height (cm)]]/1000000)</f>
        <v>0</v>
      </c>
      <c r="BD93">
        <f>SUM(cna_product_database_catalog_website[[#This Row],[Box CBM]]*35.3147)</f>
        <v>0</v>
      </c>
      <c r="BI9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93">
        <f>SUM(cna_product_database_catalog_website[[#This Row],[Carton CFT]]/61024)</f>
        <v>0</v>
      </c>
      <c r="BN93" t="s">
        <v>486</v>
      </c>
      <c r="BO93" t="s">
        <v>510</v>
      </c>
    </row>
    <row r="94" spans="1:88" x14ac:dyDescent="0.25">
      <c r="A94" s="4" t="s">
        <v>2104</v>
      </c>
      <c r="B94" s="4" t="s">
        <v>2066</v>
      </c>
      <c r="C94" s="4" t="s">
        <v>1244</v>
      </c>
      <c r="D94" s="4" t="str">
        <f>cna_product_database_catalog_website[[#This Row],[MainCategory]]&amp;"&gt;"&amp;cna_product_database_catalog_website[[#This Row],[SubCategory1]]&amp;"&gt;"&amp;cna_product_database_catalog_website[[#This Row],[SubCategory2]]</f>
        <v>Recessed&gt;Retrofit&gt;Field Adjustable 6" Downlight</v>
      </c>
      <c r="E94">
        <v>365</v>
      </c>
      <c r="F94" t="s">
        <v>1022</v>
      </c>
      <c r="G94" s="3">
        <v>1134</v>
      </c>
      <c r="H94" s="8">
        <v>34</v>
      </c>
      <c r="I94" t="s">
        <v>1022</v>
      </c>
      <c r="J94" t="s">
        <v>489</v>
      </c>
      <c r="K94" t="s">
        <v>490</v>
      </c>
      <c r="L94" t="s">
        <v>491</v>
      </c>
      <c r="M94" s="12" t="str">
        <f>HYPERLINK(cna_product_database_catalog_website[[#This Row],[Spec Sheet Link]], cna_product_database_catalog_website[[#Headers],[Spec Sheet Link]])</f>
        <v>Spec Sheet Link</v>
      </c>
      <c r="N94" t="s">
        <v>47</v>
      </c>
      <c r="O94" s="3">
        <v>1</v>
      </c>
      <c r="P94" s="3">
        <v>1</v>
      </c>
      <c r="Q94" t="s">
        <v>492</v>
      </c>
      <c r="R94" t="s">
        <v>493</v>
      </c>
      <c r="S94" t="s">
        <v>494</v>
      </c>
      <c r="T94" t="s">
        <v>495</v>
      </c>
      <c r="U94" t="s">
        <v>400</v>
      </c>
      <c r="V94" t="s">
        <v>48</v>
      </c>
      <c r="W94" t="s">
        <v>420</v>
      </c>
      <c r="X94" t="s">
        <v>1108</v>
      </c>
      <c r="Y94" s="3" t="s">
        <v>2015</v>
      </c>
      <c r="Z94" s="3" t="s">
        <v>1007</v>
      </c>
      <c r="AA94" s="3" t="s">
        <v>2020</v>
      </c>
      <c r="AB94" s="1" t="s">
        <v>2016</v>
      </c>
      <c r="AC94" s="1" t="s">
        <v>2018</v>
      </c>
      <c r="AD94" s="4" t="s">
        <v>2019</v>
      </c>
      <c r="AE94"/>
      <c r="AF94" t="s">
        <v>48</v>
      </c>
      <c r="AG94" t="s">
        <v>48</v>
      </c>
      <c r="AH94" t="s">
        <v>48</v>
      </c>
      <c r="AI94" t="s">
        <v>48</v>
      </c>
      <c r="AL94" t="s">
        <v>1969</v>
      </c>
      <c r="AM94" t="s">
        <v>1970</v>
      </c>
      <c r="AN94" t="s">
        <v>503</v>
      </c>
      <c r="AO94" t="s">
        <v>497</v>
      </c>
      <c r="AP94" t="s">
        <v>498</v>
      </c>
      <c r="AQ94" t="s">
        <v>2022</v>
      </c>
      <c r="AR94">
        <v>267</v>
      </c>
      <c r="AS94">
        <v>0.59</v>
      </c>
      <c r="AV94" t="s">
        <v>48</v>
      </c>
      <c r="AW94" t="s">
        <v>403</v>
      </c>
      <c r="AX94" s="2">
        <v>4</v>
      </c>
      <c r="AY94" s="2">
        <v>4</v>
      </c>
      <c r="BC94">
        <f>SUM(cna_product_database_catalog_website[[#This Row],[Box Length (cm)]]*cna_product_database_catalog_website[[#This Row],[Box Width (cm)]]*cna_product_database_catalog_website[[#This Row],[Box Height (cm)]]/1000000)</f>
        <v>0</v>
      </c>
      <c r="BD94">
        <f>SUM(cna_product_database_catalog_website[[#This Row],[Box CBM]]*35.3147)</f>
        <v>0</v>
      </c>
      <c r="BE94" t="s">
        <v>48</v>
      </c>
      <c r="BI9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94">
        <f>SUM(cna_product_database_catalog_website[[#This Row],[Carton CFT]]/61024)</f>
        <v>0</v>
      </c>
      <c r="BM94" t="s">
        <v>48</v>
      </c>
      <c r="BN94" t="s">
        <v>500</v>
      </c>
      <c r="BO94" t="s">
        <v>510</v>
      </c>
      <c r="BP94" t="s">
        <v>48</v>
      </c>
      <c r="BQ94" t="s">
        <v>48</v>
      </c>
      <c r="BS94" t="s">
        <v>48</v>
      </c>
      <c r="BT94" t="s">
        <v>48</v>
      </c>
      <c r="BU94" t="s">
        <v>48</v>
      </c>
      <c r="BW94" t="s">
        <v>48</v>
      </c>
      <c r="BX94" t="s">
        <v>48</v>
      </c>
      <c r="BY94" t="s">
        <v>48</v>
      </c>
      <c r="BZ94" t="s">
        <v>48</v>
      </c>
      <c r="CA94" t="s">
        <v>48</v>
      </c>
      <c r="CB94" t="s">
        <v>48</v>
      </c>
      <c r="CC94" t="s">
        <v>48</v>
      </c>
      <c r="CD94" t="s">
        <v>48</v>
      </c>
      <c r="CE94" t="s">
        <v>48</v>
      </c>
      <c r="CF94" t="s">
        <v>48</v>
      </c>
      <c r="CG94" t="s">
        <v>48</v>
      </c>
      <c r="CH94" t="s">
        <v>48</v>
      </c>
      <c r="CI94" t="s">
        <v>48</v>
      </c>
      <c r="CJ94" t="s">
        <v>48</v>
      </c>
    </row>
    <row r="95" spans="1:88" x14ac:dyDescent="0.25">
      <c r="A95" s="4" t="s">
        <v>2104</v>
      </c>
      <c r="B95" s="4" t="s">
        <v>2067</v>
      </c>
      <c r="C95" s="4" t="s">
        <v>1242</v>
      </c>
      <c r="D95" s="4" t="str">
        <f>cna_product_database_catalog_website[[#This Row],[MainCategory]]&amp;"&gt;"&amp;cna_product_database_catalog_website[[#This Row],[SubCategory1]]&amp;"&gt;"&amp;cna_product_database_catalog_website[[#This Row],[SubCategory2]]</f>
        <v>Recessed&gt;Accessories&gt;6" to 8" Goof Ring</v>
      </c>
      <c r="E95">
        <v>370</v>
      </c>
      <c r="F95" t="s">
        <v>501</v>
      </c>
      <c r="G95" s="3">
        <v>1057</v>
      </c>
      <c r="H95" s="8">
        <v>5</v>
      </c>
      <c r="I95" t="s">
        <v>501</v>
      </c>
      <c r="J95" t="s">
        <v>501</v>
      </c>
      <c r="K95" t="s">
        <v>502</v>
      </c>
      <c r="L95" t="s">
        <v>46</v>
      </c>
      <c r="M95" s="12"/>
      <c r="N95" t="s">
        <v>47</v>
      </c>
      <c r="O95" s="3">
        <v>1</v>
      </c>
      <c r="P95" s="3">
        <v>1</v>
      </c>
      <c r="Q95" t="s">
        <v>48</v>
      </c>
      <c r="R95" t="s">
        <v>48</v>
      </c>
      <c r="S95" t="s">
        <v>48</v>
      </c>
      <c r="T95" t="s">
        <v>48</v>
      </c>
      <c r="U95" t="s">
        <v>48</v>
      </c>
      <c r="V95" t="s">
        <v>48</v>
      </c>
      <c r="W95" t="s">
        <v>48</v>
      </c>
      <c r="X95" t="s">
        <v>48</v>
      </c>
      <c r="Y95" s="3" t="s">
        <v>48</v>
      </c>
      <c r="Z95" s="3" t="s">
        <v>48</v>
      </c>
      <c r="AA95" s="3" t="s">
        <v>48</v>
      </c>
      <c r="AB95" s="1" t="s">
        <v>48</v>
      </c>
      <c r="AC95" s="1" t="s">
        <v>48</v>
      </c>
      <c r="AD95" t="s">
        <v>48</v>
      </c>
      <c r="AE95"/>
      <c r="AF95" t="s">
        <v>48</v>
      </c>
      <c r="AG95" t="s">
        <v>48</v>
      </c>
      <c r="AH95" t="s">
        <v>48</v>
      </c>
      <c r="AI95" t="s">
        <v>48</v>
      </c>
      <c r="AL95" t="s">
        <v>48</v>
      </c>
      <c r="AO95" t="s">
        <v>48</v>
      </c>
      <c r="AR95">
        <v>246</v>
      </c>
      <c r="AS95">
        <v>0.54</v>
      </c>
      <c r="AT95" t="s">
        <v>504</v>
      </c>
      <c r="AU95" t="s">
        <v>505</v>
      </c>
      <c r="AV95" t="s">
        <v>48</v>
      </c>
      <c r="AW95" t="s">
        <v>48</v>
      </c>
      <c r="AX95" s="2">
        <v>1</v>
      </c>
      <c r="AY95" s="2">
        <v>1</v>
      </c>
      <c r="BC95">
        <f>SUM(cna_product_database_catalog_website[[#This Row],[Box Length (cm)]]*cna_product_database_catalog_website[[#This Row],[Box Width (cm)]]*cna_product_database_catalog_website[[#This Row],[Box Height (cm)]]/1000000)</f>
        <v>0</v>
      </c>
      <c r="BD95">
        <f>SUM(cna_product_database_catalog_website[[#This Row],[Box CBM]]*35.3147)</f>
        <v>0</v>
      </c>
      <c r="BE95" t="s">
        <v>48</v>
      </c>
      <c r="BI9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95">
        <f>SUM(cna_product_database_catalog_website[[#This Row],[Carton CFT]]/61024)</f>
        <v>0</v>
      </c>
      <c r="BM95" t="s">
        <v>48</v>
      </c>
      <c r="BN95" t="s">
        <v>48</v>
      </c>
      <c r="BO95" t="s">
        <v>510</v>
      </c>
      <c r="BP95" t="s">
        <v>48</v>
      </c>
      <c r="BQ95" t="s">
        <v>48</v>
      </c>
      <c r="BS95" t="s">
        <v>48</v>
      </c>
      <c r="BT95" t="s">
        <v>48</v>
      </c>
      <c r="BU95" t="s">
        <v>48</v>
      </c>
      <c r="BW95" t="s">
        <v>48</v>
      </c>
      <c r="BX95" t="s">
        <v>48</v>
      </c>
      <c r="BY95" t="s">
        <v>48</v>
      </c>
      <c r="BZ95" t="s">
        <v>48</v>
      </c>
      <c r="CA95" t="s">
        <v>48</v>
      </c>
      <c r="CB95" t="s">
        <v>48</v>
      </c>
      <c r="CC95" t="s">
        <v>48</v>
      </c>
      <c r="CD95" t="s">
        <v>48</v>
      </c>
      <c r="CE95" t="s">
        <v>48</v>
      </c>
      <c r="CF95" t="s">
        <v>48</v>
      </c>
      <c r="CG95" t="s">
        <v>48</v>
      </c>
      <c r="CH95" t="s">
        <v>48</v>
      </c>
      <c r="CI95" t="s">
        <v>48</v>
      </c>
      <c r="CJ95" t="s">
        <v>48</v>
      </c>
    </row>
    <row r="96" spans="1:88" x14ac:dyDescent="0.25">
      <c r="A96" s="4" t="s">
        <v>2104</v>
      </c>
      <c r="B96" s="4" t="s">
        <v>2067</v>
      </c>
      <c r="C96" s="4" t="s">
        <v>1239</v>
      </c>
      <c r="D96" s="4" t="str">
        <f>cna_product_database_catalog_website[[#This Row],[MainCategory]]&amp;"&gt;"&amp;cna_product_database_catalog_website[[#This Row],[SubCategory1]]&amp;"&gt;"&amp;cna_product_database_catalog_website[[#This Row],[SubCategory2]]</f>
        <v>Recessed&gt;Accessories&gt;3.5" Rough-In Plate</v>
      </c>
      <c r="E96">
        <v>375</v>
      </c>
      <c r="F96" t="s">
        <v>1893</v>
      </c>
      <c r="G96" s="3">
        <v>1079</v>
      </c>
      <c r="H96" s="8">
        <v>2.5</v>
      </c>
      <c r="I96" t="s">
        <v>1893</v>
      </c>
      <c r="J96" t="s">
        <v>1863</v>
      </c>
      <c r="K96" t="s">
        <v>467</v>
      </c>
      <c r="L96" t="s">
        <v>468</v>
      </c>
      <c r="M96" s="12" t="str">
        <f>HYPERLINK(cna_product_database_catalog_website[[#This Row],[Spec Sheet Link]], cna_product_database_catalog_website[[#Headers],[Spec Sheet Link]])</f>
        <v>Spec Sheet Link</v>
      </c>
      <c r="N96" t="s">
        <v>47</v>
      </c>
      <c r="O96" s="3">
        <v>1</v>
      </c>
      <c r="P96" s="3">
        <v>1</v>
      </c>
      <c r="Q96" t="s">
        <v>48</v>
      </c>
      <c r="R96" t="s">
        <v>48</v>
      </c>
      <c r="S96" t="s">
        <v>48</v>
      </c>
      <c r="T96" t="s">
        <v>48</v>
      </c>
      <c r="U96" t="s">
        <v>48</v>
      </c>
      <c r="V96" t="s">
        <v>48</v>
      </c>
      <c r="W96" t="s">
        <v>48</v>
      </c>
      <c r="X96" t="s">
        <v>48</v>
      </c>
      <c r="Y96" s="3" t="s">
        <v>48</v>
      </c>
      <c r="Z96" s="3" t="s">
        <v>48</v>
      </c>
      <c r="AA96" s="3" t="s">
        <v>48</v>
      </c>
      <c r="AB96" s="1" t="s">
        <v>48</v>
      </c>
      <c r="AC96" s="1" t="s">
        <v>48</v>
      </c>
      <c r="AD96" t="s">
        <v>48</v>
      </c>
      <c r="AE96"/>
      <c r="AF96" t="s">
        <v>48</v>
      </c>
      <c r="AG96" t="s">
        <v>48</v>
      </c>
      <c r="AH96" t="s">
        <v>48</v>
      </c>
      <c r="AI96" t="s">
        <v>48</v>
      </c>
      <c r="AL96" t="s">
        <v>48</v>
      </c>
      <c r="AO96" t="s">
        <v>48</v>
      </c>
      <c r="AP96" t="s">
        <v>48</v>
      </c>
      <c r="AQ96" t="s">
        <v>48</v>
      </c>
      <c r="AR96">
        <v>300</v>
      </c>
      <c r="AS96">
        <v>0.66</v>
      </c>
      <c r="AV96" t="s">
        <v>48</v>
      </c>
      <c r="AW96" t="s">
        <v>48</v>
      </c>
      <c r="AX96" s="2">
        <v>1</v>
      </c>
      <c r="AY96" s="2">
        <v>1</v>
      </c>
      <c r="BC96">
        <f>SUM(cna_product_database_catalog_website[[#This Row],[Box Length (cm)]]*cna_product_database_catalog_website[[#This Row],[Box Width (cm)]]*cna_product_database_catalog_website[[#This Row],[Box Height (cm)]]/1000000)</f>
        <v>0</v>
      </c>
      <c r="BD96">
        <f>SUM(cna_product_database_catalog_website[[#This Row],[Box CBM]]*35.3147)</f>
        <v>0</v>
      </c>
      <c r="BE96" t="s">
        <v>48</v>
      </c>
      <c r="BI9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96">
        <f>SUM(cna_product_database_catalog_website[[#This Row],[Carton CFT]]/61024)</f>
        <v>0</v>
      </c>
      <c r="BM96" t="s">
        <v>48</v>
      </c>
      <c r="BN96" t="s">
        <v>48</v>
      </c>
      <c r="BO96" t="s">
        <v>48</v>
      </c>
      <c r="BP96" t="s">
        <v>48</v>
      </c>
      <c r="BQ96" t="s">
        <v>48</v>
      </c>
      <c r="BS96" t="s">
        <v>48</v>
      </c>
      <c r="BT96" t="s">
        <v>48</v>
      </c>
      <c r="BU96" t="s">
        <v>48</v>
      </c>
      <c r="BW96" t="s">
        <v>48</v>
      </c>
      <c r="BX96" t="s">
        <v>48</v>
      </c>
      <c r="BY96" t="s">
        <v>48</v>
      </c>
      <c r="BZ96" t="s">
        <v>48</v>
      </c>
      <c r="CA96" t="s">
        <v>48</v>
      </c>
      <c r="CB96" t="s">
        <v>48</v>
      </c>
      <c r="CC96" t="s">
        <v>48</v>
      </c>
      <c r="CD96" t="s">
        <v>48</v>
      </c>
      <c r="CE96" t="s">
        <v>48</v>
      </c>
      <c r="CF96" t="s">
        <v>48</v>
      </c>
      <c r="CG96" t="s">
        <v>48</v>
      </c>
      <c r="CH96" t="s">
        <v>48</v>
      </c>
      <c r="CI96" t="s">
        <v>48</v>
      </c>
      <c r="CJ96" t="s">
        <v>48</v>
      </c>
    </row>
    <row r="97" spans="1:88" x14ac:dyDescent="0.25">
      <c r="A97" s="4" t="s">
        <v>2104</v>
      </c>
      <c r="B97" s="4" t="s">
        <v>2067</v>
      </c>
      <c r="C97" s="4" t="s">
        <v>1240</v>
      </c>
      <c r="D97" s="4" t="str">
        <f>cna_product_database_catalog_website[[#This Row],[MainCategory]]&amp;"&gt;"&amp;cna_product_database_catalog_website[[#This Row],[SubCategory1]]&amp;"&gt;"&amp;cna_product_database_catalog_website[[#This Row],[SubCategory2]]</f>
        <v>Recessed&gt;Accessories&gt;4" Rough-In Plate</v>
      </c>
      <c r="E97">
        <v>376</v>
      </c>
      <c r="F97" t="s">
        <v>469</v>
      </c>
      <c r="G97" s="3">
        <v>885</v>
      </c>
      <c r="H97" s="8">
        <v>2.5</v>
      </c>
      <c r="I97" t="s">
        <v>469</v>
      </c>
      <c r="J97" t="s">
        <v>469</v>
      </c>
      <c r="K97" t="s">
        <v>467</v>
      </c>
      <c r="L97" t="s">
        <v>468</v>
      </c>
      <c r="M97" s="12" t="str">
        <f>HYPERLINK(cna_product_database_catalog_website[[#This Row],[Spec Sheet Link]], cna_product_database_catalog_website[[#Headers],[Spec Sheet Link]])</f>
        <v>Spec Sheet Link</v>
      </c>
      <c r="N97" t="s">
        <v>47</v>
      </c>
      <c r="O97" s="3">
        <v>1</v>
      </c>
      <c r="P97" s="3">
        <v>1</v>
      </c>
      <c r="Q97" t="s">
        <v>48</v>
      </c>
      <c r="R97" t="s">
        <v>48</v>
      </c>
      <c r="S97" t="s">
        <v>48</v>
      </c>
      <c r="T97" t="s">
        <v>48</v>
      </c>
      <c r="U97" t="s">
        <v>48</v>
      </c>
      <c r="V97" t="s">
        <v>48</v>
      </c>
      <c r="W97" t="s">
        <v>48</v>
      </c>
      <c r="X97" t="s">
        <v>48</v>
      </c>
      <c r="Y97" s="3" t="s">
        <v>48</v>
      </c>
      <c r="Z97" s="3" t="s">
        <v>48</v>
      </c>
      <c r="AA97" s="3" t="s">
        <v>48</v>
      </c>
      <c r="AB97" s="1" t="s">
        <v>48</v>
      </c>
      <c r="AC97" s="1" t="s">
        <v>48</v>
      </c>
      <c r="AD97" t="s">
        <v>48</v>
      </c>
      <c r="AE97"/>
      <c r="AF97" t="s">
        <v>48</v>
      </c>
      <c r="AG97" t="s">
        <v>48</v>
      </c>
      <c r="AH97" t="s">
        <v>48</v>
      </c>
      <c r="AI97" t="s">
        <v>48</v>
      </c>
      <c r="AL97" t="s">
        <v>48</v>
      </c>
      <c r="AO97" t="s">
        <v>48</v>
      </c>
      <c r="AP97" t="s">
        <v>48</v>
      </c>
      <c r="AQ97" t="s">
        <v>48</v>
      </c>
      <c r="AR97">
        <v>400</v>
      </c>
      <c r="AS97">
        <v>0.88</v>
      </c>
      <c r="AV97" t="s">
        <v>48</v>
      </c>
      <c r="AW97" t="s">
        <v>48</v>
      </c>
      <c r="AX97" s="2" t="s">
        <v>49</v>
      </c>
      <c r="AY97" s="2" t="s">
        <v>49</v>
      </c>
      <c r="BC97">
        <f>SUM(cna_product_database_catalog_website[[#This Row],[Box Length (cm)]]*cna_product_database_catalog_website[[#This Row],[Box Width (cm)]]*cna_product_database_catalog_website[[#This Row],[Box Height (cm)]]/1000000)</f>
        <v>0</v>
      </c>
      <c r="BD97">
        <f>SUM(cna_product_database_catalog_website[[#This Row],[Box CBM]]*35.3147)</f>
        <v>0</v>
      </c>
      <c r="BE97" t="s">
        <v>48</v>
      </c>
      <c r="BI9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97">
        <f>SUM(cna_product_database_catalog_website[[#This Row],[Carton CFT]]/61024)</f>
        <v>0</v>
      </c>
      <c r="BM97" t="s">
        <v>48</v>
      </c>
      <c r="BN97" t="s">
        <v>48</v>
      </c>
      <c r="BO97" t="s">
        <v>48</v>
      </c>
      <c r="BP97" t="s">
        <v>48</v>
      </c>
      <c r="BQ97" t="s">
        <v>48</v>
      </c>
      <c r="BS97" t="s">
        <v>48</v>
      </c>
      <c r="BT97" t="s">
        <v>48</v>
      </c>
      <c r="BU97" t="s">
        <v>48</v>
      </c>
      <c r="BW97" t="s">
        <v>48</v>
      </c>
      <c r="BX97" t="s">
        <v>48</v>
      </c>
      <c r="BY97" t="s">
        <v>48</v>
      </c>
      <c r="BZ97" t="s">
        <v>48</v>
      </c>
      <c r="CA97" t="s">
        <v>48</v>
      </c>
      <c r="CB97" t="s">
        <v>48</v>
      </c>
      <c r="CC97" t="s">
        <v>48</v>
      </c>
      <c r="CD97" t="s">
        <v>48</v>
      </c>
      <c r="CE97" t="s">
        <v>48</v>
      </c>
      <c r="CF97" t="s">
        <v>48</v>
      </c>
      <c r="CG97" t="s">
        <v>48</v>
      </c>
      <c r="CH97" t="s">
        <v>48</v>
      </c>
      <c r="CI97" t="s">
        <v>48</v>
      </c>
      <c r="CJ97" t="s">
        <v>48</v>
      </c>
    </row>
    <row r="98" spans="1:88" x14ac:dyDescent="0.25">
      <c r="A98" s="4" t="s">
        <v>2104</v>
      </c>
      <c r="B98" s="4" t="s">
        <v>2067</v>
      </c>
      <c r="C98" s="4" t="s">
        <v>1241</v>
      </c>
      <c r="D98" s="4" t="str">
        <f>cna_product_database_catalog_website[[#This Row],[MainCategory]]&amp;"&gt;"&amp;cna_product_database_catalog_website[[#This Row],[SubCategory1]]&amp;"&gt;"&amp;cna_product_database_catalog_website[[#This Row],[SubCategory2]]</f>
        <v>Recessed&gt;Accessories&gt;6" Rough-In Plate</v>
      </c>
      <c r="E98">
        <v>377</v>
      </c>
      <c r="F98" t="s">
        <v>470</v>
      </c>
      <c r="G98" s="3">
        <v>888</v>
      </c>
      <c r="H98" s="8">
        <v>3.5</v>
      </c>
      <c r="I98" t="s">
        <v>470</v>
      </c>
      <c r="J98" t="s">
        <v>470</v>
      </c>
      <c r="K98" t="s">
        <v>471</v>
      </c>
      <c r="L98" t="s">
        <v>468</v>
      </c>
      <c r="M98" s="12" t="str">
        <f>HYPERLINK(cna_product_database_catalog_website[[#This Row],[Spec Sheet Link]], cna_product_database_catalog_website[[#Headers],[Spec Sheet Link]])</f>
        <v>Spec Sheet Link</v>
      </c>
      <c r="N98" t="s">
        <v>47</v>
      </c>
      <c r="O98" s="3">
        <v>1</v>
      </c>
      <c r="P98" s="3">
        <v>1</v>
      </c>
      <c r="Q98" t="s">
        <v>48</v>
      </c>
      <c r="R98" t="s">
        <v>48</v>
      </c>
      <c r="S98" t="s">
        <v>48</v>
      </c>
      <c r="T98" t="s">
        <v>48</v>
      </c>
      <c r="U98" t="s">
        <v>48</v>
      </c>
      <c r="V98" t="s">
        <v>48</v>
      </c>
      <c r="W98" t="s">
        <v>48</v>
      </c>
      <c r="X98" t="s">
        <v>48</v>
      </c>
      <c r="Y98" s="3" t="s">
        <v>48</v>
      </c>
      <c r="Z98" s="3" t="s">
        <v>48</v>
      </c>
      <c r="AA98" s="3" t="s">
        <v>48</v>
      </c>
      <c r="AB98" s="1" t="s">
        <v>48</v>
      </c>
      <c r="AC98" s="1" t="s">
        <v>48</v>
      </c>
      <c r="AD98" t="s">
        <v>48</v>
      </c>
      <c r="AE98"/>
      <c r="AF98" t="s">
        <v>48</v>
      </c>
      <c r="AG98" t="s">
        <v>48</v>
      </c>
      <c r="AH98" t="s">
        <v>48</v>
      </c>
      <c r="AI98" t="s">
        <v>48</v>
      </c>
      <c r="AL98" t="s">
        <v>48</v>
      </c>
      <c r="AO98" t="s">
        <v>48</v>
      </c>
      <c r="AP98" t="s">
        <v>48</v>
      </c>
      <c r="AQ98" t="s">
        <v>48</v>
      </c>
      <c r="AR98">
        <v>150</v>
      </c>
      <c r="AS98">
        <v>0.33</v>
      </c>
      <c r="AV98" t="s">
        <v>48</v>
      </c>
      <c r="AW98" t="s">
        <v>48</v>
      </c>
      <c r="AX98" s="2" t="s">
        <v>49</v>
      </c>
      <c r="AY98" s="2" t="s">
        <v>49</v>
      </c>
      <c r="BC98">
        <f>SUM(cna_product_database_catalog_website[[#This Row],[Box Length (cm)]]*cna_product_database_catalog_website[[#This Row],[Box Width (cm)]]*cna_product_database_catalog_website[[#This Row],[Box Height (cm)]]/1000000)</f>
        <v>0</v>
      </c>
      <c r="BD98">
        <f>SUM(cna_product_database_catalog_website[[#This Row],[Box CBM]]*35.3147)</f>
        <v>0</v>
      </c>
      <c r="BE98" t="s">
        <v>48</v>
      </c>
      <c r="BI9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98">
        <f>SUM(cna_product_database_catalog_website[[#This Row],[Carton CFT]]/61024)</f>
        <v>0</v>
      </c>
      <c r="BM98" t="s">
        <v>48</v>
      </c>
      <c r="BN98" t="s">
        <v>48</v>
      </c>
      <c r="BO98" t="s">
        <v>48</v>
      </c>
      <c r="BP98" t="s">
        <v>48</v>
      </c>
      <c r="BQ98" t="s">
        <v>48</v>
      </c>
      <c r="BS98" t="s">
        <v>48</v>
      </c>
      <c r="BT98" t="s">
        <v>48</v>
      </c>
      <c r="BU98" t="s">
        <v>48</v>
      </c>
      <c r="BW98" t="s">
        <v>48</v>
      </c>
      <c r="BX98" t="s">
        <v>48</v>
      </c>
      <c r="BY98" t="s">
        <v>48</v>
      </c>
      <c r="BZ98" t="s">
        <v>48</v>
      </c>
      <c r="CA98" t="s">
        <v>48</v>
      </c>
      <c r="CB98" t="s">
        <v>48</v>
      </c>
      <c r="CC98" t="s">
        <v>48</v>
      </c>
      <c r="CD98" t="s">
        <v>48</v>
      </c>
      <c r="CE98" t="s">
        <v>48</v>
      </c>
      <c r="CF98" t="s">
        <v>48</v>
      </c>
      <c r="CG98" t="s">
        <v>48</v>
      </c>
      <c r="CH98" t="s">
        <v>48</v>
      </c>
      <c r="CI98" t="s">
        <v>48</v>
      </c>
      <c r="CJ98" t="s">
        <v>48</v>
      </c>
    </row>
    <row r="99" spans="1:88" x14ac:dyDescent="0.25">
      <c r="A99" s="4" t="s">
        <v>2104</v>
      </c>
      <c r="B99" s="4" t="s">
        <v>2067</v>
      </c>
      <c r="C99" s="4" t="s">
        <v>1246</v>
      </c>
      <c r="D99" s="4" t="str">
        <f>cna_product_database_catalog_website[[#This Row],[MainCategory]]&amp;"&gt;"&amp;cna_product_database_catalog_website[[#This Row],[SubCategory1]]&amp;"&gt;"&amp;cna_product_database_catalog_website[[#This Row],[SubCategory2]]</f>
        <v>Recessed&gt;Accessories&gt;Large Vapour Barrier</v>
      </c>
      <c r="E99">
        <v>380</v>
      </c>
      <c r="F99" t="s">
        <v>472</v>
      </c>
      <c r="G99" s="3">
        <v>1024</v>
      </c>
      <c r="H99" s="8">
        <v>5.5</v>
      </c>
      <c r="I99" t="s">
        <v>472</v>
      </c>
      <c r="J99" t="s">
        <v>472</v>
      </c>
      <c r="K99" t="s">
        <v>473</v>
      </c>
      <c r="L99" t="s">
        <v>468</v>
      </c>
      <c r="M99" s="12" t="str">
        <f>HYPERLINK(cna_product_database_catalog_website[[#This Row],[Spec Sheet Link]], cna_product_database_catalog_website[[#Headers],[Spec Sheet Link]])</f>
        <v>Spec Sheet Link</v>
      </c>
      <c r="N99" t="s">
        <v>47</v>
      </c>
      <c r="O99" s="3">
        <v>1</v>
      </c>
      <c r="P99" s="3">
        <v>1</v>
      </c>
      <c r="Q99" t="s">
        <v>48</v>
      </c>
      <c r="R99" t="s">
        <v>48</v>
      </c>
      <c r="S99" t="s">
        <v>48</v>
      </c>
      <c r="T99" t="s">
        <v>48</v>
      </c>
      <c r="U99" t="s">
        <v>48</v>
      </c>
      <c r="V99" t="s">
        <v>48</v>
      </c>
      <c r="W99" t="s">
        <v>48</v>
      </c>
      <c r="X99" t="s">
        <v>48</v>
      </c>
      <c r="Y99" s="3" t="s">
        <v>48</v>
      </c>
      <c r="Z99" s="3" t="s">
        <v>48</v>
      </c>
      <c r="AA99" s="3" t="s">
        <v>48</v>
      </c>
      <c r="AB99" s="1" t="s">
        <v>48</v>
      </c>
      <c r="AC99" s="1" t="s">
        <v>48</v>
      </c>
      <c r="AD99" t="s">
        <v>48</v>
      </c>
      <c r="AE99"/>
      <c r="AF99" t="s">
        <v>48</v>
      </c>
      <c r="AG99" t="s">
        <v>48</v>
      </c>
      <c r="AH99" t="s">
        <v>48</v>
      </c>
      <c r="AI99" t="s">
        <v>48</v>
      </c>
      <c r="AL99" t="s">
        <v>48</v>
      </c>
      <c r="AO99" t="s">
        <v>48</v>
      </c>
      <c r="AP99" t="s">
        <v>48</v>
      </c>
      <c r="AQ99" t="s">
        <v>48</v>
      </c>
      <c r="AR99">
        <v>100</v>
      </c>
      <c r="AS99">
        <v>0.22</v>
      </c>
      <c r="AV99" t="s">
        <v>48</v>
      </c>
      <c r="AW99" t="s">
        <v>48</v>
      </c>
      <c r="AX99" s="2">
        <v>100</v>
      </c>
      <c r="AY99" s="2">
        <v>100</v>
      </c>
      <c r="BC99">
        <f>SUM(cna_product_database_catalog_website[[#This Row],[Box Length (cm)]]*cna_product_database_catalog_website[[#This Row],[Box Width (cm)]]*cna_product_database_catalog_website[[#This Row],[Box Height (cm)]]/1000000)</f>
        <v>0</v>
      </c>
      <c r="BD99">
        <f>SUM(cna_product_database_catalog_website[[#This Row],[Box CBM]]*35.3147)</f>
        <v>0</v>
      </c>
      <c r="BE99" t="s">
        <v>48</v>
      </c>
      <c r="BI9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99">
        <f>SUM(cna_product_database_catalog_website[[#This Row],[Carton CFT]]/61024)</f>
        <v>0</v>
      </c>
      <c r="BM99" t="s">
        <v>48</v>
      </c>
      <c r="BN99" t="s">
        <v>48</v>
      </c>
      <c r="BO99" t="s">
        <v>48</v>
      </c>
      <c r="BP99" t="s">
        <v>48</v>
      </c>
      <c r="BQ99" t="s">
        <v>474</v>
      </c>
      <c r="BS99" t="s">
        <v>48</v>
      </c>
      <c r="BT99" t="s">
        <v>48</v>
      </c>
      <c r="BU99" t="s">
        <v>48</v>
      </c>
      <c r="BW99" t="s">
        <v>475</v>
      </c>
      <c r="BX99" t="s">
        <v>476</v>
      </c>
      <c r="BY99" t="s">
        <v>60</v>
      </c>
      <c r="CA99" t="s">
        <v>48</v>
      </c>
      <c r="CB99" t="s">
        <v>48</v>
      </c>
      <c r="CC99" t="s">
        <v>48</v>
      </c>
      <c r="CD99" t="s">
        <v>48</v>
      </c>
      <c r="CE99" t="s">
        <v>48</v>
      </c>
      <c r="CF99" t="s">
        <v>48</v>
      </c>
      <c r="CG99" t="s">
        <v>48</v>
      </c>
      <c r="CH99" t="s">
        <v>48</v>
      </c>
      <c r="CI99" t="s">
        <v>48</v>
      </c>
      <c r="CJ99" t="s">
        <v>48</v>
      </c>
    </row>
    <row r="100" spans="1:88" x14ac:dyDescent="0.25">
      <c r="A100" s="4" t="s">
        <v>2104</v>
      </c>
      <c r="B100" s="4" t="s">
        <v>2067</v>
      </c>
      <c r="C100" s="4" t="s">
        <v>1247</v>
      </c>
      <c r="D100" s="4" t="str">
        <f>cna_product_database_catalog_website[[#This Row],[MainCategory]]&amp;"&gt;"&amp;cna_product_database_catalog_website[[#This Row],[SubCategory1]]&amp;"&gt;"&amp;cna_product_database_catalog_website[[#This Row],[SubCategory2]]</f>
        <v>Recessed&gt;Accessories&gt;Small Vapour Barrier</v>
      </c>
      <c r="E100">
        <v>381</v>
      </c>
      <c r="F100" t="s">
        <v>477</v>
      </c>
      <c r="G100" s="3">
        <v>1025</v>
      </c>
      <c r="H100" s="8">
        <v>4</v>
      </c>
      <c r="I100" t="s">
        <v>477</v>
      </c>
      <c r="J100" t="s">
        <v>477</v>
      </c>
      <c r="K100" t="s">
        <v>478</v>
      </c>
      <c r="L100" t="s">
        <v>468</v>
      </c>
      <c r="M100" s="12" t="str">
        <f>HYPERLINK(cna_product_database_catalog_website[[#This Row],[Spec Sheet Link]], cna_product_database_catalog_website[[#Headers],[Spec Sheet Link]])</f>
        <v>Spec Sheet Link</v>
      </c>
      <c r="N100" t="s">
        <v>47</v>
      </c>
      <c r="O100" s="3">
        <v>1</v>
      </c>
      <c r="P100" s="3">
        <v>1</v>
      </c>
      <c r="Q100" t="s">
        <v>48</v>
      </c>
      <c r="R100" t="s">
        <v>48</v>
      </c>
      <c r="S100" t="s">
        <v>48</v>
      </c>
      <c r="T100" t="s">
        <v>48</v>
      </c>
      <c r="U100" t="s">
        <v>48</v>
      </c>
      <c r="V100" t="s">
        <v>48</v>
      </c>
      <c r="W100" t="s">
        <v>48</v>
      </c>
      <c r="X100" t="s">
        <v>48</v>
      </c>
      <c r="Y100" s="3" t="s">
        <v>48</v>
      </c>
      <c r="Z100" s="3" t="s">
        <v>48</v>
      </c>
      <c r="AA100" s="3" t="s">
        <v>48</v>
      </c>
      <c r="AB100" s="1" t="s">
        <v>48</v>
      </c>
      <c r="AC100" s="1" t="s">
        <v>48</v>
      </c>
      <c r="AD100" t="s">
        <v>48</v>
      </c>
      <c r="AE100"/>
      <c r="AF100" t="s">
        <v>48</v>
      </c>
      <c r="AG100" t="s">
        <v>48</v>
      </c>
      <c r="AH100" t="s">
        <v>48</v>
      </c>
      <c r="AI100" t="s">
        <v>48</v>
      </c>
      <c r="AL100" t="s">
        <v>48</v>
      </c>
      <c r="AO100" t="s">
        <v>48</v>
      </c>
      <c r="AP100" t="s">
        <v>48</v>
      </c>
      <c r="AQ100" t="s">
        <v>48</v>
      </c>
      <c r="AR100">
        <v>158</v>
      </c>
      <c r="AS100">
        <v>0.35</v>
      </c>
      <c r="AV100" t="s">
        <v>48</v>
      </c>
      <c r="AW100" t="s">
        <v>48</v>
      </c>
      <c r="AX100" s="2">
        <v>100</v>
      </c>
      <c r="AY100" s="2">
        <v>100</v>
      </c>
      <c r="BC100">
        <f>SUM(cna_product_database_catalog_website[[#This Row],[Box Length (cm)]]*cna_product_database_catalog_website[[#This Row],[Box Width (cm)]]*cna_product_database_catalog_website[[#This Row],[Box Height (cm)]]/1000000)</f>
        <v>0</v>
      </c>
      <c r="BD100">
        <f>SUM(cna_product_database_catalog_website[[#This Row],[Box CBM]]*35.3147)</f>
        <v>0</v>
      </c>
      <c r="BE100" t="s">
        <v>48</v>
      </c>
      <c r="BI10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00">
        <f>SUM(cna_product_database_catalog_website[[#This Row],[Carton CFT]]/61024)</f>
        <v>0</v>
      </c>
      <c r="BM100" t="s">
        <v>48</v>
      </c>
      <c r="BN100" t="s">
        <v>48</v>
      </c>
      <c r="BO100" t="s">
        <v>48</v>
      </c>
      <c r="BP100" t="s">
        <v>48</v>
      </c>
      <c r="BQ100" t="s">
        <v>479</v>
      </c>
      <c r="BS100" t="s">
        <v>48</v>
      </c>
      <c r="BT100" t="s">
        <v>48</v>
      </c>
      <c r="BU100" t="s">
        <v>48</v>
      </c>
      <c r="BW100" t="s">
        <v>480</v>
      </c>
      <c r="BX100" t="s">
        <v>481</v>
      </c>
      <c r="BY100" t="s">
        <v>96</v>
      </c>
      <c r="BZ100" t="s">
        <v>48</v>
      </c>
      <c r="CA100" t="s">
        <v>48</v>
      </c>
      <c r="CB100" t="s">
        <v>48</v>
      </c>
      <c r="CC100" t="s">
        <v>48</v>
      </c>
      <c r="CD100" t="s">
        <v>48</v>
      </c>
      <c r="CE100" t="s">
        <v>48</v>
      </c>
      <c r="CF100" t="s">
        <v>48</v>
      </c>
      <c r="CG100" t="s">
        <v>48</v>
      </c>
      <c r="CH100" t="s">
        <v>48</v>
      </c>
      <c r="CI100" t="s">
        <v>48</v>
      </c>
      <c r="CJ100" t="s">
        <v>48</v>
      </c>
    </row>
    <row r="101" spans="1:88" x14ac:dyDescent="0.25">
      <c r="A101" s="4" t="s">
        <v>2104</v>
      </c>
      <c r="B101" s="4" t="s">
        <v>2067</v>
      </c>
      <c r="C101" s="4" t="s">
        <v>1235</v>
      </c>
      <c r="D101" s="4" t="str">
        <f>cna_product_database_catalog_website[[#This Row],[MainCategory]]&amp;"&gt;"&amp;cna_product_database_catalog_website[[#This Row],[SubCategory1]]&amp;"&gt;"&amp;cna_product_database_catalog_website[[#This Row],[SubCategory2]]</f>
        <v>Recessed&gt;Accessories&gt;DP4 Black Trim</v>
      </c>
      <c r="E101">
        <v>385</v>
      </c>
      <c r="F101" t="s">
        <v>1181</v>
      </c>
      <c r="G101" s="3">
        <v>1042</v>
      </c>
      <c r="H101" s="8">
        <v>3</v>
      </c>
      <c r="I101" t="s">
        <v>1181</v>
      </c>
      <c r="J101" t="s">
        <v>1181</v>
      </c>
      <c r="K101" t="s">
        <v>421</v>
      </c>
      <c r="L101" t="s">
        <v>422</v>
      </c>
      <c r="M101" s="12" t="str">
        <f>HYPERLINK(cna_product_database_catalog_website[[#This Row],[Spec Sheet Link]], cna_product_database_catalog_website[[#Headers],[Spec Sheet Link]])</f>
        <v>Spec Sheet Link</v>
      </c>
      <c r="N101" t="s">
        <v>47</v>
      </c>
      <c r="O101" s="3">
        <v>1</v>
      </c>
      <c r="P101" s="3">
        <v>1</v>
      </c>
      <c r="Q101" t="s">
        <v>48</v>
      </c>
      <c r="R101" t="s">
        <v>48</v>
      </c>
      <c r="S101" t="s">
        <v>48</v>
      </c>
      <c r="T101" t="s">
        <v>48</v>
      </c>
      <c r="U101" t="s">
        <v>48</v>
      </c>
      <c r="V101" t="s">
        <v>48</v>
      </c>
      <c r="W101" t="s">
        <v>48</v>
      </c>
      <c r="X101" t="s">
        <v>48</v>
      </c>
      <c r="Y101" s="3" t="s">
        <v>48</v>
      </c>
      <c r="AA101" s="3" t="s">
        <v>48</v>
      </c>
      <c r="AB101" s="1" t="s">
        <v>48</v>
      </c>
      <c r="AC101" s="1" t="s">
        <v>48</v>
      </c>
      <c r="AD101" t="s">
        <v>48</v>
      </c>
      <c r="AE101"/>
      <c r="AF101" t="s">
        <v>48</v>
      </c>
      <c r="AG101" t="s">
        <v>48</v>
      </c>
      <c r="AH101" t="s">
        <v>48</v>
      </c>
      <c r="AI101" t="s">
        <v>48</v>
      </c>
      <c r="AL101" t="s">
        <v>48</v>
      </c>
      <c r="AO101" t="s">
        <v>48</v>
      </c>
      <c r="AP101" t="s">
        <v>48</v>
      </c>
      <c r="AQ101" t="s">
        <v>48</v>
      </c>
      <c r="AV101" t="s">
        <v>48</v>
      </c>
      <c r="AW101" t="s">
        <v>48</v>
      </c>
      <c r="AX101" s="2" t="s">
        <v>48</v>
      </c>
      <c r="AY101" s="2" t="s">
        <v>48</v>
      </c>
      <c r="BC101">
        <f>SUM(cna_product_database_catalog_website[[#This Row],[Box Length (cm)]]*cna_product_database_catalog_website[[#This Row],[Box Width (cm)]]*cna_product_database_catalog_website[[#This Row],[Box Height (cm)]]/1000000)</f>
        <v>0</v>
      </c>
      <c r="BD101">
        <f>SUM(cna_product_database_catalog_website[[#This Row],[Box CBM]]*35.3147)</f>
        <v>0</v>
      </c>
      <c r="BE101" t="s">
        <v>48</v>
      </c>
      <c r="BI10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01">
        <f>SUM(cna_product_database_catalog_website[[#This Row],[Carton CFT]]/61024)</f>
        <v>0</v>
      </c>
      <c r="BM101" t="s">
        <v>48</v>
      </c>
      <c r="BN101"/>
      <c r="BO101" t="s">
        <v>1191</v>
      </c>
      <c r="BP101" t="s">
        <v>48</v>
      </c>
      <c r="BQ101" t="s">
        <v>48</v>
      </c>
      <c r="BS101" t="s">
        <v>48</v>
      </c>
      <c r="BT101" t="s">
        <v>48</v>
      </c>
      <c r="BU101" t="s">
        <v>48</v>
      </c>
      <c r="BW101" t="s">
        <v>48</v>
      </c>
      <c r="BX101" t="s">
        <v>48</v>
      </c>
      <c r="BY101" t="s">
        <v>48</v>
      </c>
      <c r="BZ101" t="s">
        <v>48</v>
      </c>
      <c r="CA101" t="s">
        <v>48</v>
      </c>
      <c r="CB101" t="s">
        <v>48</v>
      </c>
      <c r="CC101" t="s">
        <v>48</v>
      </c>
      <c r="CD101" t="s">
        <v>48</v>
      </c>
      <c r="CE101" t="s">
        <v>48</v>
      </c>
      <c r="CF101" t="s">
        <v>48</v>
      </c>
      <c r="CG101" t="s">
        <v>48</v>
      </c>
      <c r="CH101" t="s">
        <v>48</v>
      </c>
      <c r="CI101" t="s">
        <v>48</v>
      </c>
      <c r="CJ101" t="s">
        <v>48</v>
      </c>
    </row>
    <row r="102" spans="1:88" x14ac:dyDescent="0.25">
      <c r="A102" s="4" t="s">
        <v>2104</v>
      </c>
      <c r="B102" s="4" t="s">
        <v>2067</v>
      </c>
      <c r="C102" s="4" t="s">
        <v>1237</v>
      </c>
      <c r="D102" s="4" t="str">
        <f>cna_product_database_catalog_website[[#This Row],[MainCategory]]&amp;"&gt;"&amp;cna_product_database_catalog_website[[#This Row],[SubCategory1]]&amp;"&gt;"&amp;cna_product_database_catalog_website[[#This Row],[SubCategory2]]</f>
        <v>Recessed&gt;Accessories&gt;DP6 Black Trim</v>
      </c>
      <c r="E102">
        <v>386</v>
      </c>
      <c r="F102" t="s">
        <v>1182</v>
      </c>
      <c r="G102" s="3">
        <v>1043</v>
      </c>
      <c r="H102" s="8">
        <v>3</v>
      </c>
      <c r="I102" t="s">
        <v>1182</v>
      </c>
      <c r="J102" t="s">
        <v>1182</v>
      </c>
      <c r="K102" t="s">
        <v>421</v>
      </c>
      <c r="L102" t="s">
        <v>430</v>
      </c>
      <c r="M102" s="12" t="str">
        <f>HYPERLINK(cna_product_database_catalog_website[[#This Row],[Spec Sheet Link]], cna_product_database_catalog_website[[#Headers],[Spec Sheet Link]])</f>
        <v>Spec Sheet Link</v>
      </c>
      <c r="N102" t="s">
        <v>47</v>
      </c>
      <c r="O102" s="3">
        <v>1</v>
      </c>
      <c r="P102" s="3">
        <v>1</v>
      </c>
      <c r="Q102" t="s">
        <v>48</v>
      </c>
      <c r="R102" t="s">
        <v>48</v>
      </c>
      <c r="S102" t="s">
        <v>48</v>
      </c>
      <c r="T102" t="s">
        <v>48</v>
      </c>
      <c r="U102" t="s">
        <v>48</v>
      </c>
      <c r="V102" t="s">
        <v>48</v>
      </c>
      <c r="W102" t="s">
        <v>48</v>
      </c>
      <c r="X102" t="s">
        <v>48</v>
      </c>
      <c r="Y102" s="3" t="s">
        <v>48</v>
      </c>
      <c r="Z102" s="3" t="s">
        <v>48</v>
      </c>
      <c r="AA102" s="3" t="s">
        <v>48</v>
      </c>
      <c r="AB102" s="1" t="s">
        <v>48</v>
      </c>
      <c r="AC102" s="1" t="s">
        <v>48</v>
      </c>
      <c r="AD102" t="s">
        <v>48</v>
      </c>
      <c r="AE102"/>
      <c r="AF102" t="s">
        <v>48</v>
      </c>
      <c r="AG102" t="s">
        <v>48</v>
      </c>
      <c r="AH102" t="s">
        <v>48</v>
      </c>
      <c r="AI102" t="s">
        <v>48</v>
      </c>
      <c r="AL102" t="s">
        <v>48</v>
      </c>
      <c r="AO102" t="s">
        <v>48</v>
      </c>
      <c r="AP102" t="s">
        <v>48</v>
      </c>
      <c r="AQ102" t="s">
        <v>48</v>
      </c>
      <c r="AV102" t="s">
        <v>48</v>
      </c>
      <c r="AW102" t="s">
        <v>48</v>
      </c>
      <c r="AX102" s="2" t="s">
        <v>48</v>
      </c>
      <c r="AY102" s="2" t="s">
        <v>48</v>
      </c>
      <c r="BC102">
        <f>SUM(cna_product_database_catalog_website[[#This Row],[Box Length (cm)]]*cna_product_database_catalog_website[[#This Row],[Box Width (cm)]]*cna_product_database_catalog_website[[#This Row],[Box Height (cm)]]/1000000)</f>
        <v>0</v>
      </c>
      <c r="BD102">
        <f>SUM(cna_product_database_catalog_website[[#This Row],[Box CBM]]*35.3147)</f>
        <v>0</v>
      </c>
      <c r="BE102" t="s">
        <v>48</v>
      </c>
      <c r="BI10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02">
        <f>SUM(cna_product_database_catalog_website[[#This Row],[Carton CFT]]/61024)</f>
        <v>0</v>
      </c>
      <c r="BN102"/>
      <c r="BO102" t="s">
        <v>510</v>
      </c>
      <c r="BP102" t="s">
        <v>48</v>
      </c>
      <c r="BQ102" t="s">
        <v>48</v>
      </c>
      <c r="BS102" t="s">
        <v>48</v>
      </c>
      <c r="BT102" t="s">
        <v>48</v>
      </c>
      <c r="BU102" t="s">
        <v>48</v>
      </c>
      <c r="BW102" t="s">
        <v>48</v>
      </c>
      <c r="BX102" t="s">
        <v>48</v>
      </c>
      <c r="BY102" t="s">
        <v>48</v>
      </c>
      <c r="BZ102" t="s">
        <v>48</v>
      </c>
      <c r="CA102" t="s">
        <v>48</v>
      </c>
      <c r="CB102" t="s">
        <v>48</v>
      </c>
      <c r="CC102" t="s">
        <v>48</v>
      </c>
      <c r="CD102" t="s">
        <v>48</v>
      </c>
      <c r="CE102" t="s">
        <v>48</v>
      </c>
      <c r="CF102" t="s">
        <v>48</v>
      </c>
      <c r="CG102" t="s">
        <v>48</v>
      </c>
      <c r="CH102" t="s">
        <v>48</v>
      </c>
      <c r="CI102" t="s">
        <v>48</v>
      </c>
      <c r="CJ102" t="s">
        <v>48</v>
      </c>
    </row>
    <row r="103" spans="1:88" x14ac:dyDescent="0.25">
      <c r="A103" s="4" t="s">
        <v>2104</v>
      </c>
      <c r="B103" s="4" t="s">
        <v>2067</v>
      </c>
      <c r="C103" s="4" t="s">
        <v>1231</v>
      </c>
      <c r="D103" s="4" t="str">
        <f>cna_product_database_catalog_website[[#This Row],[MainCategory]]&amp;"&gt;"&amp;cna_product_database_catalog_website[[#This Row],[SubCategory1]]&amp;"&gt;"&amp;cna_product_database_catalog_website[[#This Row],[SubCategory2]]</f>
        <v>Recessed&gt;Accessories&gt;4" DPS Black Trim</v>
      </c>
      <c r="E103">
        <v>387</v>
      </c>
      <c r="F103" t="s">
        <v>404</v>
      </c>
      <c r="G103" s="3">
        <v>1082</v>
      </c>
      <c r="H103" s="8">
        <v>2.5</v>
      </c>
      <c r="I103" t="s">
        <v>404</v>
      </c>
      <c r="J103" t="s">
        <v>1192</v>
      </c>
      <c r="K103" t="s">
        <v>405</v>
      </c>
      <c r="L103" t="s">
        <v>406</v>
      </c>
      <c r="M103" s="12" t="str">
        <f>HYPERLINK(cna_product_database_catalog_website[[#This Row],[Spec Sheet Link]], cna_product_database_catalog_website[[#Headers],[Spec Sheet Link]])</f>
        <v>Spec Sheet Link</v>
      </c>
      <c r="N103" t="s">
        <v>47</v>
      </c>
      <c r="O103" s="3">
        <v>1</v>
      </c>
      <c r="P103" s="3">
        <v>1</v>
      </c>
      <c r="Q103" t="s">
        <v>239</v>
      </c>
      <c r="R103" t="s">
        <v>53</v>
      </c>
      <c r="S103" t="s">
        <v>407</v>
      </c>
      <c r="T103" t="s">
        <v>48</v>
      </c>
      <c r="U103" t="s">
        <v>408</v>
      </c>
      <c r="V103" t="s">
        <v>48</v>
      </c>
      <c r="Y103" s="3" t="s">
        <v>1011</v>
      </c>
      <c r="Z103" s="3" t="s">
        <v>48</v>
      </c>
      <c r="AA103" s="3" t="s">
        <v>48</v>
      </c>
      <c r="AB103" s="1" t="s">
        <v>48</v>
      </c>
      <c r="AC103" s="1" t="s">
        <v>48</v>
      </c>
      <c r="AD103" t="s">
        <v>48</v>
      </c>
      <c r="AE103"/>
      <c r="AF103" t="s">
        <v>48</v>
      </c>
      <c r="AG103" t="s">
        <v>48</v>
      </c>
      <c r="AH103" t="s">
        <v>48</v>
      </c>
      <c r="AI103" t="s">
        <v>48</v>
      </c>
      <c r="AL103" t="s">
        <v>48</v>
      </c>
      <c r="AO103" t="s">
        <v>48</v>
      </c>
      <c r="AP103" t="s">
        <v>48</v>
      </c>
      <c r="AQ103" t="s">
        <v>48</v>
      </c>
      <c r="AV103" t="s">
        <v>48</v>
      </c>
      <c r="AW103" t="s">
        <v>48</v>
      </c>
      <c r="AX103" s="2" t="s">
        <v>169</v>
      </c>
      <c r="AY103" s="2" t="s">
        <v>169</v>
      </c>
      <c r="BC103">
        <f>SUM(cna_product_database_catalog_website[[#This Row],[Box Length (cm)]]*cna_product_database_catalog_website[[#This Row],[Box Width (cm)]]*cna_product_database_catalog_website[[#This Row],[Box Height (cm)]]/1000000)</f>
        <v>0</v>
      </c>
      <c r="BD103">
        <f>SUM(cna_product_database_catalog_website[[#This Row],[Box CBM]]*35.3147)</f>
        <v>0</v>
      </c>
      <c r="BE103" t="s">
        <v>48</v>
      </c>
      <c r="BI10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03">
        <f>SUM(cna_product_database_catalog_website[[#This Row],[Carton CFT]]/61024)</f>
        <v>0</v>
      </c>
      <c r="BM103" t="s">
        <v>48</v>
      </c>
      <c r="BN103"/>
      <c r="BO103" t="s">
        <v>1191</v>
      </c>
      <c r="BP103" t="s">
        <v>48</v>
      </c>
      <c r="BQ103" t="s">
        <v>48</v>
      </c>
      <c r="BS103" t="s">
        <v>48</v>
      </c>
      <c r="BT103" t="s">
        <v>48</v>
      </c>
      <c r="BU103" t="s">
        <v>48</v>
      </c>
      <c r="BW103" t="s">
        <v>48</v>
      </c>
      <c r="BX103" t="s">
        <v>48</v>
      </c>
      <c r="BY103" t="s">
        <v>48</v>
      </c>
      <c r="BZ103" t="s">
        <v>48</v>
      </c>
      <c r="CA103" t="s">
        <v>48</v>
      </c>
      <c r="CB103" t="s">
        <v>48</v>
      </c>
      <c r="CC103" t="s">
        <v>48</v>
      </c>
      <c r="CD103" t="s">
        <v>48</v>
      </c>
      <c r="CE103" t="s">
        <v>48</v>
      </c>
      <c r="CF103" t="s">
        <v>48</v>
      </c>
      <c r="CG103" t="s">
        <v>48</v>
      </c>
      <c r="CH103" t="s">
        <v>48</v>
      </c>
      <c r="CI103" t="s">
        <v>48</v>
      </c>
      <c r="CJ103" t="s">
        <v>48</v>
      </c>
    </row>
    <row r="104" spans="1:88" x14ac:dyDescent="0.25">
      <c r="A104" s="4" t="s">
        <v>2104</v>
      </c>
      <c r="B104" s="4" t="s">
        <v>2067</v>
      </c>
      <c r="C104" s="4" t="s">
        <v>1232</v>
      </c>
      <c r="D104" s="4" t="str">
        <f>cna_product_database_catalog_website[[#This Row],[MainCategory]]&amp;"&gt;"&amp;cna_product_database_catalog_website[[#This Row],[SubCategory1]]&amp;"&gt;"&amp;cna_product_database_catalog_website[[#This Row],[SubCategory2]]</f>
        <v>Recessed&gt;Accessories&gt;4" DPS Brushed Nickel Trim</v>
      </c>
      <c r="E104">
        <v>388</v>
      </c>
      <c r="F104" t="s">
        <v>410</v>
      </c>
      <c r="G104" s="3">
        <v>1083</v>
      </c>
      <c r="H104" s="8">
        <v>3</v>
      </c>
      <c r="I104" t="s">
        <v>410</v>
      </c>
      <c r="J104" t="s">
        <v>1193</v>
      </c>
      <c r="K104" t="s">
        <v>411</v>
      </c>
      <c r="L104" t="s">
        <v>406</v>
      </c>
      <c r="M104" s="12" t="str">
        <f>HYPERLINK(cna_product_database_catalog_website[[#This Row],[Spec Sheet Link]], cna_product_database_catalog_website[[#Headers],[Spec Sheet Link]])</f>
        <v>Spec Sheet Link</v>
      </c>
      <c r="N104" t="s">
        <v>47</v>
      </c>
      <c r="O104" s="3">
        <v>1</v>
      </c>
      <c r="P104" s="3">
        <v>1</v>
      </c>
      <c r="Q104" t="s">
        <v>239</v>
      </c>
      <c r="R104" t="s">
        <v>53</v>
      </c>
      <c r="S104" t="s">
        <v>407</v>
      </c>
      <c r="T104" t="s">
        <v>48</v>
      </c>
      <c r="U104" t="s">
        <v>408</v>
      </c>
      <c r="V104" t="s">
        <v>48</v>
      </c>
      <c r="Y104" s="3" t="s">
        <v>1011</v>
      </c>
      <c r="Z104" s="3" t="s">
        <v>48</v>
      </c>
      <c r="AA104" s="3" t="s">
        <v>48</v>
      </c>
      <c r="AB104" s="1" t="s">
        <v>48</v>
      </c>
      <c r="AC104" s="1" t="s">
        <v>48</v>
      </c>
      <c r="AD104" t="s">
        <v>48</v>
      </c>
      <c r="AE104"/>
      <c r="AF104" t="s">
        <v>48</v>
      </c>
      <c r="AG104" t="s">
        <v>48</v>
      </c>
      <c r="AH104" t="s">
        <v>48</v>
      </c>
      <c r="AI104" t="s">
        <v>48</v>
      </c>
      <c r="AL104" t="s">
        <v>48</v>
      </c>
      <c r="AO104" t="s">
        <v>48</v>
      </c>
      <c r="AP104" t="s">
        <v>48</v>
      </c>
      <c r="AQ104" t="s">
        <v>48</v>
      </c>
      <c r="AV104" t="s">
        <v>48</v>
      </c>
      <c r="AW104" t="s">
        <v>48</v>
      </c>
      <c r="AX104" s="2" t="s">
        <v>169</v>
      </c>
      <c r="AY104" s="2" t="s">
        <v>169</v>
      </c>
      <c r="BC104">
        <f>SUM(cna_product_database_catalog_website[[#This Row],[Box Length (cm)]]*cna_product_database_catalog_website[[#This Row],[Box Width (cm)]]*cna_product_database_catalog_website[[#This Row],[Box Height (cm)]]/1000000)</f>
        <v>0</v>
      </c>
      <c r="BD104">
        <f>SUM(cna_product_database_catalog_website[[#This Row],[Box CBM]]*35.3147)</f>
        <v>0</v>
      </c>
      <c r="BE104" t="s">
        <v>48</v>
      </c>
      <c r="BI10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04">
        <f>SUM(cna_product_database_catalog_website[[#This Row],[Carton CFT]]/61024)</f>
        <v>0</v>
      </c>
      <c r="BM104" t="s">
        <v>48</v>
      </c>
      <c r="BN104"/>
      <c r="BO104" t="s">
        <v>552</v>
      </c>
      <c r="BP104" t="s">
        <v>48</v>
      </c>
      <c r="BQ104" t="s">
        <v>48</v>
      </c>
      <c r="BS104" t="s">
        <v>48</v>
      </c>
      <c r="BT104" t="s">
        <v>48</v>
      </c>
      <c r="BU104" t="s">
        <v>48</v>
      </c>
      <c r="BW104" t="s">
        <v>48</v>
      </c>
      <c r="BX104" t="s">
        <v>48</v>
      </c>
      <c r="BY104" t="s">
        <v>48</v>
      </c>
      <c r="BZ104" t="s">
        <v>48</v>
      </c>
      <c r="CA104" t="s">
        <v>48</v>
      </c>
      <c r="CB104" t="s">
        <v>48</v>
      </c>
      <c r="CC104" t="s">
        <v>48</v>
      </c>
      <c r="CD104" t="s">
        <v>48</v>
      </c>
      <c r="CE104" t="s">
        <v>48</v>
      </c>
      <c r="CF104" t="s">
        <v>48</v>
      </c>
      <c r="CG104" t="s">
        <v>48</v>
      </c>
      <c r="CH104" t="s">
        <v>48</v>
      </c>
      <c r="CI104" t="s">
        <v>48</v>
      </c>
      <c r="CJ104" t="s">
        <v>48</v>
      </c>
    </row>
    <row r="105" spans="1:88" x14ac:dyDescent="0.25">
      <c r="A105" s="4" t="s">
        <v>2104</v>
      </c>
      <c r="B105" s="4" t="s">
        <v>2067</v>
      </c>
      <c r="C105" s="4" t="s">
        <v>1233</v>
      </c>
      <c r="D105" s="4" t="str">
        <f>cna_product_database_catalog_website[[#This Row],[MainCategory]]&amp;"&gt;"&amp;cna_product_database_catalog_website[[#This Row],[SubCategory1]]&amp;"&gt;"&amp;cna_product_database_catalog_website[[#This Row],[SubCategory2]]</f>
        <v>Recessed&gt;Accessories&gt;DPS Recess Mount Accessory</v>
      </c>
      <c r="E105">
        <v>389</v>
      </c>
      <c r="F105" t="s">
        <v>412</v>
      </c>
      <c r="G105" s="3">
        <v>1084</v>
      </c>
      <c r="H105" s="8">
        <v>3</v>
      </c>
      <c r="I105" t="s">
        <v>412</v>
      </c>
      <c r="J105" t="s">
        <v>412</v>
      </c>
      <c r="K105" t="s">
        <v>413</v>
      </c>
      <c r="L105" t="s">
        <v>414</v>
      </c>
      <c r="M105" s="12" t="str">
        <f>HYPERLINK(cna_product_database_catalog_website[[#This Row],[Spec Sheet Link]], cna_product_database_catalog_website[[#Headers],[Spec Sheet Link]])</f>
        <v>Spec Sheet Link</v>
      </c>
      <c r="N105" t="s">
        <v>47</v>
      </c>
      <c r="O105" s="3">
        <v>1</v>
      </c>
      <c r="P105" s="3">
        <v>1</v>
      </c>
      <c r="Q105" t="s">
        <v>239</v>
      </c>
      <c r="R105" t="s">
        <v>53</v>
      </c>
      <c r="S105" t="s">
        <v>304</v>
      </c>
      <c r="T105" t="s">
        <v>48</v>
      </c>
      <c r="U105" t="s">
        <v>408</v>
      </c>
      <c r="V105" t="s">
        <v>48</v>
      </c>
      <c r="W105" t="s">
        <v>1188</v>
      </c>
      <c r="Y105" s="3" t="s">
        <v>1011</v>
      </c>
      <c r="Z105" s="3" t="s">
        <v>48</v>
      </c>
      <c r="AA105" s="3" t="s">
        <v>48</v>
      </c>
      <c r="AB105" s="1" t="s">
        <v>48</v>
      </c>
      <c r="AC105" s="1" t="s">
        <v>48</v>
      </c>
      <c r="AD105" t="s">
        <v>48</v>
      </c>
      <c r="AE105"/>
      <c r="AF105" t="s">
        <v>48</v>
      </c>
      <c r="AG105" t="s">
        <v>48</v>
      </c>
      <c r="AH105" t="s">
        <v>48</v>
      </c>
      <c r="AI105" t="s">
        <v>48</v>
      </c>
      <c r="AL105" t="s">
        <v>48</v>
      </c>
      <c r="AO105" t="s">
        <v>48</v>
      </c>
      <c r="AP105" t="s">
        <v>48</v>
      </c>
      <c r="AQ105" t="s">
        <v>48</v>
      </c>
      <c r="AR105">
        <v>1600</v>
      </c>
      <c r="AS105">
        <v>3.53</v>
      </c>
      <c r="AV105" t="s">
        <v>48</v>
      </c>
      <c r="AW105" t="s">
        <v>48</v>
      </c>
      <c r="AX105" s="2" t="s">
        <v>169</v>
      </c>
      <c r="AY105" s="2" t="s">
        <v>169</v>
      </c>
      <c r="BC105">
        <f>SUM(cna_product_database_catalog_website[[#This Row],[Box Length (cm)]]*cna_product_database_catalog_website[[#This Row],[Box Width (cm)]]*cna_product_database_catalog_website[[#This Row],[Box Height (cm)]]/1000000)</f>
        <v>0</v>
      </c>
      <c r="BD105">
        <f>SUM(cna_product_database_catalog_website[[#This Row],[Box CBM]]*35.3147)</f>
        <v>0</v>
      </c>
      <c r="BE105" t="s">
        <v>48</v>
      </c>
      <c r="BI10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05">
        <f>SUM(cna_product_database_catalog_website[[#This Row],[Carton CFT]]/61024)</f>
        <v>0</v>
      </c>
      <c r="BM105" t="s">
        <v>48</v>
      </c>
      <c r="BN105"/>
      <c r="BO105" t="s">
        <v>48</v>
      </c>
      <c r="BP105" t="s">
        <v>48</v>
      </c>
      <c r="BQ105" t="s">
        <v>48</v>
      </c>
      <c r="BS105" t="s">
        <v>48</v>
      </c>
      <c r="BT105" t="s">
        <v>48</v>
      </c>
      <c r="BU105" t="s">
        <v>48</v>
      </c>
      <c r="BW105" t="s">
        <v>48</v>
      </c>
      <c r="BX105" t="s">
        <v>48</v>
      </c>
      <c r="BY105" t="s">
        <v>48</v>
      </c>
      <c r="BZ105" t="s">
        <v>48</v>
      </c>
      <c r="CA105" t="s">
        <v>48</v>
      </c>
      <c r="CB105" t="s">
        <v>48</v>
      </c>
      <c r="CC105" t="s">
        <v>48</v>
      </c>
      <c r="CD105" t="s">
        <v>48</v>
      </c>
      <c r="CE105" t="s">
        <v>48</v>
      </c>
      <c r="CF105" t="s">
        <v>48</v>
      </c>
      <c r="CG105" t="s">
        <v>48</v>
      </c>
      <c r="CH105" t="s">
        <v>48</v>
      </c>
      <c r="CI105" t="s">
        <v>48</v>
      </c>
      <c r="CJ105" t="s">
        <v>48</v>
      </c>
    </row>
    <row r="106" spans="1:88" x14ac:dyDescent="0.25">
      <c r="A106" s="4" t="s">
        <v>2105</v>
      </c>
      <c r="B106" s="4" t="s">
        <v>2068</v>
      </c>
      <c r="C106" s="4" t="s">
        <v>2092</v>
      </c>
      <c r="D106" s="4" t="str">
        <f>cna_product_database_catalog_website[[#This Row],[MainCategory]]&amp;"&gt;"&amp;cna_product_database_catalog_website[[#This Row],[SubCategory1]]&amp;"&gt;"&amp;cna_product_database_catalog_website[[#This Row],[SubCategory2]]</f>
        <v>Flush Mounts&gt;Disks&gt;4" DPS Series - 5CCT</v>
      </c>
      <c r="E106">
        <v>400</v>
      </c>
      <c r="F106" t="s">
        <v>1187</v>
      </c>
      <c r="G106" s="3">
        <v>1081</v>
      </c>
      <c r="H106" s="8">
        <v>8.9</v>
      </c>
      <c r="I106" t="s">
        <v>1187</v>
      </c>
      <c r="J106" t="s">
        <v>1187</v>
      </c>
      <c r="K106" t="s">
        <v>397</v>
      </c>
      <c r="L106" t="s">
        <v>398</v>
      </c>
      <c r="M106" s="12" t="str">
        <f>HYPERLINK(cna_product_database_catalog_website[[#This Row],[Spec Sheet Link]], cna_product_database_catalog_website[[#Headers],[Spec Sheet Link]])</f>
        <v>Spec Sheet Link</v>
      </c>
      <c r="N106" t="s">
        <v>47</v>
      </c>
      <c r="O106" s="3">
        <v>1</v>
      </c>
      <c r="P106" s="3">
        <v>1</v>
      </c>
      <c r="Q106" t="s">
        <v>239</v>
      </c>
      <c r="R106" t="s">
        <v>53</v>
      </c>
      <c r="S106" t="s">
        <v>399</v>
      </c>
      <c r="T106" t="s">
        <v>401</v>
      </c>
      <c r="U106" t="s">
        <v>400</v>
      </c>
      <c r="V106" t="s">
        <v>48</v>
      </c>
      <c r="W106" t="s">
        <v>409</v>
      </c>
      <c r="X106" t="s">
        <v>244</v>
      </c>
      <c r="Y106" s="3" t="s">
        <v>1010</v>
      </c>
      <c r="Z106" s="3" t="s">
        <v>1006</v>
      </c>
      <c r="AA106" s="3" t="s">
        <v>60</v>
      </c>
      <c r="AB106" s="1" t="s">
        <v>1047</v>
      </c>
      <c r="AC106" s="1" t="s">
        <v>434</v>
      </c>
      <c r="AD106" t="s">
        <v>1189</v>
      </c>
      <c r="AE106"/>
      <c r="AF106" t="s">
        <v>48</v>
      </c>
      <c r="AG106" t="s">
        <v>48</v>
      </c>
      <c r="AH106" t="s">
        <v>48</v>
      </c>
      <c r="AI106" t="s">
        <v>48</v>
      </c>
      <c r="AL106" t="s">
        <v>48</v>
      </c>
      <c r="AM106" t="s">
        <v>1190</v>
      </c>
      <c r="AN106" t="s">
        <v>106</v>
      </c>
      <c r="AO106" t="s">
        <v>200</v>
      </c>
      <c r="AP106" t="s">
        <v>433</v>
      </c>
      <c r="AQ106" t="s">
        <v>48</v>
      </c>
      <c r="AV106" t="s">
        <v>48</v>
      </c>
      <c r="AW106" t="s">
        <v>403</v>
      </c>
      <c r="AX106" s="2" t="s">
        <v>402</v>
      </c>
      <c r="AY106" s="2" t="s">
        <v>402</v>
      </c>
      <c r="BC106">
        <f>SUM(cna_product_database_catalog_website[[#This Row],[Box Length (cm)]]*cna_product_database_catalog_website[[#This Row],[Box Width (cm)]]*cna_product_database_catalog_website[[#This Row],[Box Height (cm)]]/1000000)</f>
        <v>0</v>
      </c>
      <c r="BD106">
        <f>SUM(cna_product_database_catalog_website[[#This Row],[Box CBM]]*35.3147)</f>
        <v>0</v>
      </c>
      <c r="BE106" t="s">
        <v>48</v>
      </c>
      <c r="BI10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06">
        <f>SUM(cna_product_database_catalog_website[[#This Row],[Carton CFT]]/61024)</f>
        <v>0</v>
      </c>
      <c r="BM106" t="s">
        <v>48</v>
      </c>
      <c r="BN106"/>
      <c r="BO106" t="s">
        <v>1194</v>
      </c>
      <c r="BP106" t="s">
        <v>48</v>
      </c>
      <c r="BQ106" t="s">
        <v>48</v>
      </c>
      <c r="BT106" t="s">
        <v>48</v>
      </c>
      <c r="BU106" t="s">
        <v>48</v>
      </c>
      <c r="BW106" t="s">
        <v>48</v>
      </c>
      <c r="BX106" t="s">
        <v>48</v>
      </c>
      <c r="BY106" t="s">
        <v>48</v>
      </c>
      <c r="BZ106" t="s">
        <v>48</v>
      </c>
      <c r="CA106" t="s">
        <v>48</v>
      </c>
      <c r="CB106" t="s">
        <v>48</v>
      </c>
      <c r="CC106" t="s">
        <v>48</v>
      </c>
      <c r="CD106" t="s">
        <v>48</v>
      </c>
      <c r="CE106" t="s">
        <v>48</v>
      </c>
      <c r="CF106" t="s">
        <v>48</v>
      </c>
      <c r="CG106" t="s">
        <v>48</v>
      </c>
      <c r="CH106" t="s">
        <v>48</v>
      </c>
      <c r="CI106" t="s">
        <v>48</v>
      </c>
      <c r="CJ106" t="s">
        <v>48</v>
      </c>
    </row>
    <row r="107" spans="1:88" x14ac:dyDescent="0.25">
      <c r="A107" s="4" t="s">
        <v>2105</v>
      </c>
      <c r="B107" s="4" t="s">
        <v>2068</v>
      </c>
      <c r="C107" s="4" t="s">
        <v>2093</v>
      </c>
      <c r="D107" s="4" t="str">
        <f>cna_product_database_catalog_website[[#This Row],[MainCategory]]&amp;"&gt;"&amp;cna_product_database_catalog_website[[#This Row],[SubCategory1]]&amp;"&gt;"&amp;cna_product_database_catalog_website[[#This Row],[SubCategory2]]</f>
        <v>Flush Mounts&gt;Disks&gt;4" DPM Series - 5CCT</v>
      </c>
      <c r="E107">
        <v>410</v>
      </c>
      <c r="F107" t="s">
        <v>1261</v>
      </c>
      <c r="G107" s="3">
        <v>1201</v>
      </c>
      <c r="H107" s="8">
        <v>12.5</v>
      </c>
      <c r="I107" t="s">
        <v>1261</v>
      </c>
      <c r="J107" t="s">
        <v>1265</v>
      </c>
      <c r="K107" t="s">
        <v>415</v>
      </c>
      <c r="L107" t="s">
        <v>414</v>
      </c>
      <c r="M107" s="12" t="str">
        <f>HYPERLINK(cna_product_database_catalog_website[[#This Row],[Spec Sheet Link]], cna_product_database_catalog_website[[#Headers],[Spec Sheet Link]])</f>
        <v>Spec Sheet Link</v>
      </c>
      <c r="N107" t="s">
        <v>47</v>
      </c>
      <c r="O107" s="3">
        <v>1</v>
      </c>
      <c r="P107" s="3">
        <v>1</v>
      </c>
      <c r="Q107" t="s">
        <v>239</v>
      </c>
      <c r="R107" t="s">
        <v>53</v>
      </c>
      <c r="S107" t="s">
        <v>407</v>
      </c>
      <c r="T107" t="s">
        <v>401</v>
      </c>
      <c r="U107" t="s">
        <v>408</v>
      </c>
      <c r="V107" t="s">
        <v>48</v>
      </c>
      <c r="W107" t="s">
        <v>409</v>
      </c>
      <c r="X107" t="s">
        <v>244</v>
      </c>
      <c r="Y107" s="3" t="s">
        <v>1011</v>
      </c>
      <c r="Z107" s="3" t="s">
        <v>1006</v>
      </c>
      <c r="AA107" s="3" t="s">
        <v>48</v>
      </c>
      <c r="AB107" s="1" t="s">
        <v>48</v>
      </c>
      <c r="AC107" s="1" t="s">
        <v>48</v>
      </c>
      <c r="AD107" t="s">
        <v>48</v>
      </c>
      <c r="AE107"/>
      <c r="AF107" t="s">
        <v>48</v>
      </c>
      <c r="AG107" t="s">
        <v>48</v>
      </c>
      <c r="AH107" t="s">
        <v>48</v>
      </c>
      <c r="AI107" t="s">
        <v>48</v>
      </c>
      <c r="AL107" t="s">
        <v>48</v>
      </c>
      <c r="AO107" t="s">
        <v>48</v>
      </c>
      <c r="AP107" t="s">
        <v>48</v>
      </c>
      <c r="AQ107" t="s">
        <v>48</v>
      </c>
      <c r="AS107">
        <v>0</v>
      </c>
      <c r="AV107" t="s">
        <v>48</v>
      </c>
      <c r="AW107" t="s">
        <v>48</v>
      </c>
      <c r="AX107" s="2">
        <v>24</v>
      </c>
      <c r="AY107" s="2">
        <v>24</v>
      </c>
      <c r="BC107">
        <f>SUM(cna_product_database_catalog_website[[#This Row],[Box Length (cm)]]*cna_product_database_catalog_website[[#This Row],[Box Width (cm)]]*cna_product_database_catalog_website[[#This Row],[Box Height (cm)]]/1000000)</f>
        <v>0</v>
      </c>
      <c r="BD107">
        <f>SUM(cna_product_database_catalog_website[[#This Row],[Box CBM]]*35.3147)</f>
        <v>0</v>
      </c>
      <c r="BE107" t="s">
        <v>48</v>
      </c>
      <c r="BI10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07">
        <f>SUM(cna_product_database_catalog_website[[#This Row],[Carton CFT]]/61024)</f>
        <v>0</v>
      </c>
      <c r="BM107" t="s">
        <v>48</v>
      </c>
      <c r="BN107"/>
      <c r="BO107" t="s">
        <v>48</v>
      </c>
      <c r="BP107" t="s">
        <v>48</v>
      </c>
      <c r="BQ107" t="s">
        <v>48</v>
      </c>
      <c r="BS107" t="s">
        <v>48</v>
      </c>
      <c r="BT107" t="s">
        <v>48</v>
      </c>
      <c r="BU107" t="s">
        <v>48</v>
      </c>
      <c r="BW107" t="s">
        <v>48</v>
      </c>
      <c r="BX107" t="s">
        <v>48</v>
      </c>
      <c r="BY107" t="s">
        <v>48</v>
      </c>
      <c r="BZ107" t="s">
        <v>48</v>
      </c>
      <c r="CA107" t="s">
        <v>48</v>
      </c>
      <c r="CB107" t="s">
        <v>48</v>
      </c>
      <c r="CC107" t="s">
        <v>48</v>
      </c>
      <c r="CD107" t="s">
        <v>48</v>
      </c>
      <c r="CE107" t="s">
        <v>48</v>
      </c>
      <c r="CF107" t="s">
        <v>48</v>
      </c>
      <c r="CG107" t="s">
        <v>48</v>
      </c>
      <c r="CH107" t="s">
        <v>48</v>
      </c>
      <c r="CI107" t="s">
        <v>48</v>
      </c>
      <c r="CJ107" t="s">
        <v>48</v>
      </c>
    </row>
    <row r="108" spans="1:88" x14ac:dyDescent="0.25">
      <c r="A108" s="4" t="s">
        <v>2105</v>
      </c>
      <c r="B108" s="4" t="s">
        <v>2068</v>
      </c>
      <c r="C108" s="4" t="s">
        <v>2077</v>
      </c>
      <c r="D108" s="4" t="str">
        <f>cna_product_database_catalog_website[[#This Row],[MainCategory]]&amp;"&gt;"&amp;cna_product_database_catalog_website[[#This Row],[SubCategory1]]&amp;"&gt;"&amp;cna_product_database_catalog_website[[#This Row],[SubCategory2]]</f>
        <v>Flush Mounts&gt;Disks&gt;12" DS Series - Black</v>
      </c>
      <c r="E108">
        <v>420</v>
      </c>
      <c r="F108" t="s">
        <v>1262</v>
      </c>
      <c r="G108" s="3">
        <v>1109</v>
      </c>
      <c r="H108" s="8">
        <v>19</v>
      </c>
      <c r="I108" t="s">
        <v>1262</v>
      </c>
      <c r="J108" t="s">
        <v>515</v>
      </c>
      <c r="K108" t="s">
        <v>516</v>
      </c>
      <c r="L108" t="s">
        <v>517</v>
      </c>
      <c r="M108" s="12" t="str">
        <f>HYPERLINK(cna_product_database_catalog_website[[#This Row],[Spec Sheet Link]], cna_product_database_catalog_website[[#Headers],[Spec Sheet Link]])</f>
        <v>Spec Sheet Link</v>
      </c>
      <c r="N108" t="s">
        <v>47</v>
      </c>
      <c r="O108" s="3">
        <v>1</v>
      </c>
      <c r="P108" s="3">
        <v>1</v>
      </c>
      <c r="Q108" t="s">
        <v>269</v>
      </c>
      <c r="R108" t="s">
        <v>53</v>
      </c>
      <c r="S108" t="s">
        <v>513</v>
      </c>
      <c r="T108" t="s">
        <v>514</v>
      </c>
      <c r="U108" t="s">
        <v>400</v>
      </c>
      <c r="V108" t="s">
        <v>48</v>
      </c>
      <c r="W108" t="s">
        <v>508</v>
      </c>
      <c r="X108" t="s">
        <v>1105</v>
      </c>
      <c r="Y108" s="3" t="s">
        <v>1010</v>
      </c>
      <c r="Z108" s="3" t="s">
        <v>1006</v>
      </c>
      <c r="AA108" s="3" t="s">
        <v>60</v>
      </c>
      <c r="AB108" s="1" t="s">
        <v>48</v>
      </c>
      <c r="AC108" s="1" t="s">
        <v>48</v>
      </c>
      <c r="AD108" t="s">
        <v>48</v>
      </c>
      <c r="AE108"/>
      <c r="AF108" t="s">
        <v>48</v>
      </c>
      <c r="AG108" t="s">
        <v>48</v>
      </c>
      <c r="AH108" t="s">
        <v>48</v>
      </c>
      <c r="AI108" t="s">
        <v>48</v>
      </c>
      <c r="AL108" t="s">
        <v>48</v>
      </c>
      <c r="AO108" t="s">
        <v>48</v>
      </c>
      <c r="AP108" t="s">
        <v>48</v>
      </c>
      <c r="AQ108" t="s">
        <v>48</v>
      </c>
      <c r="AV108" t="s">
        <v>48</v>
      </c>
      <c r="AW108" t="s">
        <v>48</v>
      </c>
      <c r="AX108" s="2">
        <v>10</v>
      </c>
      <c r="AY108" s="2">
        <v>10</v>
      </c>
      <c r="BC108">
        <f>SUM(cna_product_database_catalog_website[[#This Row],[Box Length (cm)]]*cna_product_database_catalog_website[[#This Row],[Box Width (cm)]]*cna_product_database_catalog_website[[#This Row],[Box Height (cm)]]/1000000)</f>
        <v>0</v>
      </c>
      <c r="BD108">
        <f>SUM(cna_product_database_catalog_website[[#This Row],[Box CBM]]*35.3147)</f>
        <v>0</v>
      </c>
      <c r="BE108" t="s">
        <v>48</v>
      </c>
      <c r="BI10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08">
        <f>SUM(cna_product_database_catalog_website[[#This Row],[Carton CFT]]/61024)</f>
        <v>0</v>
      </c>
      <c r="BM108" t="s">
        <v>48</v>
      </c>
      <c r="BN108" t="s">
        <v>509</v>
      </c>
      <c r="BO108" t="s">
        <v>48</v>
      </c>
      <c r="BP108" t="s">
        <v>48</v>
      </c>
      <c r="BQ108" t="s">
        <v>48</v>
      </c>
      <c r="BS108" t="s">
        <v>48</v>
      </c>
      <c r="BT108" t="s">
        <v>48</v>
      </c>
      <c r="BU108" t="s">
        <v>48</v>
      </c>
      <c r="BW108" t="s">
        <v>48</v>
      </c>
      <c r="BX108" t="s">
        <v>48</v>
      </c>
      <c r="BY108" t="s">
        <v>48</v>
      </c>
      <c r="BZ108" t="s">
        <v>48</v>
      </c>
      <c r="CA108" t="s">
        <v>48</v>
      </c>
      <c r="CB108" t="s">
        <v>48</v>
      </c>
      <c r="CC108" t="s">
        <v>48</v>
      </c>
      <c r="CD108" t="s">
        <v>48</v>
      </c>
      <c r="CE108" t="s">
        <v>48</v>
      </c>
      <c r="CF108" t="s">
        <v>48</v>
      </c>
      <c r="CG108" t="s">
        <v>48</v>
      </c>
      <c r="CH108" t="s">
        <v>48</v>
      </c>
      <c r="CI108" t="s">
        <v>48</v>
      </c>
      <c r="CJ108" t="s">
        <v>48</v>
      </c>
    </row>
    <row r="109" spans="1:88" x14ac:dyDescent="0.25">
      <c r="A109" s="4" t="s">
        <v>2105</v>
      </c>
      <c r="B109" s="4" t="s">
        <v>2068</v>
      </c>
      <c r="C109" s="4" t="s">
        <v>2078</v>
      </c>
      <c r="D109" s="4" t="str">
        <f>cna_product_database_catalog_website[[#This Row],[MainCategory]]&amp;"&gt;"&amp;cna_product_database_catalog_website[[#This Row],[SubCategory1]]&amp;"&gt;"&amp;cna_product_database_catalog_website[[#This Row],[SubCategory2]]</f>
        <v>Flush Mounts&gt;Disks&gt;15" DS Series - White</v>
      </c>
      <c r="E109">
        <v>421</v>
      </c>
      <c r="F109" t="s">
        <v>1263</v>
      </c>
      <c r="G109" s="3">
        <v>1128</v>
      </c>
      <c r="H109" s="8">
        <v>23</v>
      </c>
      <c r="I109" t="s">
        <v>1263</v>
      </c>
      <c r="J109" t="s">
        <v>1266</v>
      </c>
      <c r="K109" t="s">
        <v>519</v>
      </c>
      <c r="L109" t="s">
        <v>518</v>
      </c>
      <c r="M109" s="12" t="str">
        <f>HYPERLINK(cna_product_database_catalog_website[[#This Row],[Spec Sheet Link]], cna_product_database_catalog_website[[#Headers],[Spec Sheet Link]])</f>
        <v>Spec Sheet Link</v>
      </c>
      <c r="N109" t="s">
        <v>47</v>
      </c>
      <c r="O109" s="3">
        <v>1</v>
      </c>
      <c r="P109" s="3">
        <v>1</v>
      </c>
      <c r="Q109" t="s">
        <v>520</v>
      </c>
      <c r="R109" t="s">
        <v>53</v>
      </c>
      <c r="S109" t="s">
        <v>521</v>
      </c>
      <c r="T109" t="s">
        <v>522</v>
      </c>
      <c r="U109" t="s">
        <v>400</v>
      </c>
      <c r="V109" t="s">
        <v>48</v>
      </c>
      <c r="W109" t="s">
        <v>508</v>
      </c>
      <c r="X109" t="s">
        <v>1105</v>
      </c>
      <c r="Y109" s="3" t="s">
        <v>1010</v>
      </c>
      <c r="Z109" s="3" t="s">
        <v>1006</v>
      </c>
      <c r="AA109" s="3" t="s">
        <v>60</v>
      </c>
      <c r="AB109" s="1" t="s">
        <v>1139</v>
      </c>
      <c r="AC109" s="1" t="s">
        <v>551</v>
      </c>
      <c r="AD109" t="s">
        <v>450</v>
      </c>
      <c r="AE109"/>
      <c r="AF109" t="s">
        <v>48</v>
      </c>
      <c r="AG109" t="s">
        <v>48</v>
      </c>
      <c r="AH109" t="s">
        <v>48</v>
      </c>
      <c r="AI109" t="s">
        <v>48</v>
      </c>
      <c r="AL109" t="s">
        <v>48</v>
      </c>
      <c r="AO109" t="s">
        <v>48</v>
      </c>
      <c r="AP109" t="s">
        <v>48</v>
      </c>
      <c r="AQ109" t="s">
        <v>48</v>
      </c>
      <c r="AR109">
        <v>850</v>
      </c>
      <c r="AS109">
        <v>1.87</v>
      </c>
      <c r="AV109" t="s">
        <v>48</v>
      </c>
      <c r="AW109" t="s">
        <v>48</v>
      </c>
      <c r="AX109" s="2">
        <v>10</v>
      </c>
      <c r="AY109" s="2">
        <v>10</v>
      </c>
      <c r="BC109">
        <f>SUM(cna_product_database_catalog_website[[#This Row],[Box Length (cm)]]*cna_product_database_catalog_website[[#This Row],[Box Width (cm)]]*cna_product_database_catalog_website[[#This Row],[Box Height (cm)]]/1000000)</f>
        <v>0</v>
      </c>
      <c r="BD109">
        <f>SUM(cna_product_database_catalog_website[[#This Row],[Box CBM]]*35.3147)</f>
        <v>0</v>
      </c>
      <c r="BE109" t="s">
        <v>48</v>
      </c>
      <c r="BI10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09">
        <f>SUM(cna_product_database_catalog_website[[#This Row],[Carton CFT]]/61024)</f>
        <v>0</v>
      </c>
      <c r="BM109" t="s">
        <v>48</v>
      </c>
      <c r="BN109" t="s">
        <v>509</v>
      </c>
      <c r="BO109" t="s">
        <v>48</v>
      </c>
      <c r="BP109" t="s">
        <v>48</v>
      </c>
      <c r="BQ109" t="s">
        <v>48</v>
      </c>
      <c r="BS109" t="s">
        <v>48</v>
      </c>
      <c r="BT109" t="s">
        <v>48</v>
      </c>
      <c r="BU109" t="s">
        <v>48</v>
      </c>
      <c r="BW109" t="s">
        <v>48</v>
      </c>
      <c r="BX109" t="s">
        <v>48</v>
      </c>
      <c r="BY109" t="s">
        <v>48</v>
      </c>
      <c r="BZ109" t="s">
        <v>48</v>
      </c>
      <c r="CA109" t="s">
        <v>48</v>
      </c>
      <c r="CB109" t="s">
        <v>48</v>
      </c>
      <c r="CC109" t="s">
        <v>48</v>
      </c>
      <c r="CD109" t="s">
        <v>48</v>
      </c>
      <c r="CE109" t="s">
        <v>48</v>
      </c>
      <c r="CF109" t="s">
        <v>48</v>
      </c>
      <c r="CG109" t="s">
        <v>48</v>
      </c>
      <c r="CH109" t="s">
        <v>48</v>
      </c>
      <c r="CI109" t="s">
        <v>48</v>
      </c>
      <c r="CJ109" t="s">
        <v>48</v>
      </c>
    </row>
    <row r="110" spans="1:88" x14ac:dyDescent="0.25">
      <c r="A110" s="4" t="s">
        <v>2105</v>
      </c>
      <c r="B110" s="4" t="s">
        <v>2068</v>
      </c>
      <c r="C110" s="4" t="s">
        <v>2079</v>
      </c>
      <c r="D110" s="4" t="str">
        <f>cna_product_database_catalog_website[[#This Row],[MainCategory]]&amp;"&gt;"&amp;cna_product_database_catalog_website[[#This Row],[SubCategory1]]&amp;"&gt;"&amp;cna_product_database_catalog_website[[#This Row],[SubCategory2]]</f>
        <v>Flush Mounts&gt;Disks&gt;15" DS Series - Black</v>
      </c>
      <c r="E110">
        <v>422</v>
      </c>
      <c r="F110" t="s">
        <v>1264</v>
      </c>
      <c r="G110" s="3">
        <v>1157</v>
      </c>
      <c r="H110" s="8">
        <v>23</v>
      </c>
      <c r="I110" t="s">
        <v>1264</v>
      </c>
      <c r="J110" t="s">
        <v>1267</v>
      </c>
      <c r="K110" t="s">
        <v>524</v>
      </c>
      <c r="L110" t="s">
        <v>525</v>
      </c>
      <c r="M110" s="12" t="str">
        <f>HYPERLINK(cna_product_database_catalog_website[[#This Row],[Spec Sheet Link]], cna_product_database_catalog_website[[#Headers],[Spec Sheet Link]])</f>
        <v>Spec Sheet Link</v>
      </c>
      <c r="N110" t="s">
        <v>47</v>
      </c>
      <c r="O110" s="3">
        <v>1</v>
      </c>
      <c r="P110" s="3">
        <v>1</v>
      </c>
      <c r="Q110" t="s">
        <v>520</v>
      </c>
      <c r="R110" t="s">
        <v>53</v>
      </c>
      <c r="S110" t="s">
        <v>521</v>
      </c>
      <c r="T110" t="s">
        <v>526</v>
      </c>
      <c r="U110" t="s">
        <v>400</v>
      </c>
      <c r="V110" t="s">
        <v>48</v>
      </c>
      <c r="W110" t="s">
        <v>508</v>
      </c>
      <c r="X110" t="s">
        <v>244</v>
      </c>
      <c r="Y110" s="3" t="s">
        <v>1010</v>
      </c>
      <c r="Z110" s="3" t="s">
        <v>1006</v>
      </c>
      <c r="AA110" s="3" t="s">
        <v>60</v>
      </c>
      <c r="AB110" s="1" t="s">
        <v>1139</v>
      </c>
      <c r="AC110" s="1" t="s">
        <v>551</v>
      </c>
      <c r="AD110" t="s">
        <v>450</v>
      </c>
      <c r="AE110"/>
      <c r="AF110" t="s">
        <v>48</v>
      </c>
      <c r="AG110" t="s">
        <v>48</v>
      </c>
      <c r="AH110" t="s">
        <v>48</v>
      </c>
      <c r="AI110" t="s">
        <v>48</v>
      </c>
      <c r="AL110" t="s">
        <v>48</v>
      </c>
      <c r="AO110" t="s">
        <v>48</v>
      </c>
      <c r="AP110" t="s">
        <v>48</v>
      </c>
      <c r="AQ110" t="s">
        <v>48</v>
      </c>
      <c r="AV110" t="s">
        <v>48</v>
      </c>
      <c r="AW110" t="s">
        <v>48</v>
      </c>
      <c r="AX110" s="2">
        <v>10</v>
      </c>
      <c r="AY110" s="2">
        <v>10</v>
      </c>
      <c r="BC110">
        <f>SUM(cna_product_database_catalog_website[[#This Row],[Box Length (cm)]]*cna_product_database_catalog_website[[#This Row],[Box Width (cm)]]*cna_product_database_catalog_website[[#This Row],[Box Height (cm)]]/1000000)</f>
        <v>0</v>
      </c>
      <c r="BD110">
        <f>SUM(cna_product_database_catalog_website[[#This Row],[Box CBM]]*35.3147)</f>
        <v>0</v>
      </c>
      <c r="BE110" t="s">
        <v>48</v>
      </c>
      <c r="BI11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10">
        <f>SUM(cna_product_database_catalog_website[[#This Row],[Carton CFT]]/61024)</f>
        <v>0</v>
      </c>
      <c r="BM110" t="s">
        <v>48</v>
      </c>
      <c r="BN110" t="s">
        <v>509</v>
      </c>
      <c r="BO110" t="s">
        <v>48</v>
      </c>
      <c r="BP110" t="s">
        <v>48</v>
      </c>
      <c r="BQ110" t="s">
        <v>48</v>
      </c>
      <c r="BS110" t="s">
        <v>48</v>
      </c>
      <c r="BT110" t="s">
        <v>48</v>
      </c>
      <c r="BU110" t="s">
        <v>48</v>
      </c>
      <c r="BW110" t="s">
        <v>48</v>
      </c>
      <c r="BX110" t="s">
        <v>48</v>
      </c>
      <c r="BY110" t="s">
        <v>48</v>
      </c>
      <c r="BZ110" t="s">
        <v>48</v>
      </c>
      <c r="CA110" t="s">
        <v>48</v>
      </c>
      <c r="CB110" t="s">
        <v>48</v>
      </c>
      <c r="CC110" t="s">
        <v>48</v>
      </c>
      <c r="CD110" t="s">
        <v>48</v>
      </c>
      <c r="CE110" t="s">
        <v>48</v>
      </c>
      <c r="CF110" t="s">
        <v>48</v>
      </c>
      <c r="CG110" t="s">
        <v>48</v>
      </c>
      <c r="CH110" t="s">
        <v>48</v>
      </c>
      <c r="CI110" t="s">
        <v>48</v>
      </c>
      <c r="CJ110" t="s">
        <v>48</v>
      </c>
    </row>
    <row r="111" spans="1:88" s="4" customFormat="1" x14ac:dyDescent="0.25">
      <c r="A111" s="4" t="s">
        <v>2105</v>
      </c>
      <c r="B111" s="4" t="s">
        <v>2068</v>
      </c>
      <c r="C111" s="4" t="s">
        <v>2080</v>
      </c>
      <c r="D111" s="4" t="str">
        <f>cna_product_database_catalog_website[[#This Row],[MainCategory]]&amp;"&gt;"&amp;cna_product_database_catalog_website[[#This Row],[SubCategory1]]&amp;"&gt;"&amp;cna_product_database_catalog_website[[#This Row],[SubCategory2]]</f>
        <v>Flush Mounts&gt;Disks&gt;5" DSK Series - White</v>
      </c>
      <c r="E111" s="4">
        <v>430</v>
      </c>
      <c r="F111" s="4" t="s">
        <v>1566</v>
      </c>
      <c r="G111" s="5">
        <v>910</v>
      </c>
      <c r="H111" s="9">
        <v>8.5</v>
      </c>
      <c r="I111" s="4" t="s">
        <v>1566</v>
      </c>
      <c r="J111" s="4" t="s">
        <v>1569</v>
      </c>
      <c r="K111" s="4" t="s">
        <v>1589</v>
      </c>
      <c r="L111" s="4" t="s">
        <v>1590</v>
      </c>
      <c r="M111" s="12" t="str">
        <f>HYPERLINK(cna_product_database_catalog_website[[#This Row],[Spec Sheet Link]], cna_product_database_catalog_website[[#Headers],[Spec Sheet Link]])</f>
        <v>Spec Sheet Link</v>
      </c>
      <c r="N111" t="s">
        <v>47</v>
      </c>
      <c r="O111" s="5">
        <v>1</v>
      </c>
      <c r="P111" s="5">
        <v>1</v>
      </c>
      <c r="Q111" s="4" t="s">
        <v>208</v>
      </c>
      <c r="R111" s="4" t="s">
        <v>53</v>
      </c>
      <c r="S111" s="4" t="s">
        <v>209</v>
      </c>
      <c r="T111" s="4" t="s">
        <v>1099</v>
      </c>
      <c r="U111" s="4" t="s">
        <v>400</v>
      </c>
      <c r="W111" t="s">
        <v>508</v>
      </c>
      <c r="X111" t="s">
        <v>244</v>
      </c>
      <c r="Y111" s="3" t="s">
        <v>1010</v>
      </c>
      <c r="Z111" s="3" t="s">
        <v>1006</v>
      </c>
      <c r="AA111" s="3" t="s">
        <v>60</v>
      </c>
      <c r="AB111" s="1" t="s">
        <v>1139</v>
      </c>
      <c r="AC111" s="1" t="s">
        <v>551</v>
      </c>
      <c r="AD111" t="s">
        <v>450</v>
      </c>
      <c r="AE111"/>
      <c r="AM111" t="s">
        <v>1578</v>
      </c>
      <c r="AN111" t="s">
        <v>1137</v>
      </c>
      <c r="AO111" t="s">
        <v>1581</v>
      </c>
      <c r="AP111" t="s">
        <v>1575</v>
      </c>
      <c r="AW111" t="s">
        <v>403</v>
      </c>
      <c r="AX111" s="7">
        <v>40</v>
      </c>
      <c r="AY111" s="7">
        <v>40</v>
      </c>
      <c r="BC111" s="4">
        <f>SUM(cna_product_database_catalog_website[[#This Row],[Box Length (cm)]]*cna_product_database_catalog_website[[#This Row],[Box Width (cm)]]*cna_product_database_catalog_website[[#This Row],[Box Height (cm)]]/1000000)</f>
        <v>0</v>
      </c>
      <c r="BD111" s="4">
        <f>SUM(cna_product_database_catalog_website[[#This Row],[Box CBM]]*35.3147)</f>
        <v>0</v>
      </c>
      <c r="BI111" s="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11" s="4">
        <f>SUM(cna_product_database_catalog_website[[#This Row],[Carton CFT]]/61024)</f>
        <v>0</v>
      </c>
      <c r="BN111" t="s">
        <v>1588</v>
      </c>
      <c r="BO111" s="4" t="s">
        <v>510</v>
      </c>
      <c r="BS111" s="4" t="s">
        <v>539</v>
      </c>
    </row>
    <row r="112" spans="1:88" x14ac:dyDescent="0.25">
      <c r="A112" s="4" t="s">
        <v>2105</v>
      </c>
      <c r="B112" s="4" t="s">
        <v>2068</v>
      </c>
      <c r="C112" s="4" t="s">
        <v>2081</v>
      </c>
      <c r="D112" s="4" t="str">
        <f>cna_product_database_catalog_website[[#This Row],[MainCategory]]&amp;"&gt;"&amp;cna_product_database_catalog_website[[#This Row],[SubCategory1]]&amp;"&gt;"&amp;cna_product_database_catalog_website[[#This Row],[SubCategory2]]</f>
        <v>Flush Mounts&gt;Disks&gt;7" DSK Series - Black</v>
      </c>
      <c r="E112">
        <v>431</v>
      </c>
      <c r="F112" t="s">
        <v>1270</v>
      </c>
      <c r="G112" s="3">
        <v>1182</v>
      </c>
      <c r="H112" s="8">
        <v>9</v>
      </c>
      <c r="I112" t="s">
        <v>1270</v>
      </c>
      <c r="J112" t="s">
        <v>1276</v>
      </c>
      <c r="K112" t="s">
        <v>1560</v>
      </c>
      <c r="L112" t="s">
        <v>1561</v>
      </c>
      <c r="M112" s="12" t="str">
        <f>HYPERLINK(cna_product_database_catalog_website[[#This Row],[Spec Sheet Link]], cna_product_database_catalog_website[[#Headers],[Spec Sheet Link]])</f>
        <v>Spec Sheet Link</v>
      </c>
      <c r="N112" t="s">
        <v>47</v>
      </c>
      <c r="O112" s="3">
        <v>1</v>
      </c>
      <c r="P112" s="3">
        <v>1</v>
      </c>
      <c r="Q112" t="s">
        <v>424</v>
      </c>
      <c r="R112" t="s">
        <v>53</v>
      </c>
      <c r="S112" t="s">
        <v>1564</v>
      </c>
      <c r="T112" t="s">
        <v>1099</v>
      </c>
      <c r="U112" t="s">
        <v>400</v>
      </c>
      <c r="W112" t="s">
        <v>508</v>
      </c>
      <c r="X112" t="s">
        <v>244</v>
      </c>
      <c r="Y112" s="3" t="s">
        <v>1010</v>
      </c>
      <c r="Z112" s="3" t="s">
        <v>1006</v>
      </c>
      <c r="AA112" s="3" t="s">
        <v>60</v>
      </c>
      <c r="AB112" s="1" t="s">
        <v>1139</v>
      </c>
      <c r="AC112" s="1" t="s">
        <v>551</v>
      </c>
      <c r="AD112" t="s">
        <v>450</v>
      </c>
      <c r="AE112"/>
      <c r="AM112" t="s">
        <v>1578</v>
      </c>
      <c r="AN112" t="s">
        <v>1137</v>
      </c>
      <c r="AO112" t="s">
        <v>1582</v>
      </c>
      <c r="AP112" t="s">
        <v>1574</v>
      </c>
      <c r="AW112" t="s">
        <v>403</v>
      </c>
      <c r="AX112" s="2">
        <v>40</v>
      </c>
      <c r="AY112" s="2">
        <v>40</v>
      </c>
      <c r="BC112">
        <f>SUM(cna_product_database_catalog_website[[#This Row],[Box Length (cm)]]*cna_product_database_catalog_website[[#This Row],[Box Width (cm)]]*cna_product_database_catalog_website[[#This Row],[Box Height (cm)]]/1000000)</f>
        <v>0</v>
      </c>
      <c r="BD112">
        <f>SUM(cna_product_database_catalog_website[[#This Row],[Box CBM]]*35.3147)</f>
        <v>0</v>
      </c>
      <c r="BI11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12">
        <f>SUM(cna_product_database_catalog_website[[#This Row],[Carton CFT]]/61024)</f>
        <v>0</v>
      </c>
      <c r="BN112" t="s">
        <v>1588</v>
      </c>
      <c r="BO112" t="s">
        <v>1585</v>
      </c>
      <c r="BS112" s="4" t="s">
        <v>539</v>
      </c>
    </row>
    <row r="113" spans="1:88" x14ac:dyDescent="0.25">
      <c r="A113" s="4" t="s">
        <v>2105</v>
      </c>
      <c r="B113" s="4" t="s">
        <v>2068</v>
      </c>
      <c r="C113" s="4" t="s">
        <v>2082</v>
      </c>
      <c r="D113" s="4" t="str">
        <f>cna_product_database_catalog_website[[#This Row],[MainCategory]]&amp;"&gt;"&amp;cna_product_database_catalog_website[[#This Row],[SubCategory1]]&amp;"&gt;"&amp;cna_product_database_catalog_website[[#This Row],[SubCategory2]]</f>
        <v>Flush Mounts&gt;Disks&gt;7" DSK Series - White</v>
      </c>
      <c r="E113">
        <v>432</v>
      </c>
      <c r="F113" t="s">
        <v>1271</v>
      </c>
      <c r="G113" s="3">
        <v>1181</v>
      </c>
      <c r="H113" s="8">
        <v>9</v>
      </c>
      <c r="I113" t="s">
        <v>1271</v>
      </c>
      <c r="J113" t="s">
        <v>1277</v>
      </c>
      <c r="K113" t="s">
        <v>1560</v>
      </c>
      <c r="L113" t="s">
        <v>1561</v>
      </c>
      <c r="M113" s="12" t="str">
        <f>HYPERLINK(cna_product_database_catalog_website[[#This Row],[Spec Sheet Link]], cna_product_database_catalog_website[[#Headers],[Spec Sheet Link]])</f>
        <v>Spec Sheet Link</v>
      </c>
      <c r="N113" t="s">
        <v>47</v>
      </c>
      <c r="O113" s="3">
        <v>1</v>
      </c>
      <c r="P113" s="3">
        <v>1</v>
      </c>
      <c r="Q113" t="s">
        <v>424</v>
      </c>
      <c r="R113" t="s">
        <v>53</v>
      </c>
      <c r="S113" t="s">
        <v>1564</v>
      </c>
      <c r="T113" t="s">
        <v>1099</v>
      </c>
      <c r="U113" t="s">
        <v>400</v>
      </c>
      <c r="W113" t="s">
        <v>508</v>
      </c>
      <c r="X113" t="s">
        <v>244</v>
      </c>
      <c r="Y113" s="3" t="s">
        <v>1010</v>
      </c>
      <c r="Z113" s="3" t="s">
        <v>1006</v>
      </c>
      <c r="AA113" s="3" t="s">
        <v>60</v>
      </c>
      <c r="AB113" s="1" t="s">
        <v>1139</v>
      </c>
      <c r="AC113" s="1" t="s">
        <v>551</v>
      </c>
      <c r="AD113" t="s">
        <v>450</v>
      </c>
      <c r="AE113"/>
      <c r="AM113" t="s">
        <v>1578</v>
      </c>
      <c r="AN113" t="s">
        <v>1137</v>
      </c>
      <c r="AO113" t="s">
        <v>1582</v>
      </c>
      <c r="AP113" t="s">
        <v>1574</v>
      </c>
      <c r="AW113" t="s">
        <v>403</v>
      </c>
      <c r="AX113" s="2">
        <v>40</v>
      </c>
      <c r="AY113" s="2">
        <v>40</v>
      </c>
      <c r="BC113">
        <f>SUM(cna_product_database_catalog_website[[#This Row],[Box Length (cm)]]*cna_product_database_catalog_website[[#This Row],[Box Width (cm)]]*cna_product_database_catalog_website[[#This Row],[Box Height (cm)]]/1000000)</f>
        <v>0</v>
      </c>
      <c r="BD113">
        <f>SUM(cna_product_database_catalog_website[[#This Row],[Box CBM]]*35.3147)</f>
        <v>0</v>
      </c>
      <c r="BI11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13">
        <f>SUM(cna_product_database_catalog_website[[#This Row],[Carton CFT]]/61024)</f>
        <v>0</v>
      </c>
      <c r="BN113" t="s">
        <v>1588</v>
      </c>
      <c r="BO113" t="s">
        <v>510</v>
      </c>
      <c r="BS113" s="4" t="s">
        <v>539</v>
      </c>
    </row>
    <row r="114" spans="1:88" x14ac:dyDescent="0.25">
      <c r="A114" s="4" t="s">
        <v>2105</v>
      </c>
      <c r="B114" s="4" t="s">
        <v>2068</v>
      </c>
      <c r="C114" s="4" t="s">
        <v>2083</v>
      </c>
      <c r="D114" s="4" t="str">
        <f>cna_product_database_catalog_website[[#This Row],[MainCategory]]&amp;"&gt;"&amp;cna_product_database_catalog_website[[#This Row],[SubCategory1]]&amp;"&gt;"&amp;cna_product_database_catalog_website[[#This Row],[SubCategory2]]</f>
        <v>Flush Mounts&gt;Disks&gt;9" DSK Series - Black</v>
      </c>
      <c r="E114">
        <v>433</v>
      </c>
      <c r="F114" t="s">
        <v>1272</v>
      </c>
      <c r="G114" s="3">
        <v>1184</v>
      </c>
      <c r="H114" s="8">
        <v>11</v>
      </c>
      <c r="I114" t="s">
        <v>1272</v>
      </c>
      <c r="J114" t="s">
        <v>1278</v>
      </c>
      <c r="K114" t="s">
        <v>1560</v>
      </c>
      <c r="L114" t="s">
        <v>1562</v>
      </c>
      <c r="M114" s="12" t="str">
        <f>HYPERLINK(cna_product_database_catalog_website[[#This Row],[Spec Sheet Link]], cna_product_database_catalog_website[[#Headers],[Spec Sheet Link]])</f>
        <v>Spec Sheet Link</v>
      </c>
      <c r="N114" t="s">
        <v>47</v>
      </c>
      <c r="O114" s="3">
        <v>1</v>
      </c>
      <c r="P114" s="3">
        <v>1</v>
      </c>
      <c r="Q114" t="s">
        <v>687</v>
      </c>
      <c r="R114" t="s">
        <v>53</v>
      </c>
      <c r="S114" t="s">
        <v>1069</v>
      </c>
      <c r="T114" t="s">
        <v>1099</v>
      </c>
      <c r="U114" t="s">
        <v>400</v>
      </c>
      <c r="W114" t="s">
        <v>508</v>
      </c>
      <c r="X114" t="s">
        <v>244</v>
      </c>
      <c r="Y114" s="3" t="s">
        <v>1010</v>
      </c>
      <c r="Z114" s="3" t="s">
        <v>1006</v>
      </c>
      <c r="AA114" s="3" t="s">
        <v>60</v>
      </c>
      <c r="AB114" s="1" t="s">
        <v>1139</v>
      </c>
      <c r="AC114" s="1" t="s">
        <v>551</v>
      </c>
      <c r="AD114" t="s">
        <v>450</v>
      </c>
      <c r="AE114"/>
      <c r="AM114" t="s">
        <v>1578</v>
      </c>
      <c r="AN114" t="s">
        <v>1137</v>
      </c>
      <c r="AO114" t="s">
        <v>1583</v>
      </c>
      <c r="AP114" t="s">
        <v>1587</v>
      </c>
      <c r="AW114" t="s">
        <v>403</v>
      </c>
      <c r="AX114" s="2">
        <v>20</v>
      </c>
      <c r="AY114" s="2">
        <v>20</v>
      </c>
      <c r="BC114">
        <f>SUM(cna_product_database_catalog_website[[#This Row],[Box Length (cm)]]*cna_product_database_catalog_website[[#This Row],[Box Width (cm)]]*cna_product_database_catalog_website[[#This Row],[Box Height (cm)]]/1000000)</f>
        <v>0</v>
      </c>
      <c r="BD114">
        <f>SUM(cna_product_database_catalog_website[[#This Row],[Box CBM]]*35.3147)</f>
        <v>0</v>
      </c>
      <c r="BI11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14">
        <f>SUM(cna_product_database_catalog_website[[#This Row],[Carton CFT]]/61024)</f>
        <v>0</v>
      </c>
      <c r="BN114" t="s">
        <v>1588</v>
      </c>
      <c r="BO114" t="s">
        <v>1585</v>
      </c>
      <c r="BS114" s="4" t="s">
        <v>539</v>
      </c>
    </row>
    <row r="115" spans="1:88" x14ac:dyDescent="0.25">
      <c r="A115" s="4" t="s">
        <v>2105</v>
      </c>
      <c r="B115" s="4" t="s">
        <v>2068</v>
      </c>
      <c r="C115" s="4" t="s">
        <v>2084</v>
      </c>
      <c r="D115" s="4" t="str">
        <f>cna_product_database_catalog_website[[#This Row],[MainCategory]]&amp;"&gt;"&amp;cna_product_database_catalog_website[[#This Row],[SubCategory1]]&amp;"&gt;"&amp;cna_product_database_catalog_website[[#This Row],[SubCategory2]]</f>
        <v>Flush Mounts&gt;Disks&gt;9" DSK Series - White</v>
      </c>
      <c r="E115">
        <v>434</v>
      </c>
      <c r="F115" t="s">
        <v>1273</v>
      </c>
      <c r="G115" s="3">
        <v>1183</v>
      </c>
      <c r="H115" s="8">
        <v>11</v>
      </c>
      <c r="I115" t="s">
        <v>1273</v>
      </c>
      <c r="J115" t="s">
        <v>1279</v>
      </c>
      <c r="K115" t="s">
        <v>1560</v>
      </c>
      <c r="L115" t="s">
        <v>1562</v>
      </c>
      <c r="M115" s="12" t="str">
        <f>HYPERLINK(cna_product_database_catalog_website[[#This Row],[Spec Sheet Link]], cna_product_database_catalog_website[[#Headers],[Spec Sheet Link]])</f>
        <v>Spec Sheet Link</v>
      </c>
      <c r="N115" t="s">
        <v>47</v>
      </c>
      <c r="O115" s="3">
        <v>1</v>
      </c>
      <c r="P115" s="3">
        <v>1</v>
      </c>
      <c r="Q115" t="s">
        <v>687</v>
      </c>
      <c r="R115" t="s">
        <v>53</v>
      </c>
      <c r="S115" t="s">
        <v>1069</v>
      </c>
      <c r="T115" t="s">
        <v>1099</v>
      </c>
      <c r="U115" t="s">
        <v>400</v>
      </c>
      <c r="W115" t="s">
        <v>508</v>
      </c>
      <c r="X115" t="s">
        <v>244</v>
      </c>
      <c r="Y115" s="3" t="s">
        <v>1010</v>
      </c>
      <c r="Z115" s="3" t="s">
        <v>1006</v>
      </c>
      <c r="AA115" s="3" t="s">
        <v>60</v>
      </c>
      <c r="AB115" s="1" t="s">
        <v>1139</v>
      </c>
      <c r="AC115" s="1" t="s">
        <v>551</v>
      </c>
      <c r="AD115" t="s">
        <v>450</v>
      </c>
      <c r="AE115"/>
      <c r="AM115" t="s">
        <v>1578</v>
      </c>
      <c r="AN115" t="s">
        <v>1137</v>
      </c>
      <c r="AO115" t="s">
        <v>1583</v>
      </c>
      <c r="AP115" t="s">
        <v>1587</v>
      </c>
      <c r="AW115" t="s">
        <v>403</v>
      </c>
      <c r="AX115" s="2">
        <v>20</v>
      </c>
      <c r="AY115" s="2">
        <v>20</v>
      </c>
      <c r="BC115">
        <f>SUM(cna_product_database_catalog_website[[#This Row],[Box Length (cm)]]*cna_product_database_catalog_website[[#This Row],[Box Width (cm)]]*cna_product_database_catalog_website[[#This Row],[Box Height (cm)]]/1000000)</f>
        <v>0</v>
      </c>
      <c r="BD115">
        <f>SUM(cna_product_database_catalog_website[[#This Row],[Box CBM]]*35.3147)</f>
        <v>0</v>
      </c>
      <c r="BI11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15">
        <f>SUM(cna_product_database_catalog_website[[#This Row],[Carton CFT]]/61024)</f>
        <v>0</v>
      </c>
      <c r="BN115" t="s">
        <v>1588</v>
      </c>
      <c r="BO115" t="s">
        <v>510</v>
      </c>
      <c r="BS115" s="4" t="s">
        <v>539</v>
      </c>
    </row>
    <row r="116" spans="1:88" x14ac:dyDescent="0.25">
      <c r="A116" s="4" t="s">
        <v>2105</v>
      </c>
      <c r="B116" s="4" t="s">
        <v>2068</v>
      </c>
      <c r="C116" s="4" t="s">
        <v>2085</v>
      </c>
      <c r="D116" s="4" t="str">
        <f>cna_product_database_catalog_website[[#This Row],[MainCategory]]&amp;"&gt;"&amp;cna_product_database_catalog_website[[#This Row],[SubCategory1]]&amp;"&gt;"&amp;cna_product_database_catalog_website[[#This Row],[SubCategory2]]</f>
        <v>Flush Mounts&gt;Disks&gt;12" DSK Series - Black</v>
      </c>
      <c r="E116">
        <v>435</v>
      </c>
      <c r="F116" t="s">
        <v>1274</v>
      </c>
      <c r="G116" s="3">
        <v>1186</v>
      </c>
      <c r="H116" s="8">
        <v>16</v>
      </c>
      <c r="I116" t="s">
        <v>1274</v>
      </c>
      <c r="J116" t="s">
        <v>1280</v>
      </c>
      <c r="K116" t="s">
        <v>1560</v>
      </c>
      <c r="L116" t="s">
        <v>1563</v>
      </c>
      <c r="M116" s="12" t="str">
        <f>HYPERLINK(cna_product_database_catalog_website[[#This Row],[Spec Sheet Link]], cna_product_database_catalog_website[[#Headers],[Spec Sheet Link]])</f>
        <v>Spec Sheet Link</v>
      </c>
      <c r="N116" t="s">
        <v>47</v>
      </c>
      <c r="O116" s="3">
        <v>1</v>
      </c>
      <c r="P116" s="3">
        <v>1</v>
      </c>
      <c r="Q116" t="s">
        <v>269</v>
      </c>
      <c r="R116" t="s">
        <v>53</v>
      </c>
      <c r="S116" t="s">
        <v>1565</v>
      </c>
      <c r="T116" t="s">
        <v>1099</v>
      </c>
      <c r="U116" t="s">
        <v>400</v>
      </c>
      <c r="W116" t="s">
        <v>508</v>
      </c>
      <c r="X116" t="s">
        <v>244</v>
      </c>
      <c r="Y116" s="3" t="s">
        <v>1010</v>
      </c>
      <c r="Z116" s="3" t="s">
        <v>1006</v>
      </c>
      <c r="AA116" s="3" t="s">
        <v>60</v>
      </c>
      <c r="AB116" s="1" t="s">
        <v>1139</v>
      </c>
      <c r="AC116" s="1" t="s">
        <v>551</v>
      </c>
      <c r="AD116" t="s">
        <v>450</v>
      </c>
      <c r="AE116"/>
      <c r="AM116" t="s">
        <v>1578</v>
      </c>
      <c r="AN116" t="s">
        <v>1137</v>
      </c>
      <c r="AO116" t="s">
        <v>1584</v>
      </c>
      <c r="AP116" t="s">
        <v>1586</v>
      </c>
      <c r="AW116" t="s">
        <v>403</v>
      </c>
      <c r="AX116" s="2">
        <v>10</v>
      </c>
      <c r="AY116" s="2">
        <v>10</v>
      </c>
      <c r="BC116">
        <f>SUM(cna_product_database_catalog_website[[#This Row],[Box Length (cm)]]*cna_product_database_catalog_website[[#This Row],[Box Width (cm)]]*cna_product_database_catalog_website[[#This Row],[Box Height (cm)]]/1000000)</f>
        <v>0</v>
      </c>
      <c r="BD116">
        <f>SUM(cna_product_database_catalog_website[[#This Row],[Box CBM]]*35.3147)</f>
        <v>0</v>
      </c>
      <c r="BI11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16">
        <f>SUM(cna_product_database_catalog_website[[#This Row],[Carton CFT]]/61024)</f>
        <v>0</v>
      </c>
      <c r="BN116" t="s">
        <v>1588</v>
      </c>
      <c r="BO116" t="s">
        <v>1585</v>
      </c>
      <c r="BS116" s="4" t="s">
        <v>539</v>
      </c>
    </row>
    <row r="117" spans="1:88" x14ac:dyDescent="0.25">
      <c r="A117" s="4" t="s">
        <v>2105</v>
      </c>
      <c r="B117" s="4" t="s">
        <v>2068</v>
      </c>
      <c r="C117" s="4" t="s">
        <v>2086</v>
      </c>
      <c r="D117" s="4" t="str">
        <f>cna_product_database_catalog_website[[#This Row],[MainCategory]]&amp;"&gt;"&amp;cna_product_database_catalog_website[[#This Row],[SubCategory1]]&amp;"&gt;"&amp;cna_product_database_catalog_website[[#This Row],[SubCategory2]]</f>
        <v>Flush Mounts&gt;Disks&gt;12" DSK Series - White</v>
      </c>
      <c r="E117">
        <v>436</v>
      </c>
      <c r="F117" t="s">
        <v>1275</v>
      </c>
      <c r="G117" s="3">
        <v>1185</v>
      </c>
      <c r="H117" s="8">
        <v>16</v>
      </c>
      <c r="I117" t="s">
        <v>1275</v>
      </c>
      <c r="J117" t="s">
        <v>1281</v>
      </c>
      <c r="K117" t="s">
        <v>1560</v>
      </c>
      <c r="L117" t="s">
        <v>1563</v>
      </c>
      <c r="M117" s="12" t="str">
        <f>HYPERLINK(cna_product_database_catalog_website[[#This Row],[Spec Sheet Link]], cna_product_database_catalog_website[[#Headers],[Spec Sheet Link]])</f>
        <v>Spec Sheet Link</v>
      </c>
      <c r="N117" t="s">
        <v>47</v>
      </c>
      <c r="O117" s="3">
        <v>1</v>
      </c>
      <c r="P117" s="3">
        <v>1</v>
      </c>
      <c r="Q117" t="s">
        <v>269</v>
      </c>
      <c r="R117" t="s">
        <v>53</v>
      </c>
      <c r="S117" t="s">
        <v>1565</v>
      </c>
      <c r="T117" t="s">
        <v>1099</v>
      </c>
      <c r="U117" t="s">
        <v>400</v>
      </c>
      <c r="W117" t="s">
        <v>508</v>
      </c>
      <c r="X117" t="s">
        <v>244</v>
      </c>
      <c r="Y117" s="3" t="s">
        <v>1010</v>
      </c>
      <c r="Z117" s="3" t="s">
        <v>1006</v>
      </c>
      <c r="AA117" s="3" t="s">
        <v>60</v>
      </c>
      <c r="AB117" s="1" t="s">
        <v>1139</v>
      </c>
      <c r="AC117" s="1" t="s">
        <v>551</v>
      </c>
      <c r="AD117" t="s">
        <v>450</v>
      </c>
      <c r="AE117"/>
      <c r="AM117" t="s">
        <v>1578</v>
      </c>
      <c r="AN117" t="s">
        <v>1137</v>
      </c>
      <c r="AO117" t="s">
        <v>1584</v>
      </c>
      <c r="AP117" t="s">
        <v>1586</v>
      </c>
      <c r="AW117" t="s">
        <v>403</v>
      </c>
      <c r="AX117" s="2">
        <v>10</v>
      </c>
      <c r="AY117" s="2">
        <v>10</v>
      </c>
      <c r="BC117">
        <f>SUM(cna_product_database_catalog_website[[#This Row],[Box Length (cm)]]*cna_product_database_catalog_website[[#This Row],[Box Width (cm)]]*cna_product_database_catalog_website[[#This Row],[Box Height (cm)]]/1000000)</f>
        <v>0</v>
      </c>
      <c r="BD117">
        <f>SUM(cna_product_database_catalog_website[[#This Row],[Box CBM]]*35.3147)</f>
        <v>0</v>
      </c>
      <c r="BI11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17">
        <f>SUM(cna_product_database_catalog_website[[#This Row],[Carton CFT]]/61024)</f>
        <v>0</v>
      </c>
      <c r="BN117" t="s">
        <v>1588</v>
      </c>
      <c r="BO117" t="s">
        <v>510</v>
      </c>
      <c r="BS117" s="4" t="s">
        <v>539</v>
      </c>
    </row>
    <row r="118" spans="1:88" s="4" customFormat="1" x14ac:dyDescent="0.25">
      <c r="A118" s="4" t="s">
        <v>2105</v>
      </c>
      <c r="B118" s="4" t="s">
        <v>2068</v>
      </c>
      <c r="C118" s="4" t="s">
        <v>2087</v>
      </c>
      <c r="D118" s="4" t="str">
        <f>cna_product_database_catalog_website[[#This Row],[MainCategory]]&amp;"&gt;"&amp;cna_product_database_catalog_website[[#This Row],[SubCategory1]]&amp;"&gt;"&amp;cna_product_database_catalog_website[[#This Row],[SubCategory2]]</f>
        <v>Flush Mounts&gt;Disks&gt;15" DSK Series - White</v>
      </c>
      <c r="E118" s="4">
        <v>437</v>
      </c>
      <c r="F118" s="4" t="s">
        <v>1568</v>
      </c>
      <c r="G118" s="5">
        <v>169</v>
      </c>
      <c r="H118" s="9">
        <v>22</v>
      </c>
      <c r="I118" s="4" t="s">
        <v>1568</v>
      </c>
      <c r="J118" s="4" t="s">
        <v>1570</v>
      </c>
      <c r="K118" t="s">
        <v>1591</v>
      </c>
      <c r="L118" t="s">
        <v>1592</v>
      </c>
      <c r="M118" s="12" t="str">
        <f>HYPERLINK(cna_product_database_catalog_website[[#This Row],[Spec Sheet Link]], cna_product_database_catalog_website[[#Headers],[Spec Sheet Link]])</f>
        <v>Spec Sheet Link</v>
      </c>
      <c r="N118" t="s">
        <v>47</v>
      </c>
      <c r="O118" s="5">
        <v>1</v>
      </c>
      <c r="P118" s="5">
        <v>1</v>
      </c>
      <c r="Q118" s="4" t="s">
        <v>919</v>
      </c>
      <c r="R118" s="4" t="s">
        <v>53</v>
      </c>
      <c r="S118" s="4" t="s">
        <v>1572</v>
      </c>
      <c r="T118" s="4" t="s">
        <v>1099</v>
      </c>
      <c r="U118" s="4" t="s">
        <v>400</v>
      </c>
      <c r="W118" t="s">
        <v>508</v>
      </c>
      <c r="X118" t="s">
        <v>244</v>
      </c>
      <c r="Y118" s="3" t="s">
        <v>1010</v>
      </c>
      <c r="Z118" s="3" t="s">
        <v>1006</v>
      </c>
      <c r="AA118" s="3" t="s">
        <v>60</v>
      </c>
      <c r="AB118" s="1" t="s">
        <v>1139</v>
      </c>
      <c r="AC118" s="1" t="s">
        <v>551</v>
      </c>
      <c r="AD118" t="s">
        <v>450</v>
      </c>
      <c r="AE118"/>
      <c r="AM118" t="s">
        <v>1578</v>
      </c>
      <c r="AN118" t="s">
        <v>1137</v>
      </c>
      <c r="AO118" t="s">
        <v>1580</v>
      </c>
      <c r="AP118" t="s">
        <v>1576</v>
      </c>
      <c r="AW118" t="s">
        <v>403</v>
      </c>
      <c r="AX118" s="7">
        <v>10</v>
      </c>
      <c r="AY118" s="7">
        <v>10</v>
      </c>
      <c r="BC118" s="4">
        <f>SUM(cna_product_database_catalog_website[[#This Row],[Box Length (cm)]]*cna_product_database_catalog_website[[#This Row],[Box Width (cm)]]*cna_product_database_catalog_website[[#This Row],[Box Height (cm)]]/1000000)</f>
        <v>0</v>
      </c>
      <c r="BD118" s="4">
        <f>SUM(cna_product_database_catalog_website[[#This Row],[Box CBM]]*35.3147)</f>
        <v>0</v>
      </c>
      <c r="BI118" s="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18" s="4">
        <f>SUM(cna_product_database_catalog_website[[#This Row],[Carton CFT]]/61024)</f>
        <v>0</v>
      </c>
      <c r="BN118" t="s">
        <v>1588</v>
      </c>
      <c r="BO118" s="4" t="s">
        <v>510</v>
      </c>
      <c r="BS118" s="4" t="s">
        <v>539</v>
      </c>
    </row>
    <row r="119" spans="1:88" s="4" customFormat="1" x14ac:dyDescent="0.25">
      <c r="A119" s="4" t="s">
        <v>2105</v>
      </c>
      <c r="B119" s="4" t="s">
        <v>2068</v>
      </c>
      <c r="C119" s="4" t="s">
        <v>2088</v>
      </c>
      <c r="D119" s="4" t="str">
        <f>cna_product_database_catalog_website[[#This Row],[MainCategory]]&amp;"&gt;"&amp;cna_product_database_catalog_website[[#This Row],[SubCategory1]]&amp;"&gt;"&amp;cna_product_database_catalog_website[[#This Row],[SubCategory2]]</f>
        <v>Flush Mounts&gt;Disks&gt;19" DSK Series - White</v>
      </c>
      <c r="E119" s="4">
        <v>438</v>
      </c>
      <c r="F119" s="4" t="s">
        <v>1567</v>
      </c>
      <c r="G119" s="5">
        <v>1199</v>
      </c>
      <c r="H119" s="9">
        <v>28</v>
      </c>
      <c r="I119" s="4" t="s">
        <v>1567</v>
      </c>
      <c r="J119" s="4" t="s">
        <v>1571</v>
      </c>
      <c r="K119" t="s">
        <v>1593</v>
      </c>
      <c r="L119" t="s">
        <v>1594</v>
      </c>
      <c r="M119" s="12" t="str">
        <f>HYPERLINK(cna_product_database_catalog_website[[#This Row],[Spec Sheet Link]], cna_product_database_catalog_website[[#Headers],[Spec Sheet Link]])</f>
        <v>Spec Sheet Link</v>
      </c>
      <c r="N119" t="s">
        <v>47</v>
      </c>
      <c r="O119" s="5">
        <v>1</v>
      </c>
      <c r="P119" s="5">
        <v>1</v>
      </c>
      <c r="Q119" s="4" t="s">
        <v>695</v>
      </c>
      <c r="R119" s="4" t="s">
        <v>53</v>
      </c>
      <c r="S119" s="4" t="s">
        <v>1573</v>
      </c>
      <c r="T119" s="4" t="s">
        <v>1099</v>
      </c>
      <c r="U119" s="4" t="s">
        <v>400</v>
      </c>
      <c r="W119" t="s">
        <v>508</v>
      </c>
      <c r="X119" t="s">
        <v>244</v>
      </c>
      <c r="Y119" s="3" t="s">
        <v>1010</v>
      </c>
      <c r="Z119" s="3" t="s">
        <v>1006</v>
      </c>
      <c r="AA119" s="3" t="s">
        <v>60</v>
      </c>
      <c r="AB119" s="1" t="s">
        <v>1139</v>
      </c>
      <c r="AC119" s="1" t="s">
        <v>551</v>
      </c>
      <c r="AD119" t="s">
        <v>450</v>
      </c>
      <c r="AE119"/>
      <c r="AM119" t="s">
        <v>1578</v>
      </c>
      <c r="AN119" t="s">
        <v>1137</v>
      </c>
      <c r="AO119" t="s">
        <v>1579</v>
      </c>
      <c r="AP119" t="s">
        <v>1577</v>
      </c>
      <c r="AW119" t="s">
        <v>403</v>
      </c>
      <c r="AX119" s="7">
        <v>10</v>
      </c>
      <c r="AY119" s="7">
        <v>10</v>
      </c>
      <c r="BC119" s="4">
        <f>SUM(cna_product_database_catalog_website[[#This Row],[Box Length (cm)]]*cna_product_database_catalog_website[[#This Row],[Box Width (cm)]]*cna_product_database_catalog_website[[#This Row],[Box Height (cm)]]/1000000)</f>
        <v>0</v>
      </c>
      <c r="BD119" s="4">
        <f>SUM(cna_product_database_catalog_website[[#This Row],[Box CBM]]*35.3147)</f>
        <v>0</v>
      </c>
      <c r="BI119" s="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19" s="4">
        <f>SUM(cna_product_database_catalog_website[[#This Row],[Carton CFT]]/61024)</f>
        <v>0</v>
      </c>
      <c r="BN119" t="s">
        <v>1588</v>
      </c>
      <c r="BO119" s="4" t="s">
        <v>510</v>
      </c>
      <c r="BS119" s="4" t="s">
        <v>539</v>
      </c>
    </row>
    <row r="120" spans="1:88" s="4" customFormat="1" x14ac:dyDescent="0.25">
      <c r="A120" s="4" t="s">
        <v>2105</v>
      </c>
      <c r="B120" s="4" t="s">
        <v>2075</v>
      </c>
      <c r="C120" s="4" t="s">
        <v>2030</v>
      </c>
      <c r="D120" s="4" t="str">
        <f>cna_product_database_catalog_website[[#This Row],[MainCategory]]&amp;"&gt;"&amp;cna_product_database_catalog_website[[#This Row],[SubCategory1]]&amp;"&gt;"&amp;cna_product_database_catalog_website[[#This Row],[SubCategory2]]</f>
        <v>Flush Mounts&gt;Mushroom&gt;11" Mushroom 5CCT</v>
      </c>
      <c r="E120" s="4">
        <v>450</v>
      </c>
      <c r="F120" s="4" t="s">
        <v>2031</v>
      </c>
      <c r="G120" s="5">
        <v>1205</v>
      </c>
      <c r="H120" s="9">
        <v>17</v>
      </c>
      <c r="I120" s="4" t="s">
        <v>2031</v>
      </c>
      <c r="J120" s="4" t="s">
        <v>2031</v>
      </c>
      <c r="K120" s="4" t="s">
        <v>2033</v>
      </c>
      <c r="L120" s="4" t="s">
        <v>2032</v>
      </c>
      <c r="M120" s="12" t="str">
        <f>HYPERLINK(cna_product_database_catalog_website[[#This Row],[Spec Sheet Link]], cna_product_database_catalog_website[[#Headers],[Spec Sheet Link]])</f>
        <v>Spec Sheet Link</v>
      </c>
      <c r="N120" s="4" t="s">
        <v>47</v>
      </c>
      <c r="O120" s="5">
        <v>1</v>
      </c>
      <c r="P120" s="5">
        <v>1</v>
      </c>
      <c r="Q120" s="4" t="s">
        <v>687</v>
      </c>
      <c r="R120" s="4" t="s">
        <v>53</v>
      </c>
      <c r="S120" s="4" t="s">
        <v>366</v>
      </c>
      <c r="T120" s="4" t="s">
        <v>523</v>
      </c>
      <c r="U120" s="4" t="s">
        <v>400</v>
      </c>
      <c r="W120" s="4" t="s">
        <v>420</v>
      </c>
      <c r="X120" s="4" t="s">
        <v>1844</v>
      </c>
      <c r="Y120" s="5"/>
      <c r="Z120" s="5">
        <v>80</v>
      </c>
      <c r="AA120" s="5" t="s">
        <v>60</v>
      </c>
      <c r="AB120" s="6" t="s">
        <v>1047</v>
      </c>
      <c r="AC120" s="1" t="s">
        <v>551</v>
      </c>
      <c r="AD120" t="s">
        <v>450</v>
      </c>
      <c r="AE120"/>
      <c r="AL120" s="4" t="s">
        <v>2034</v>
      </c>
      <c r="AN120" s="4" t="s">
        <v>2034</v>
      </c>
      <c r="AP120" s="4" t="s">
        <v>2035</v>
      </c>
      <c r="AQ120" s="4" t="s">
        <v>2035</v>
      </c>
      <c r="AW120" s="4" t="s">
        <v>403</v>
      </c>
      <c r="AX120" s="7">
        <v>10</v>
      </c>
      <c r="AY120" s="7">
        <v>10</v>
      </c>
      <c r="BC120" s="4">
        <f>SUM(cna_product_database_catalog_website[[#This Row],[Box Length (cm)]]*cna_product_database_catalog_website[[#This Row],[Box Width (cm)]]*cna_product_database_catalog_website[[#This Row],[Box Height (cm)]]/1000000)</f>
        <v>0</v>
      </c>
      <c r="BD120" s="4">
        <f>SUM(cna_product_database_catalog_website[[#This Row],[Box CBM]]*35.3147)</f>
        <v>0</v>
      </c>
      <c r="BE120" s="7">
        <v>12.7</v>
      </c>
      <c r="BI120" s="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20" s="4">
        <f>SUM(cna_product_database_catalog_website[[#This Row],[Carton CFT]]/61024)</f>
        <v>0</v>
      </c>
      <c r="BO120" s="4" t="s">
        <v>510</v>
      </c>
      <c r="BS120" s="4" t="s">
        <v>556</v>
      </c>
      <c r="BT120" s="4" t="s">
        <v>1501</v>
      </c>
    </row>
    <row r="121" spans="1:88" x14ac:dyDescent="0.25">
      <c r="A121" s="4" t="s">
        <v>2105</v>
      </c>
      <c r="B121" s="4" t="s">
        <v>2075</v>
      </c>
      <c r="C121" s="4" t="s">
        <v>1250</v>
      </c>
      <c r="D121" s="4" t="str">
        <f>cna_product_database_catalog_website[[#This Row],[MainCategory]]&amp;"&gt;"&amp;cna_product_database_catalog_website[[#This Row],[SubCategory1]]&amp;"&gt;"&amp;cna_product_database_catalog_website[[#This Row],[SubCategory2]]</f>
        <v>Flush Mounts&gt;Mushroom&gt;13" Mushroom 5CCT</v>
      </c>
      <c r="E121">
        <v>451</v>
      </c>
      <c r="F121" t="s">
        <v>1251</v>
      </c>
      <c r="G121" s="3">
        <v>1206</v>
      </c>
      <c r="H121" s="8">
        <v>22</v>
      </c>
      <c r="I121" t="s">
        <v>1251</v>
      </c>
      <c r="J121" t="s">
        <v>1251</v>
      </c>
      <c r="K121" t="s">
        <v>542</v>
      </c>
      <c r="L121" t="s">
        <v>543</v>
      </c>
      <c r="M121" s="12" t="str">
        <f>HYPERLINK(cna_product_database_catalog_website[[#This Row],[Spec Sheet Link]], cna_product_database_catalog_website[[#Headers],[Spec Sheet Link]])</f>
        <v>Spec Sheet Link</v>
      </c>
      <c r="N121" t="s">
        <v>47</v>
      </c>
      <c r="O121" s="3">
        <v>1</v>
      </c>
      <c r="P121" s="3">
        <v>1</v>
      </c>
      <c r="Q121" t="s">
        <v>262</v>
      </c>
      <c r="R121" t="s">
        <v>53</v>
      </c>
      <c r="S121" t="s">
        <v>254</v>
      </c>
      <c r="T121" t="s">
        <v>544</v>
      </c>
      <c r="U121" t="s">
        <v>400</v>
      </c>
      <c r="V121" t="s">
        <v>48</v>
      </c>
      <c r="W121" t="s">
        <v>420</v>
      </c>
      <c r="X121" t="s">
        <v>244</v>
      </c>
      <c r="Y121" s="3" t="s">
        <v>48</v>
      </c>
      <c r="Z121" s="3" t="s">
        <v>1006</v>
      </c>
      <c r="AA121" s="3" t="s">
        <v>60</v>
      </c>
      <c r="AB121" s="1" t="s">
        <v>48</v>
      </c>
      <c r="AC121" s="1" t="s">
        <v>48</v>
      </c>
      <c r="AD121" t="s">
        <v>48</v>
      </c>
      <c r="AE121"/>
      <c r="AF121" t="s">
        <v>48</v>
      </c>
      <c r="AG121" t="s">
        <v>48</v>
      </c>
      <c r="AH121" t="s">
        <v>48</v>
      </c>
      <c r="AI121" t="s">
        <v>48</v>
      </c>
      <c r="AL121" t="s">
        <v>48</v>
      </c>
      <c r="AN121" t="s">
        <v>1499</v>
      </c>
      <c r="AO121" t="s">
        <v>48</v>
      </c>
      <c r="AP121" t="s">
        <v>1498</v>
      </c>
      <c r="AQ121" t="s">
        <v>1498</v>
      </c>
      <c r="AR121">
        <v>200</v>
      </c>
      <c r="AS121">
        <v>0.44</v>
      </c>
      <c r="AV121" t="s">
        <v>48</v>
      </c>
      <c r="AW121" t="s">
        <v>403</v>
      </c>
      <c r="AX121" s="2">
        <v>6</v>
      </c>
      <c r="AY121" s="2">
        <v>6</v>
      </c>
      <c r="BC121">
        <f>SUM(cna_product_database_catalog_website[[#This Row],[Box Length (cm)]]*cna_product_database_catalog_website[[#This Row],[Box Width (cm)]]*cna_product_database_catalog_website[[#This Row],[Box Height (cm)]]/1000000)</f>
        <v>0</v>
      </c>
      <c r="BD121">
        <f>SUM(cna_product_database_catalog_website[[#This Row],[Box CBM]]*35.3147)</f>
        <v>0</v>
      </c>
      <c r="BE121" t="s">
        <v>48</v>
      </c>
      <c r="BI12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21">
        <f>SUM(cna_product_database_catalog_website[[#This Row],[Carton CFT]]/61024)</f>
        <v>0</v>
      </c>
      <c r="BM121" t="s">
        <v>48</v>
      </c>
      <c r="BN121"/>
      <c r="BO121" t="s">
        <v>1500</v>
      </c>
      <c r="BP121" t="s">
        <v>48</v>
      </c>
      <c r="BQ121" t="s">
        <v>48</v>
      </c>
      <c r="BS121" t="s">
        <v>556</v>
      </c>
      <c r="BT121" t="s">
        <v>1501</v>
      </c>
      <c r="BU121" t="s">
        <v>48</v>
      </c>
      <c r="BW121" t="s">
        <v>48</v>
      </c>
      <c r="BX121" t="s">
        <v>48</v>
      </c>
      <c r="BY121" t="s">
        <v>48</v>
      </c>
      <c r="BZ121" t="s">
        <v>48</v>
      </c>
      <c r="CA121" t="s">
        <v>48</v>
      </c>
      <c r="CB121" t="s">
        <v>48</v>
      </c>
      <c r="CC121" t="s">
        <v>48</v>
      </c>
      <c r="CD121" t="s">
        <v>48</v>
      </c>
      <c r="CE121" t="s">
        <v>48</v>
      </c>
      <c r="CF121" t="s">
        <v>48</v>
      </c>
      <c r="CG121" t="s">
        <v>48</v>
      </c>
      <c r="CH121" t="s">
        <v>48</v>
      </c>
      <c r="CI121" t="s">
        <v>48</v>
      </c>
      <c r="CJ121" t="s">
        <v>48</v>
      </c>
    </row>
    <row r="122" spans="1:88" x14ac:dyDescent="0.25">
      <c r="A122" s="4" t="s">
        <v>2105</v>
      </c>
      <c r="B122" s="4" t="s">
        <v>2069</v>
      </c>
      <c r="C122" s="4" t="s">
        <v>2070</v>
      </c>
      <c r="D122" s="4" t="str">
        <f>cna_product_database_catalog_website[[#This Row],[MainCategory]]&amp;"&gt;"&amp;cna_product_database_catalog_website[[#This Row],[SubCategory1]]&amp;"&gt;"&amp;cna_product_database_catalog_website[[#This Row],[SubCategory2]]</f>
        <v>Flush Mounts&gt;2-Ring&gt;12" 2-Ring - Brushed Nickel</v>
      </c>
      <c r="E122">
        <v>455</v>
      </c>
      <c r="F122" t="s">
        <v>1252</v>
      </c>
      <c r="G122" s="3">
        <v>1204</v>
      </c>
      <c r="H122" s="8">
        <v>27</v>
      </c>
      <c r="I122" t="s">
        <v>1252</v>
      </c>
      <c r="J122" t="s">
        <v>1252</v>
      </c>
      <c r="K122" t="s">
        <v>545</v>
      </c>
      <c r="L122" t="s">
        <v>546</v>
      </c>
      <c r="M122" s="12" t="str">
        <f>HYPERLINK(cna_product_database_catalog_website[[#This Row],[Spec Sheet Link]], cna_product_database_catalog_website[[#Headers],[Spec Sheet Link]])</f>
        <v>Spec Sheet Link</v>
      </c>
      <c r="N122" t="s">
        <v>47</v>
      </c>
      <c r="O122" s="3">
        <v>1</v>
      </c>
      <c r="P122" s="3">
        <v>1</v>
      </c>
      <c r="Q122" t="s">
        <v>370</v>
      </c>
      <c r="R122" t="s">
        <v>53</v>
      </c>
      <c r="S122" t="s">
        <v>540</v>
      </c>
      <c r="T122" t="s">
        <v>541</v>
      </c>
      <c r="U122" t="s">
        <v>400</v>
      </c>
      <c r="V122" t="s">
        <v>48</v>
      </c>
      <c r="W122" t="s">
        <v>420</v>
      </c>
      <c r="X122" t="s">
        <v>244</v>
      </c>
      <c r="Y122" s="3" t="s">
        <v>48</v>
      </c>
      <c r="Z122" s="3" t="s">
        <v>1006</v>
      </c>
      <c r="AA122" s="3" t="s">
        <v>60</v>
      </c>
      <c r="AB122" s="1" t="s">
        <v>48</v>
      </c>
      <c r="AC122" s="1" t="s">
        <v>551</v>
      </c>
      <c r="AD122" t="s">
        <v>450</v>
      </c>
      <c r="AE122"/>
      <c r="AF122" t="s">
        <v>48</v>
      </c>
      <c r="AG122" t="s">
        <v>48</v>
      </c>
      <c r="AH122" t="s">
        <v>48</v>
      </c>
      <c r="AI122" t="s">
        <v>48</v>
      </c>
      <c r="AL122" t="s">
        <v>48</v>
      </c>
      <c r="AN122" t="s">
        <v>73</v>
      </c>
      <c r="AO122" t="s">
        <v>48</v>
      </c>
      <c r="AP122" t="s">
        <v>1497</v>
      </c>
      <c r="AQ122" t="s">
        <v>1497</v>
      </c>
      <c r="AR122">
        <v>400</v>
      </c>
      <c r="AS122">
        <v>0.88</v>
      </c>
      <c r="AV122" t="s">
        <v>48</v>
      </c>
      <c r="AW122" t="s">
        <v>403</v>
      </c>
      <c r="AX122" s="2">
        <v>6</v>
      </c>
      <c r="AY122" s="2">
        <v>6</v>
      </c>
      <c r="BC122">
        <f>SUM(cna_product_database_catalog_website[[#This Row],[Box Length (cm)]]*cna_product_database_catalog_website[[#This Row],[Box Width (cm)]]*cna_product_database_catalog_website[[#This Row],[Box Height (cm)]]/1000000)</f>
        <v>0</v>
      </c>
      <c r="BD122">
        <f>SUM(cna_product_database_catalog_website[[#This Row],[Box CBM]]*35.3147)</f>
        <v>0</v>
      </c>
      <c r="BE122" t="s">
        <v>48</v>
      </c>
      <c r="BI12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22">
        <f>SUM(cna_product_database_catalog_website[[#This Row],[Carton CFT]]/61024)</f>
        <v>0</v>
      </c>
      <c r="BM122" t="s">
        <v>48</v>
      </c>
      <c r="BN122"/>
      <c r="BO122" t="s">
        <v>552</v>
      </c>
      <c r="BP122" t="s">
        <v>48</v>
      </c>
      <c r="BQ122" t="s">
        <v>48</v>
      </c>
      <c r="BS122" t="s">
        <v>556</v>
      </c>
      <c r="BT122" t="s">
        <v>1501</v>
      </c>
      <c r="BU122" t="s">
        <v>48</v>
      </c>
      <c r="BW122" t="s">
        <v>48</v>
      </c>
      <c r="BX122" t="s">
        <v>48</v>
      </c>
      <c r="BY122" t="s">
        <v>48</v>
      </c>
      <c r="BZ122" t="s">
        <v>48</v>
      </c>
      <c r="CA122" t="s">
        <v>48</v>
      </c>
      <c r="CB122" t="s">
        <v>48</v>
      </c>
      <c r="CC122" t="s">
        <v>48</v>
      </c>
      <c r="CD122" t="s">
        <v>48</v>
      </c>
      <c r="CE122" t="s">
        <v>48</v>
      </c>
      <c r="CF122" t="s">
        <v>48</v>
      </c>
      <c r="CG122" t="s">
        <v>48</v>
      </c>
      <c r="CH122" t="s">
        <v>48</v>
      </c>
      <c r="CI122" t="s">
        <v>48</v>
      </c>
      <c r="CJ122" t="s">
        <v>48</v>
      </c>
    </row>
    <row r="123" spans="1:88" x14ac:dyDescent="0.25">
      <c r="A123" s="4" t="s">
        <v>2105</v>
      </c>
      <c r="B123" s="4" t="s">
        <v>2069</v>
      </c>
      <c r="C123" s="4" t="s">
        <v>2071</v>
      </c>
      <c r="D123" s="4" t="str">
        <f>cna_product_database_catalog_website[[#This Row],[MainCategory]]&amp;"&gt;"&amp;cna_product_database_catalog_website[[#This Row],[SubCategory1]]&amp;"&gt;"&amp;cna_product_database_catalog_website[[#This Row],[SubCategory2]]</f>
        <v>Flush Mounts&gt;2-Ring&gt;12" 2-Ring - Black</v>
      </c>
      <c r="E123">
        <v>456</v>
      </c>
      <c r="F123" t="s">
        <v>1253</v>
      </c>
      <c r="G123" s="3">
        <v>1136</v>
      </c>
      <c r="H123" s="8">
        <v>27</v>
      </c>
      <c r="I123" t="s">
        <v>1253</v>
      </c>
      <c r="J123" t="s">
        <v>1253</v>
      </c>
      <c r="K123" t="s">
        <v>547</v>
      </c>
      <c r="L123" t="s">
        <v>548</v>
      </c>
      <c r="M123" s="12" t="str">
        <f>HYPERLINK(cna_product_database_catalog_website[[#This Row],[Spec Sheet Link]], cna_product_database_catalog_website[[#Headers],[Spec Sheet Link]])</f>
        <v>Spec Sheet Link</v>
      </c>
      <c r="N123" t="s">
        <v>47</v>
      </c>
      <c r="O123" s="3">
        <v>1</v>
      </c>
      <c r="P123" s="3">
        <v>1</v>
      </c>
      <c r="Q123" t="s">
        <v>370</v>
      </c>
      <c r="R123" t="s">
        <v>53</v>
      </c>
      <c r="S123" t="s">
        <v>540</v>
      </c>
      <c r="T123" t="s">
        <v>541</v>
      </c>
      <c r="U123" t="s">
        <v>400</v>
      </c>
      <c r="V123" t="s">
        <v>48</v>
      </c>
      <c r="W123" t="s">
        <v>420</v>
      </c>
      <c r="X123" t="s">
        <v>244</v>
      </c>
      <c r="Y123" s="3" t="s">
        <v>48</v>
      </c>
      <c r="Z123" s="3" t="s">
        <v>1006</v>
      </c>
      <c r="AA123" s="3" t="s">
        <v>60</v>
      </c>
      <c r="AB123" s="1" t="s">
        <v>48</v>
      </c>
      <c r="AC123" s="1" t="s">
        <v>551</v>
      </c>
      <c r="AD123" t="s">
        <v>450</v>
      </c>
      <c r="AE123"/>
      <c r="AF123" t="s">
        <v>48</v>
      </c>
      <c r="AG123" t="s">
        <v>48</v>
      </c>
      <c r="AH123" t="s">
        <v>48</v>
      </c>
      <c r="AI123" t="s">
        <v>48</v>
      </c>
      <c r="AL123" t="s">
        <v>48</v>
      </c>
      <c r="AN123" t="s">
        <v>73</v>
      </c>
      <c r="AO123" t="s">
        <v>48</v>
      </c>
      <c r="AP123" t="s">
        <v>1497</v>
      </c>
      <c r="AQ123" t="s">
        <v>1497</v>
      </c>
      <c r="AR123">
        <v>400</v>
      </c>
      <c r="AS123">
        <v>0.88</v>
      </c>
      <c r="AV123" t="s">
        <v>48</v>
      </c>
      <c r="AW123" t="s">
        <v>403</v>
      </c>
      <c r="AX123" s="2">
        <v>6</v>
      </c>
      <c r="AY123" s="2">
        <v>6</v>
      </c>
      <c r="BC123">
        <f>SUM(cna_product_database_catalog_website[[#This Row],[Box Length (cm)]]*cna_product_database_catalog_website[[#This Row],[Box Width (cm)]]*cna_product_database_catalog_website[[#This Row],[Box Height (cm)]]/1000000)</f>
        <v>0</v>
      </c>
      <c r="BD123">
        <f>SUM(cna_product_database_catalog_website[[#This Row],[Box CBM]]*35.3147)</f>
        <v>0</v>
      </c>
      <c r="BE123" t="s">
        <v>48</v>
      </c>
      <c r="BI12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23">
        <f>SUM(cna_product_database_catalog_website[[#This Row],[Carton CFT]]/61024)</f>
        <v>0</v>
      </c>
      <c r="BM123" t="s">
        <v>48</v>
      </c>
      <c r="BN123"/>
      <c r="BO123" t="s">
        <v>555</v>
      </c>
      <c r="BP123" t="s">
        <v>48</v>
      </c>
      <c r="BQ123" t="s">
        <v>48</v>
      </c>
      <c r="BS123" t="s">
        <v>556</v>
      </c>
      <c r="BT123" t="s">
        <v>1501</v>
      </c>
      <c r="BU123" t="s">
        <v>48</v>
      </c>
      <c r="BW123" t="s">
        <v>48</v>
      </c>
      <c r="BX123" t="s">
        <v>48</v>
      </c>
      <c r="BY123" t="s">
        <v>48</v>
      </c>
      <c r="BZ123" t="s">
        <v>48</v>
      </c>
      <c r="CA123" t="s">
        <v>48</v>
      </c>
      <c r="CB123" t="s">
        <v>48</v>
      </c>
      <c r="CC123" t="s">
        <v>48</v>
      </c>
      <c r="CD123" t="s">
        <v>48</v>
      </c>
      <c r="CE123" t="s">
        <v>48</v>
      </c>
      <c r="CF123" t="s">
        <v>48</v>
      </c>
      <c r="CG123" t="s">
        <v>48</v>
      </c>
      <c r="CH123" t="s">
        <v>48</v>
      </c>
      <c r="CI123" t="s">
        <v>48</v>
      </c>
      <c r="CJ123" t="s">
        <v>48</v>
      </c>
    </row>
    <row r="124" spans="1:88" x14ac:dyDescent="0.25">
      <c r="A124" s="4" t="s">
        <v>2105</v>
      </c>
      <c r="B124" s="4" t="s">
        <v>2069</v>
      </c>
      <c r="C124" s="4" t="s">
        <v>2072</v>
      </c>
      <c r="D124" s="4" t="str">
        <f>cna_product_database_catalog_website[[#This Row],[MainCategory]]&amp;"&gt;"&amp;cna_product_database_catalog_website[[#This Row],[SubCategory1]]&amp;"&gt;"&amp;cna_product_database_catalog_website[[#This Row],[SubCategory2]]</f>
        <v>Flush Mounts&gt;2-Ring&gt;16" 2-Ring - Brushed Nickel</v>
      </c>
      <c r="E124">
        <v>457</v>
      </c>
      <c r="F124" t="s">
        <v>1254</v>
      </c>
      <c r="G124" s="3">
        <v>1045</v>
      </c>
      <c r="H124" s="8">
        <v>37</v>
      </c>
      <c r="I124" t="s">
        <v>1254</v>
      </c>
      <c r="J124" t="s">
        <v>1254</v>
      </c>
      <c r="K124" t="s">
        <v>1490</v>
      </c>
      <c r="L124" t="s">
        <v>1491</v>
      </c>
      <c r="M124" s="12" t="str">
        <f>HYPERLINK(cna_product_database_catalog_website[[#This Row],[Spec Sheet Link]], cna_product_database_catalog_website[[#Headers],[Spec Sheet Link]])</f>
        <v>Spec Sheet Link</v>
      </c>
      <c r="N124" t="s">
        <v>47</v>
      </c>
      <c r="O124" s="3">
        <v>1</v>
      </c>
      <c r="P124" s="3">
        <v>1</v>
      </c>
      <c r="Q124" t="s">
        <v>1493</v>
      </c>
      <c r="R124" t="s">
        <v>53</v>
      </c>
      <c r="S124" t="s">
        <v>1494</v>
      </c>
      <c r="T124" t="s">
        <v>523</v>
      </c>
      <c r="U124" t="s">
        <v>400</v>
      </c>
      <c r="V124" t="s">
        <v>48</v>
      </c>
      <c r="W124" t="s">
        <v>420</v>
      </c>
      <c r="X124" t="s">
        <v>244</v>
      </c>
      <c r="Y124" s="3" t="s">
        <v>48</v>
      </c>
      <c r="Z124" s="3" t="s">
        <v>1006</v>
      </c>
      <c r="AA124" s="3" t="s">
        <v>60</v>
      </c>
      <c r="AB124" s="1" t="s">
        <v>48</v>
      </c>
      <c r="AC124" s="1" t="s">
        <v>551</v>
      </c>
      <c r="AD124" t="s">
        <v>450</v>
      </c>
      <c r="AE124"/>
      <c r="AF124" t="s">
        <v>48</v>
      </c>
      <c r="AG124" t="s">
        <v>48</v>
      </c>
      <c r="AH124" t="s">
        <v>48</v>
      </c>
      <c r="AI124" t="s">
        <v>48</v>
      </c>
      <c r="AL124" t="s">
        <v>48</v>
      </c>
      <c r="AN124" t="s">
        <v>1496</v>
      </c>
      <c r="AO124" t="s">
        <v>48</v>
      </c>
      <c r="AP124" t="s">
        <v>1495</v>
      </c>
      <c r="AQ124" t="s">
        <v>1495</v>
      </c>
      <c r="AV124" t="s">
        <v>48</v>
      </c>
      <c r="AW124" t="s">
        <v>403</v>
      </c>
      <c r="AX124" s="2">
        <v>6</v>
      </c>
      <c r="AY124" s="2">
        <v>6</v>
      </c>
      <c r="BC124">
        <f>SUM(cna_product_database_catalog_website[[#This Row],[Box Length (cm)]]*cna_product_database_catalog_website[[#This Row],[Box Width (cm)]]*cna_product_database_catalog_website[[#This Row],[Box Height (cm)]]/1000000)</f>
        <v>0</v>
      </c>
      <c r="BD124">
        <f>SUM(cna_product_database_catalog_website[[#This Row],[Box CBM]]*35.3147)</f>
        <v>0</v>
      </c>
      <c r="BE124" t="s">
        <v>48</v>
      </c>
      <c r="BI12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24">
        <f>SUM(cna_product_database_catalog_website[[#This Row],[Carton CFT]]/61024)</f>
        <v>0</v>
      </c>
      <c r="BM124" t="s">
        <v>48</v>
      </c>
      <c r="BN124"/>
      <c r="BO124" t="s">
        <v>552</v>
      </c>
      <c r="BP124" t="s">
        <v>48</v>
      </c>
      <c r="BQ124" t="s">
        <v>48</v>
      </c>
      <c r="BS124" t="s">
        <v>556</v>
      </c>
      <c r="BT124" t="s">
        <v>1501</v>
      </c>
      <c r="BU124" t="s">
        <v>48</v>
      </c>
      <c r="BW124" t="s">
        <v>48</v>
      </c>
      <c r="BX124" t="s">
        <v>48</v>
      </c>
      <c r="BY124" t="s">
        <v>48</v>
      </c>
      <c r="BZ124" t="s">
        <v>48</v>
      </c>
      <c r="CA124" t="s">
        <v>48</v>
      </c>
      <c r="CB124" t="s">
        <v>48</v>
      </c>
      <c r="CC124" t="s">
        <v>48</v>
      </c>
      <c r="CD124" t="s">
        <v>48</v>
      </c>
      <c r="CE124" t="s">
        <v>48</v>
      </c>
      <c r="CF124" t="s">
        <v>48</v>
      </c>
      <c r="CG124" t="s">
        <v>48</v>
      </c>
      <c r="CH124" t="s">
        <v>48</v>
      </c>
      <c r="CI124" t="s">
        <v>48</v>
      </c>
      <c r="CJ124" t="s">
        <v>48</v>
      </c>
    </row>
    <row r="125" spans="1:88" x14ac:dyDescent="0.25">
      <c r="A125" s="4" t="s">
        <v>2105</v>
      </c>
      <c r="B125" s="4" t="s">
        <v>2069</v>
      </c>
      <c r="C125" s="4" t="s">
        <v>2073</v>
      </c>
      <c r="D125" s="4" t="str">
        <f>cna_product_database_catalog_website[[#This Row],[MainCategory]]&amp;"&gt;"&amp;cna_product_database_catalog_website[[#This Row],[SubCategory1]]&amp;"&gt;"&amp;cna_product_database_catalog_website[[#This Row],[SubCategory2]]</f>
        <v>Flush Mounts&gt;2-Ring&gt;16" 2-Ring - Black</v>
      </c>
      <c r="E125">
        <v>458</v>
      </c>
      <c r="F125" t="s">
        <v>1255</v>
      </c>
      <c r="G125" s="3">
        <v>1085</v>
      </c>
      <c r="H125" s="8">
        <v>37</v>
      </c>
      <c r="I125" t="s">
        <v>1255</v>
      </c>
      <c r="J125" t="s">
        <v>1255</v>
      </c>
      <c r="K125" t="s">
        <v>1489</v>
      </c>
      <c r="L125" t="s">
        <v>1492</v>
      </c>
      <c r="M125" s="12" t="str">
        <f>HYPERLINK(cna_product_database_catalog_website[[#This Row],[Spec Sheet Link]], cna_product_database_catalog_website[[#Headers],[Spec Sheet Link]])</f>
        <v>Spec Sheet Link</v>
      </c>
      <c r="N125" t="s">
        <v>47</v>
      </c>
      <c r="O125" s="3">
        <v>1</v>
      </c>
      <c r="P125" s="3">
        <v>1</v>
      </c>
      <c r="Q125" t="s">
        <v>1493</v>
      </c>
      <c r="R125" t="s">
        <v>53</v>
      </c>
      <c r="S125" t="s">
        <v>1494</v>
      </c>
      <c r="T125" t="s">
        <v>523</v>
      </c>
      <c r="U125" t="s">
        <v>400</v>
      </c>
      <c r="V125" t="s">
        <v>48</v>
      </c>
      <c r="W125" t="s">
        <v>420</v>
      </c>
      <c r="X125" t="s">
        <v>244</v>
      </c>
      <c r="Y125" s="3" t="s">
        <v>48</v>
      </c>
      <c r="Z125" s="3" t="s">
        <v>1006</v>
      </c>
      <c r="AA125" s="3" t="s">
        <v>60</v>
      </c>
      <c r="AB125" s="1" t="s">
        <v>48</v>
      </c>
      <c r="AC125" s="1" t="s">
        <v>551</v>
      </c>
      <c r="AD125" t="s">
        <v>450</v>
      </c>
      <c r="AE125"/>
      <c r="AF125" t="s">
        <v>48</v>
      </c>
      <c r="AG125" t="s">
        <v>48</v>
      </c>
      <c r="AH125" t="s">
        <v>48</v>
      </c>
      <c r="AI125" t="s">
        <v>48</v>
      </c>
      <c r="AL125" t="s">
        <v>48</v>
      </c>
      <c r="AN125" t="s">
        <v>1496</v>
      </c>
      <c r="AO125" t="s">
        <v>48</v>
      </c>
      <c r="AP125" t="s">
        <v>1495</v>
      </c>
      <c r="AQ125" t="s">
        <v>1495</v>
      </c>
      <c r="AV125" t="s">
        <v>48</v>
      </c>
      <c r="AW125" t="s">
        <v>403</v>
      </c>
      <c r="AX125" s="2">
        <v>6</v>
      </c>
      <c r="AY125" s="2">
        <v>6</v>
      </c>
      <c r="BC125">
        <f>SUM(cna_product_database_catalog_website[[#This Row],[Box Length (cm)]]*cna_product_database_catalog_website[[#This Row],[Box Width (cm)]]*cna_product_database_catalog_website[[#This Row],[Box Height (cm)]]/1000000)</f>
        <v>0</v>
      </c>
      <c r="BD125">
        <f>SUM(cna_product_database_catalog_website[[#This Row],[Box CBM]]*35.3147)</f>
        <v>0</v>
      </c>
      <c r="BE125" t="s">
        <v>48</v>
      </c>
      <c r="BI12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25">
        <f>SUM(cna_product_database_catalog_website[[#This Row],[Carton CFT]]/61024)</f>
        <v>0</v>
      </c>
      <c r="BM125" t="s">
        <v>48</v>
      </c>
      <c r="BN125"/>
      <c r="BO125" t="s">
        <v>555</v>
      </c>
      <c r="BP125" t="s">
        <v>48</v>
      </c>
      <c r="BQ125" t="s">
        <v>48</v>
      </c>
      <c r="BS125" t="s">
        <v>556</v>
      </c>
      <c r="BT125" t="s">
        <v>1501</v>
      </c>
      <c r="BU125" t="s">
        <v>48</v>
      </c>
      <c r="BW125" t="s">
        <v>48</v>
      </c>
      <c r="BX125" t="s">
        <v>48</v>
      </c>
      <c r="BY125" t="s">
        <v>48</v>
      </c>
      <c r="BZ125" t="s">
        <v>48</v>
      </c>
      <c r="CA125" t="s">
        <v>48</v>
      </c>
      <c r="CB125" t="s">
        <v>48</v>
      </c>
      <c r="CC125" t="s">
        <v>48</v>
      </c>
      <c r="CD125" t="s">
        <v>48</v>
      </c>
      <c r="CE125" t="s">
        <v>48</v>
      </c>
      <c r="CF125" t="s">
        <v>48</v>
      </c>
      <c r="CG125" t="s">
        <v>48</v>
      </c>
      <c r="CH125" t="s">
        <v>48</v>
      </c>
      <c r="CI125" t="s">
        <v>48</v>
      </c>
      <c r="CJ125" t="s">
        <v>48</v>
      </c>
    </row>
    <row r="126" spans="1:88" s="4" customFormat="1" x14ac:dyDescent="0.25">
      <c r="A126" s="4" t="s">
        <v>2105</v>
      </c>
      <c r="B126" s="4" t="s">
        <v>2074</v>
      </c>
      <c r="C126" s="4" t="s">
        <v>2094</v>
      </c>
      <c r="D126" s="4" t="str">
        <f>cna_product_database_catalog_website[[#This Row],[MainCategory]]&amp;"&gt;"&amp;cna_product_database_catalog_website[[#This Row],[SubCategory1]]&amp;"&gt;"&amp;cna_product_database_catalog_website[[#This Row],[SubCategory2]]</f>
        <v>Flush Mounts&gt;Helen&gt;15" Helen Series (Gold Black)</v>
      </c>
      <c r="E126" s="4">
        <v>460</v>
      </c>
      <c r="F126" s="4" t="s">
        <v>1835</v>
      </c>
      <c r="G126" s="5">
        <v>601</v>
      </c>
      <c r="H126" s="9">
        <v>35</v>
      </c>
      <c r="I126" s="4" t="s">
        <v>1835</v>
      </c>
      <c r="J126" s="4" t="s">
        <v>1835</v>
      </c>
      <c r="K126" s="4" t="s">
        <v>1838</v>
      </c>
      <c r="L126" t="s">
        <v>2011</v>
      </c>
      <c r="M126" s="12" t="str">
        <f>HYPERLINK(cna_product_database_catalog_website[[#This Row],[Spec Sheet Link]], cna_product_database_catalog_website[[#Headers],[Spec Sheet Link]])</f>
        <v>Spec Sheet Link</v>
      </c>
      <c r="N126" t="s">
        <v>47</v>
      </c>
      <c r="O126" s="5">
        <v>1</v>
      </c>
      <c r="P126" s="5">
        <v>1</v>
      </c>
      <c r="Q126" s="4" t="s">
        <v>935</v>
      </c>
      <c r="R126" s="4" t="s">
        <v>53</v>
      </c>
      <c r="S126" s="4" t="s">
        <v>1565</v>
      </c>
      <c r="T126" s="4" t="s">
        <v>1843</v>
      </c>
      <c r="U126" s="4" t="s">
        <v>400</v>
      </c>
      <c r="W126" s="4" t="s">
        <v>420</v>
      </c>
      <c r="X126" s="4" t="s">
        <v>1844</v>
      </c>
      <c r="Y126" s="5" t="s">
        <v>1012</v>
      </c>
      <c r="Z126" s="5">
        <v>80</v>
      </c>
      <c r="AA126" s="5" t="s">
        <v>60</v>
      </c>
      <c r="AB126" s="6" t="s">
        <v>1047</v>
      </c>
      <c r="AC126" s="6" t="s">
        <v>551</v>
      </c>
      <c r="AD126" s="4" t="s">
        <v>450</v>
      </c>
      <c r="AM126" s="4" t="s">
        <v>1848</v>
      </c>
      <c r="AN126" s="4" t="s">
        <v>1849</v>
      </c>
      <c r="AO126" s="4" t="s">
        <v>1845</v>
      </c>
      <c r="AP126" s="4" t="s">
        <v>1846</v>
      </c>
      <c r="AQ126" s="4" t="s">
        <v>1847</v>
      </c>
      <c r="AW126" s="4" t="s">
        <v>403</v>
      </c>
      <c r="AX126" s="7">
        <v>5</v>
      </c>
      <c r="AY126" s="7">
        <v>5</v>
      </c>
      <c r="BC126" s="4">
        <f>SUM(cna_product_database_catalog_website[[#This Row],[Box Length (cm)]]*cna_product_database_catalog_website[[#This Row],[Box Width (cm)]]*cna_product_database_catalog_website[[#This Row],[Box Height (cm)]]/1000000)</f>
        <v>0</v>
      </c>
      <c r="BD126" s="4">
        <f>SUM(cna_product_database_catalog_website[[#This Row],[Box CBM]]*35.3147)</f>
        <v>0</v>
      </c>
      <c r="BE126" s="7"/>
      <c r="BI126" s="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26" s="4">
        <f>SUM(cna_product_database_catalog_website[[#This Row],[Carton CFT]]/61024)</f>
        <v>0</v>
      </c>
      <c r="BO126" s="4" t="s">
        <v>1850</v>
      </c>
      <c r="BS126" s="4" t="s">
        <v>556</v>
      </c>
      <c r="BT126" s="4" t="s">
        <v>1501</v>
      </c>
    </row>
    <row r="127" spans="1:88" s="4" customFormat="1" x14ac:dyDescent="0.25">
      <c r="A127" s="4" t="s">
        <v>2105</v>
      </c>
      <c r="B127" s="4" t="s">
        <v>2074</v>
      </c>
      <c r="C127" s="4" t="s">
        <v>2096</v>
      </c>
      <c r="D127" s="4" t="str">
        <f>cna_product_database_catalog_website[[#This Row],[MainCategory]]&amp;"&gt;"&amp;cna_product_database_catalog_website[[#This Row],[SubCategory1]]&amp;"&gt;"&amp;cna_product_database_catalog_website[[#This Row],[SubCategory2]]</f>
        <v>Flush Mounts&gt;Helen&gt;15" Helen Series (Black White)</v>
      </c>
      <c r="E127" s="4">
        <v>461</v>
      </c>
      <c r="F127" s="4" t="s">
        <v>1836</v>
      </c>
      <c r="G127" s="5">
        <v>602</v>
      </c>
      <c r="H127" s="9">
        <v>35</v>
      </c>
      <c r="I127" s="4" t="s">
        <v>1836</v>
      </c>
      <c r="J127" s="4" t="s">
        <v>1836</v>
      </c>
      <c r="K127" s="4" t="s">
        <v>1839</v>
      </c>
      <c r="L127" t="s">
        <v>2011</v>
      </c>
      <c r="M127" s="12" t="str">
        <f>HYPERLINK(cna_product_database_catalog_website[[#This Row],[Spec Sheet Link]], cna_product_database_catalog_website[[#Headers],[Spec Sheet Link]])</f>
        <v>Spec Sheet Link</v>
      </c>
      <c r="N127" t="s">
        <v>47</v>
      </c>
      <c r="O127" s="5">
        <v>1</v>
      </c>
      <c r="P127" s="5">
        <v>1</v>
      </c>
      <c r="Q127" s="4" t="s">
        <v>935</v>
      </c>
      <c r="R127" s="4" t="s">
        <v>53</v>
      </c>
      <c r="S127" s="4" t="s">
        <v>1841</v>
      </c>
      <c r="T127" s="4" t="s">
        <v>1843</v>
      </c>
      <c r="U127" s="4" t="s">
        <v>400</v>
      </c>
      <c r="W127" s="4" t="s">
        <v>420</v>
      </c>
      <c r="X127" s="4" t="s">
        <v>1844</v>
      </c>
      <c r="Y127" s="5" t="s">
        <v>1012</v>
      </c>
      <c r="Z127" s="5">
        <v>80</v>
      </c>
      <c r="AA127" s="5" t="s">
        <v>60</v>
      </c>
      <c r="AB127" s="6" t="s">
        <v>1047</v>
      </c>
      <c r="AC127" s="6" t="s">
        <v>551</v>
      </c>
      <c r="AD127" s="4" t="s">
        <v>450</v>
      </c>
      <c r="AM127" s="4" t="s">
        <v>1848</v>
      </c>
      <c r="AN127" s="4" t="s">
        <v>1849</v>
      </c>
      <c r="AO127" s="4" t="s">
        <v>1845</v>
      </c>
      <c r="AP127" s="4" t="s">
        <v>1846</v>
      </c>
      <c r="AQ127" s="4" t="s">
        <v>1847</v>
      </c>
      <c r="AW127" s="4" t="s">
        <v>403</v>
      </c>
      <c r="AX127" s="7">
        <v>5</v>
      </c>
      <c r="AY127" s="7">
        <v>5</v>
      </c>
      <c r="BC127" s="4">
        <f>SUM(cna_product_database_catalog_website[[#This Row],[Box Length (cm)]]*cna_product_database_catalog_website[[#This Row],[Box Width (cm)]]*cna_product_database_catalog_website[[#This Row],[Box Height (cm)]]/1000000)</f>
        <v>0</v>
      </c>
      <c r="BD127" s="4">
        <f>SUM(cna_product_database_catalog_website[[#This Row],[Box CBM]]*35.3147)</f>
        <v>0</v>
      </c>
      <c r="BE127" s="7"/>
      <c r="BI127" s="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27" s="4">
        <f>SUM(cna_product_database_catalog_website[[#This Row],[Carton CFT]]/61024)</f>
        <v>0</v>
      </c>
      <c r="BO127" s="4" t="s">
        <v>1851</v>
      </c>
      <c r="BS127" s="4" t="s">
        <v>556</v>
      </c>
      <c r="BT127" s="4" t="s">
        <v>1501</v>
      </c>
    </row>
    <row r="128" spans="1:88" s="4" customFormat="1" x14ac:dyDescent="0.25">
      <c r="A128" s="4" t="s">
        <v>2105</v>
      </c>
      <c r="B128" s="4" t="s">
        <v>2074</v>
      </c>
      <c r="C128" s="4" t="s">
        <v>2095</v>
      </c>
      <c r="D128" s="4" t="str">
        <f>cna_product_database_catalog_website[[#This Row],[MainCategory]]&amp;"&gt;"&amp;cna_product_database_catalog_website[[#This Row],[SubCategory1]]&amp;"&gt;"&amp;cna_product_database_catalog_website[[#This Row],[SubCategory2]]</f>
        <v>Flush Mounts&gt;Helen&gt;15" Helen Series (Gold White)</v>
      </c>
      <c r="E128" s="4">
        <v>462</v>
      </c>
      <c r="F128" s="4" t="s">
        <v>1837</v>
      </c>
      <c r="G128" s="5">
        <v>603</v>
      </c>
      <c r="H128" s="9">
        <v>35</v>
      </c>
      <c r="I128" s="4" t="s">
        <v>1837</v>
      </c>
      <c r="J128" s="4" t="s">
        <v>1837</v>
      </c>
      <c r="K128" s="4" t="s">
        <v>1840</v>
      </c>
      <c r="L128" t="s">
        <v>2011</v>
      </c>
      <c r="M128" s="12" t="str">
        <f>HYPERLINK(cna_product_database_catalog_website[[#This Row],[Spec Sheet Link]], cna_product_database_catalog_website[[#Headers],[Spec Sheet Link]])</f>
        <v>Spec Sheet Link</v>
      </c>
      <c r="N128" t="s">
        <v>47</v>
      </c>
      <c r="O128" s="5">
        <v>1</v>
      </c>
      <c r="P128" s="5">
        <v>1</v>
      </c>
      <c r="Q128" s="4" t="s">
        <v>935</v>
      </c>
      <c r="R128" s="4" t="s">
        <v>53</v>
      </c>
      <c r="S128" s="4" t="s">
        <v>1842</v>
      </c>
      <c r="T128" s="4" t="s">
        <v>1843</v>
      </c>
      <c r="U128" s="4" t="s">
        <v>400</v>
      </c>
      <c r="W128" s="4" t="s">
        <v>420</v>
      </c>
      <c r="X128" s="4" t="s">
        <v>1844</v>
      </c>
      <c r="Y128" s="5" t="s">
        <v>1012</v>
      </c>
      <c r="Z128" s="5">
        <v>80</v>
      </c>
      <c r="AA128" s="5" t="s">
        <v>60</v>
      </c>
      <c r="AB128" s="6" t="s">
        <v>1047</v>
      </c>
      <c r="AC128" s="6" t="s">
        <v>551</v>
      </c>
      <c r="AD128" s="4" t="s">
        <v>450</v>
      </c>
      <c r="AM128" s="4" t="s">
        <v>1848</v>
      </c>
      <c r="AN128" s="4" t="s">
        <v>1849</v>
      </c>
      <c r="AO128" s="4" t="s">
        <v>1845</v>
      </c>
      <c r="AP128" s="4" t="s">
        <v>1846</v>
      </c>
      <c r="AQ128" s="4" t="s">
        <v>1847</v>
      </c>
      <c r="AW128" s="4" t="s">
        <v>403</v>
      </c>
      <c r="AX128" s="7">
        <v>5</v>
      </c>
      <c r="AY128" s="7">
        <v>5</v>
      </c>
      <c r="BC128" s="4">
        <f>SUM(cna_product_database_catalog_website[[#This Row],[Box Length (cm)]]*cna_product_database_catalog_website[[#This Row],[Box Width (cm)]]*cna_product_database_catalog_website[[#This Row],[Box Height (cm)]]/1000000)</f>
        <v>0</v>
      </c>
      <c r="BD128" s="4">
        <f>SUM(cna_product_database_catalog_website[[#This Row],[Box CBM]]*35.3147)</f>
        <v>0</v>
      </c>
      <c r="BE128" s="7"/>
      <c r="BI128" s="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28" s="4">
        <f>SUM(cna_product_database_catalog_website[[#This Row],[Carton CFT]]/61024)</f>
        <v>0</v>
      </c>
      <c r="BO128" s="4" t="s">
        <v>1852</v>
      </c>
      <c r="BS128" s="4" t="s">
        <v>556</v>
      </c>
      <c r="BT128" s="4" t="s">
        <v>1501</v>
      </c>
    </row>
    <row r="129" spans="1:88" x14ac:dyDescent="0.25">
      <c r="A129" s="4" t="s">
        <v>2105</v>
      </c>
      <c r="B129" s="4" t="s">
        <v>2076</v>
      </c>
      <c r="C129" s="4" t="s">
        <v>1249</v>
      </c>
      <c r="D129" s="4" t="str">
        <f>cna_product_database_catalog_website[[#This Row],[MainCategory]]&amp;"&gt;"&amp;cna_product_database_catalog_website[[#This Row],[SubCategory1]]&amp;"&gt;"&amp;cna_product_database_catalog_website[[#This Row],[SubCategory2]]</f>
        <v>Flush Mounts&gt;Sensor&gt;6" Motion Sensor Disk</v>
      </c>
      <c r="E129">
        <v>470</v>
      </c>
      <c r="F129" t="s">
        <v>533</v>
      </c>
      <c r="G129" s="3">
        <v>978</v>
      </c>
      <c r="H129" s="8">
        <v>13.5</v>
      </c>
      <c r="I129" t="s">
        <v>533</v>
      </c>
      <c r="J129" t="s">
        <v>533</v>
      </c>
      <c r="K129" t="s">
        <v>534</v>
      </c>
      <c r="L129" t="s">
        <v>535</v>
      </c>
      <c r="M129" s="12" t="str">
        <f>HYPERLINK(cna_product_database_catalog_website[[#This Row],[Spec Sheet Link]], cna_product_database_catalog_website[[#Headers],[Spec Sheet Link]])</f>
        <v>Spec Sheet Link</v>
      </c>
      <c r="N129" t="s">
        <v>47</v>
      </c>
      <c r="O129" s="3">
        <v>1</v>
      </c>
      <c r="P129" s="3">
        <v>1</v>
      </c>
      <c r="Q129" t="s">
        <v>364</v>
      </c>
      <c r="R129" t="s">
        <v>53</v>
      </c>
      <c r="S129" t="s">
        <v>304</v>
      </c>
      <c r="T129" t="s">
        <v>507</v>
      </c>
      <c r="U129" t="s">
        <v>400</v>
      </c>
      <c r="V129" t="s">
        <v>48</v>
      </c>
      <c r="W129" t="s">
        <v>420</v>
      </c>
      <c r="X129" t="s">
        <v>78</v>
      </c>
      <c r="Y129" s="3" t="s">
        <v>48</v>
      </c>
      <c r="Z129" s="3" t="s">
        <v>1006</v>
      </c>
      <c r="AA129" s="3" t="s">
        <v>96</v>
      </c>
      <c r="AB129" s="1" t="s">
        <v>1047</v>
      </c>
      <c r="AC129" s="1" t="s">
        <v>551</v>
      </c>
      <c r="AD129" t="s">
        <v>450</v>
      </c>
      <c r="AE129"/>
      <c r="AF129" t="s">
        <v>48</v>
      </c>
      <c r="AG129" t="s">
        <v>48</v>
      </c>
      <c r="AH129" t="s">
        <v>48</v>
      </c>
      <c r="AI129" t="s">
        <v>48</v>
      </c>
      <c r="AL129" t="s">
        <v>48</v>
      </c>
      <c r="AO129" t="s">
        <v>48</v>
      </c>
      <c r="AP129" t="s">
        <v>48</v>
      </c>
      <c r="AQ129" t="s">
        <v>48</v>
      </c>
      <c r="AV129" t="s">
        <v>48</v>
      </c>
      <c r="AW129" t="s">
        <v>403</v>
      </c>
      <c r="AX129" s="2" t="s">
        <v>365</v>
      </c>
      <c r="AY129" s="2" t="s">
        <v>365</v>
      </c>
      <c r="BC129">
        <f>SUM(cna_product_database_catalog_website[[#This Row],[Box Length (cm)]]*cna_product_database_catalog_website[[#This Row],[Box Width (cm)]]*cna_product_database_catalog_website[[#This Row],[Box Height (cm)]]/1000000)</f>
        <v>0</v>
      </c>
      <c r="BD129">
        <f>SUM(cna_product_database_catalog_website[[#This Row],[Box CBM]]*35.3147)</f>
        <v>0</v>
      </c>
      <c r="BE129" t="s">
        <v>48</v>
      </c>
      <c r="BI12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29">
        <f>SUM(cna_product_database_catalog_website[[#This Row],[Carton CFT]]/61024)</f>
        <v>0</v>
      </c>
      <c r="BM129" t="s">
        <v>48</v>
      </c>
      <c r="BN129" t="s">
        <v>48</v>
      </c>
      <c r="BO129" t="s">
        <v>510</v>
      </c>
      <c r="BP129" t="s">
        <v>48</v>
      </c>
      <c r="BQ129" t="s">
        <v>48</v>
      </c>
      <c r="BS129" t="s">
        <v>48</v>
      </c>
      <c r="BT129" t="s">
        <v>48</v>
      </c>
      <c r="BU129" t="s">
        <v>48</v>
      </c>
      <c r="BW129" t="s">
        <v>48</v>
      </c>
      <c r="BX129" t="s">
        <v>48</v>
      </c>
      <c r="BY129" t="s">
        <v>48</v>
      </c>
      <c r="BZ129" t="s">
        <v>32</v>
      </c>
      <c r="CA129" t="s">
        <v>1681</v>
      </c>
      <c r="CB129" t="s">
        <v>48</v>
      </c>
      <c r="CC129" t="s">
        <v>48</v>
      </c>
      <c r="CD129" t="s">
        <v>48</v>
      </c>
      <c r="CE129" t="s">
        <v>48</v>
      </c>
      <c r="CF129" t="s">
        <v>48</v>
      </c>
      <c r="CG129" t="s">
        <v>48</v>
      </c>
      <c r="CH129" t="s">
        <v>48</v>
      </c>
      <c r="CI129" t="s">
        <v>48</v>
      </c>
      <c r="CJ129" t="s">
        <v>48</v>
      </c>
    </row>
    <row r="130" spans="1:88" s="4" customFormat="1" x14ac:dyDescent="0.25">
      <c r="A130" s="4" t="s">
        <v>2105</v>
      </c>
      <c r="B130" s="4" t="s">
        <v>2076</v>
      </c>
      <c r="C130" s="4" t="s">
        <v>2102</v>
      </c>
      <c r="D130" s="4" t="str">
        <f>cna_product_database_catalog_website[[#This Row],[MainCategory]]&amp;"&gt;"&amp;cna_product_database_catalog_website[[#This Row],[SubCategory1]]&amp;"&gt;"&amp;cna_product_database_catalog_website[[#This Row],[SubCategory2]]</f>
        <v>Flush Mounts&gt;Sensor&gt;9" 5CCT Motion PhotoPIR Disk</v>
      </c>
      <c r="E130" s="4">
        <v>471</v>
      </c>
      <c r="F130" s="4" t="s">
        <v>1675</v>
      </c>
      <c r="G130" s="5">
        <v>1055</v>
      </c>
      <c r="H130" s="9">
        <v>23</v>
      </c>
      <c r="I130" s="4" t="s">
        <v>1675</v>
      </c>
      <c r="J130" s="4" t="s">
        <v>1675</v>
      </c>
      <c r="K130" s="4" t="s">
        <v>1674</v>
      </c>
      <c r="L130" s="4" t="s">
        <v>1673</v>
      </c>
      <c r="M130" s="12" t="str">
        <f>HYPERLINK(cna_product_database_catalog_website[[#This Row],[Spec Sheet Link]], cna_product_database_catalog_website[[#Headers],[Spec Sheet Link]])</f>
        <v>Spec Sheet Link</v>
      </c>
      <c r="N130" s="4" t="s">
        <v>47</v>
      </c>
      <c r="O130" s="5">
        <v>1</v>
      </c>
      <c r="P130" s="5">
        <v>1</v>
      </c>
      <c r="Q130" s="4" t="s">
        <v>687</v>
      </c>
      <c r="R130" s="4" t="s">
        <v>53</v>
      </c>
      <c r="S130" s="4" t="s">
        <v>1676</v>
      </c>
      <c r="T130" s="4" t="s">
        <v>1093</v>
      </c>
      <c r="U130" s="4" t="s">
        <v>400</v>
      </c>
      <c r="V130" s="4" t="s">
        <v>48</v>
      </c>
      <c r="W130" s="4" t="s">
        <v>420</v>
      </c>
      <c r="X130" s="4" t="s">
        <v>244</v>
      </c>
      <c r="Y130" s="5" t="s">
        <v>1012</v>
      </c>
      <c r="Z130" s="5">
        <v>80</v>
      </c>
      <c r="AA130" s="5" t="s">
        <v>96</v>
      </c>
      <c r="AB130" s="6" t="s">
        <v>1047</v>
      </c>
      <c r="AC130" s="1" t="s">
        <v>551</v>
      </c>
      <c r="AD130" t="s">
        <v>450</v>
      </c>
      <c r="AE130"/>
      <c r="AF130" s="4" t="s">
        <v>48</v>
      </c>
      <c r="AG130" s="4" t="s">
        <v>48</v>
      </c>
      <c r="AH130" s="4" t="s">
        <v>48</v>
      </c>
      <c r="AI130" s="4" t="s">
        <v>48</v>
      </c>
      <c r="AL130" s="4" t="s">
        <v>48</v>
      </c>
      <c r="AM130" s="4" t="s">
        <v>190</v>
      </c>
      <c r="AN130" s="4" t="s">
        <v>191</v>
      </c>
      <c r="AO130" s="4" t="s">
        <v>1677</v>
      </c>
      <c r="AP130" s="4" t="s">
        <v>1678</v>
      </c>
      <c r="AQ130" s="4" t="s">
        <v>48</v>
      </c>
      <c r="AV130" s="4" t="s">
        <v>48</v>
      </c>
      <c r="AW130" s="4" t="s">
        <v>633</v>
      </c>
      <c r="AX130" s="7" t="s">
        <v>365</v>
      </c>
      <c r="AY130" s="7" t="s">
        <v>365</v>
      </c>
      <c r="BC130" s="4">
        <f>SUM(cna_product_database_catalog_website[[#This Row],[Box Length (cm)]]*cna_product_database_catalog_website[[#This Row],[Box Width (cm)]]*cna_product_database_catalog_website[[#This Row],[Box Height (cm)]]/1000000)</f>
        <v>0</v>
      </c>
      <c r="BD130" s="4">
        <f>SUM(cna_product_database_catalog_website[[#This Row],[Box CBM]]*35.3147)</f>
        <v>0</v>
      </c>
      <c r="BE130" s="4" t="s">
        <v>48</v>
      </c>
      <c r="BI130" s="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30" s="4">
        <f>SUM(cna_product_database_catalog_website[[#This Row],[Carton CFT]]/61024)</f>
        <v>0</v>
      </c>
      <c r="BM130" s="4" t="s">
        <v>48</v>
      </c>
      <c r="BN130" s="4" t="s">
        <v>48</v>
      </c>
      <c r="BO130" s="4" t="s">
        <v>510</v>
      </c>
      <c r="BP130" s="4" t="s">
        <v>48</v>
      </c>
      <c r="BQ130" s="4" t="s">
        <v>48</v>
      </c>
      <c r="BS130" s="4" t="s">
        <v>48</v>
      </c>
      <c r="BT130" s="4" t="s">
        <v>48</v>
      </c>
      <c r="BU130" s="4" t="s">
        <v>48</v>
      </c>
      <c r="BW130" s="4" t="s">
        <v>48</v>
      </c>
      <c r="BX130" s="4" t="s">
        <v>48</v>
      </c>
      <c r="BY130" s="4" t="s">
        <v>48</v>
      </c>
      <c r="BZ130" s="4" t="s">
        <v>1679</v>
      </c>
      <c r="CA130" s="4" t="s">
        <v>1680</v>
      </c>
      <c r="CB130" s="4" t="s">
        <v>48</v>
      </c>
      <c r="CC130" s="4" t="s">
        <v>48</v>
      </c>
      <c r="CD130" s="4" t="s">
        <v>48</v>
      </c>
      <c r="CE130" s="4" t="s">
        <v>48</v>
      </c>
      <c r="CF130" s="4" t="s">
        <v>48</v>
      </c>
      <c r="CG130" s="4" t="s">
        <v>48</v>
      </c>
      <c r="CH130" s="4" t="s">
        <v>48</v>
      </c>
      <c r="CI130" s="4" t="s">
        <v>48</v>
      </c>
      <c r="CJ130" s="4" t="s">
        <v>48</v>
      </c>
    </row>
    <row r="131" spans="1:88" x14ac:dyDescent="0.25">
      <c r="A131" s="4" t="s">
        <v>2105</v>
      </c>
      <c r="B131" s="4" t="s">
        <v>2091</v>
      </c>
      <c r="C131" s="4" t="s">
        <v>2089</v>
      </c>
      <c r="D131" s="4" t="str">
        <f>cna_product_database_catalog_website[[#This Row],[MainCategory]]&amp;"&gt;"&amp;cna_product_database_catalog_website[[#This Row],[SubCategory1]]&amp;"&gt;"&amp;cna_product_database_catalog_website[[#This Row],[SubCategory2]]</f>
        <v>Flush Mounts&gt;Square&gt;4" Square DSQ Series</v>
      </c>
      <c r="E131">
        <v>475</v>
      </c>
      <c r="F131" t="s">
        <v>527</v>
      </c>
      <c r="G131" s="3">
        <v>952</v>
      </c>
      <c r="H131" s="8">
        <v>11</v>
      </c>
      <c r="I131" t="s">
        <v>527</v>
      </c>
      <c r="J131" t="s">
        <v>1282</v>
      </c>
      <c r="K131" t="s">
        <v>528</v>
      </c>
      <c r="L131" t="s">
        <v>529</v>
      </c>
      <c r="M131" s="12" t="str">
        <f>HYPERLINK(cna_product_database_catalog_website[[#This Row],[Spec Sheet Link]], cna_product_database_catalog_website[[#Headers],[Spec Sheet Link]])</f>
        <v>Spec Sheet Link</v>
      </c>
      <c r="N131" t="s">
        <v>47</v>
      </c>
      <c r="O131" s="3">
        <v>1</v>
      </c>
      <c r="P131" s="3">
        <v>1</v>
      </c>
      <c r="Q131" t="s">
        <v>364</v>
      </c>
      <c r="R131" t="s">
        <v>53</v>
      </c>
      <c r="S131" t="s">
        <v>304</v>
      </c>
      <c r="T131" t="s">
        <v>507</v>
      </c>
      <c r="U131" t="s">
        <v>400</v>
      </c>
      <c r="V131" t="s">
        <v>48</v>
      </c>
      <c r="W131" t="s">
        <v>530</v>
      </c>
      <c r="X131" t="s">
        <v>78</v>
      </c>
      <c r="Y131" s="3" t="s">
        <v>1010</v>
      </c>
      <c r="Z131" s="3" t="s">
        <v>1006</v>
      </c>
      <c r="AA131" s="3" t="s">
        <v>509</v>
      </c>
      <c r="AB131" s="1" t="s">
        <v>1009</v>
      </c>
      <c r="AC131" s="1" t="s">
        <v>434</v>
      </c>
      <c r="AD131" t="s">
        <v>450</v>
      </c>
      <c r="AE131"/>
      <c r="AF131" t="s">
        <v>48</v>
      </c>
      <c r="AG131" t="s">
        <v>1595</v>
      </c>
      <c r="AH131" t="s">
        <v>465</v>
      </c>
      <c r="AI131" t="s">
        <v>48</v>
      </c>
      <c r="AJ131" t="s">
        <v>1595</v>
      </c>
      <c r="AK131" t="s">
        <v>465</v>
      </c>
      <c r="AL131" t="s">
        <v>48</v>
      </c>
      <c r="AM131" t="s">
        <v>1597</v>
      </c>
      <c r="AN131" t="s">
        <v>1137</v>
      </c>
      <c r="AO131" t="s">
        <v>48</v>
      </c>
      <c r="AP131" t="s">
        <v>48</v>
      </c>
      <c r="AR131">
        <v>410</v>
      </c>
      <c r="AS131">
        <v>0.9</v>
      </c>
      <c r="AV131" t="s">
        <v>48</v>
      </c>
      <c r="AW131" t="s">
        <v>403</v>
      </c>
      <c r="AX131" s="2" t="s">
        <v>365</v>
      </c>
      <c r="AY131" s="2" t="s">
        <v>365</v>
      </c>
      <c r="BC131">
        <f>SUM(cna_product_database_catalog_website[[#This Row],[Box Length (cm)]]*cna_product_database_catalog_website[[#This Row],[Box Width (cm)]]*cna_product_database_catalog_website[[#This Row],[Box Height (cm)]]/1000000)</f>
        <v>0</v>
      </c>
      <c r="BD131">
        <f>SUM(cna_product_database_catalog_website[[#This Row],[Box CBM]]*35.3147)</f>
        <v>0</v>
      </c>
      <c r="BE131" t="s">
        <v>48</v>
      </c>
      <c r="BI13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31">
        <f>SUM(cna_product_database_catalog_website[[#This Row],[Carton CFT]]/61024)</f>
        <v>0</v>
      </c>
      <c r="BM131" t="s">
        <v>48</v>
      </c>
      <c r="BN131" t="s">
        <v>509</v>
      </c>
      <c r="BO131" t="s">
        <v>510</v>
      </c>
      <c r="BP131" t="s">
        <v>48</v>
      </c>
      <c r="BQ131" t="s">
        <v>48</v>
      </c>
      <c r="BS131" t="s">
        <v>511</v>
      </c>
      <c r="BT131" t="s">
        <v>48</v>
      </c>
      <c r="BU131" t="s">
        <v>48</v>
      </c>
      <c r="BW131" t="s">
        <v>48</v>
      </c>
      <c r="BX131" t="s">
        <v>48</v>
      </c>
      <c r="BY131" t="s">
        <v>48</v>
      </c>
      <c r="BZ131" t="s">
        <v>48</v>
      </c>
      <c r="CA131" t="s">
        <v>48</v>
      </c>
      <c r="CB131" t="s">
        <v>48</v>
      </c>
      <c r="CC131" t="s">
        <v>48</v>
      </c>
      <c r="CD131" t="s">
        <v>48</v>
      </c>
      <c r="CE131" t="s">
        <v>48</v>
      </c>
      <c r="CF131" t="s">
        <v>48</v>
      </c>
      <c r="CG131" t="s">
        <v>48</v>
      </c>
      <c r="CH131" t="s">
        <v>48</v>
      </c>
      <c r="CI131" t="s">
        <v>48</v>
      </c>
      <c r="CJ131" t="s">
        <v>48</v>
      </c>
    </row>
    <row r="132" spans="1:88" x14ac:dyDescent="0.25">
      <c r="A132" s="4" t="s">
        <v>2105</v>
      </c>
      <c r="B132" s="4" t="s">
        <v>2091</v>
      </c>
      <c r="C132" s="4" t="s">
        <v>2090</v>
      </c>
      <c r="D132" s="4" t="str">
        <f>cna_product_database_catalog_website[[#This Row],[MainCategory]]&amp;"&gt;"&amp;cna_product_database_catalog_website[[#This Row],[SubCategory1]]&amp;"&gt;"&amp;cna_product_database_catalog_website[[#This Row],[SubCategory2]]</f>
        <v>Flush Mounts&gt;Square&gt;6" Square DSQ Series</v>
      </c>
      <c r="E132">
        <v>476</v>
      </c>
      <c r="F132" t="s">
        <v>531</v>
      </c>
      <c r="G132" s="3">
        <v>953</v>
      </c>
      <c r="H132" s="8">
        <v>15</v>
      </c>
      <c r="I132" t="s">
        <v>531</v>
      </c>
      <c r="J132" t="s">
        <v>1283</v>
      </c>
      <c r="K132" t="s">
        <v>532</v>
      </c>
      <c r="L132" t="s">
        <v>529</v>
      </c>
      <c r="M132" s="12" t="str">
        <f>HYPERLINK(cna_product_database_catalog_website[[#This Row],[Spec Sheet Link]], cna_product_database_catalog_website[[#Headers],[Spec Sheet Link]])</f>
        <v>Spec Sheet Link</v>
      </c>
      <c r="N132" t="s">
        <v>47</v>
      </c>
      <c r="O132" s="3">
        <v>1</v>
      </c>
      <c r="P132" s="3">
        <v>1</v>
      </c>
      <c r="Q132" t="s">
        <v>370</v>
      </c>
      <c r="R132" t="s">
        <v>53</v>
      </c>
      <c r="S132" t="s">
        <v>512</v>
      </c>
      <c r="T132" t="s">
        <v>507</v>
      </c>
      <c r="U132" t="s">
        <v>400</v>
      </c>
      <c r="V132" t="s">
        <v>48</v>
      </c>
      <c r="W132" t="s">
        <v>508</v>
      </c>
      <c r="X132" t="s">
        <v>78</v>
      </c>
      <c r="Y132" s="3" t="s">
        <v>1010</v>
      </c>
      <c r="Z132" s="3" t="s">
        <v>1006</v>
      </c>
      <c r="AA132" s="3" t="s">
        <v>509</v>
      </c>
      <c r="AB132" s="1" t="s">
        <v>1009</v>
      </c>
      <c r="AC132" s="1" t="s">
        <v>434</v>
      </c>
      <c r="AD132" t="s">
        <v>450</v>
      </c>
      <c r="AE132"/>
      <c r="AF132" t="s">
        <v>48</v>
      </c>
      <c r="AG132" t="s">
        <v>1596</v>
      </c>
      <c r="AH132" t="s">
        <v>503</v>
      </c>
      <c r="AI132" t="s">
        <v>48</v>
      </c>
      <c r="AJ132" t="s">
        <v>1596</v>
      </c>
      <c r="AK132" t="s">
        <v>503</v>
      </c>
      <c r="AL132" t="s">
        <v>48</v>
      </c>
      <c r="AN132" t="s">
        <v>503</v>
      </c>
      <c r="AO132" t="s">
        <v>48</v>
      </c>
      <c r="AP132" t="s">
        <v>48</v>
      </c>
      <c r="AQ132" t="s">
        <v>48</v>
      </c>
      <c r="AR132">
        <v>35</v>
      </c>
      <c r="AS132">
        <v>0.08</v>
      </c>
      <c r="AV132" t="s">
        <v>48</v>
      </c>
      <c r="AW132" t="s">
        <v>403</v>
      </c>
      <c r="AX132" s="2" t="s">
        <v>365</v>
      </c>
      <c r="AY132" s="2" t="s">
        <v>365</v>
      </c>
      <c r="BC132">
        <f>SUM(cna_product_database_catalog_website[[#This Row],[Box Length (cm)]]*cna_product_database_catalog_website[[#This Row],[Box Width (cm)]]*cna_product_database_catalog_website[[#This Row],[Box Height (cm)]]/1000000)</f>
        <v>0</v>
      </c>
      <c r="BD132">
        <f>SUM(cna_product_database_catalog_website[[#This Row],[Box CBM]]*35.3147)</f>
        <v>0</v>
      </c>
      <c r="BE132" t="s">
        <v>48</v>
      </c>
      <c r="BI13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32">
        <f>SUM(cna_product_database_catalog_website[[#This Row],[Carton CFT]]/61024)</f>
        <v>0</v>
      </c>
      <c r="BM132" t="s">
        <v>48</v>
      </c>
      <c r="BN132" t="s">
        <v>509</v>
      </c>
      <c r="BO132" t="s">
        <v>510</v>
      </c>
      <c r="BP132" t="s">
        <v>48</v>
      </c>
      <c r="BQ132" t="s">
        <v>48</v>
      </c>
      <c r="BS132" t="s">
        <v>511</v>
      </c>
      <c r="BT132" t="s">
        <v>48</v>
      </c>
      <c r="BU132" t="s">
        <v>48</v>
      </c>
      <c r="BW132" t="s">
        <v>48</v>
      </c>
      <c r="BX132" t="s">
        <v>48</v>
      </c>
      <c r="BY132" t="s">
        <v>48</v>
      </c>
      <c r="BZ132" t="s">
        <v>48</v>
      </c>
      <c r="CA132" t="s">
        <v>48</v>
      </c>
      <c r="CB132" t="s">
        <v>48</v>
      </c>
      <c r="CC132" t="s">
        <v>48</v>
      </c>
      <c r="CD132" t="s">
        <v>48</v>
      </c>
      <c r="CE132" t="s">
        <v>48</v>
      </c>
      <c r="CF132" t="s">
        <v>48</v>
      </c>
      <c r="CG132" t="s">
        <v>48</v>
      </c>
      <c r="CH132" t="s">
        <v>48</v>
      </c>
      <c r="CI132" t="s">
        <v>48</v>
      </c>
      <c r="CJ132" t="s">
        <v>48</v>
      </c>
    </row>
    <row r="133" spans="1:88" x14ac:dyDescent="0.25">
      <c r="A133" s="4" t="s">
        <v>2105</v>
      </c>
      <c r="B133" s="4" t="s">
        <v>2067</v>
      </c>
      <c r="C133" s="4" t="s">
        <v>2097</v>
      </c>
      <c r="D133" s="4" t="str">
        <f>cna_product_database_catalog_website[[#This Row],[MainCategory]]&amp;"&gt;"&amp;cna_product_database_catalog_website[[#This Row],[SubCategory1]]&amp;"&gt;"&amp;cna_product_database_catalog_website[[#This Row],[SubCategory2]]</f>
        <v>Flush Mounts&gt;Accessories&gt;DPS-4 Trim - Black</v>
      </c>
      <c r="E133">
        <v>480</v>
      </c>
      <c r="F133" t="s">
        <v>404</v>
      </c>
      <c r="G133" s="3">
        <v>1082</v>
      </c>
      <c r="H133" s="8">
        <v>2.5</v>
      </c>
      <c r="I133" t="s">
        <v>404</v>
      </c>
      <c r="J133" t="s">
        <v>1256</v>
      </c>
      <c r="K133" t="s">
        <v>405</v>
      </c>
      <c r="L133" t="s">
        <v>406</v>
      </c>
      <c r="M133" s="12" t="str">
        <f>HYPERLINK(cna_product_database_catalog_website[[#This Row],[Spec Sheet Link]], cna_product_database_catalog_website[[#Headers],[Spec Sheet Link]])</f>
        <v>Spec Sheet Link</v>
      </c>
      <c r="N133" t="s">
        <v>47</v>
      </c>
      <c r="O133" s="3">
        <v>1</v>
      </c>
      <c r="P133" s="3">
        <v>1</v>
      </c>
      <c r="Q133"/>
      <c r="Z133" s="3" t="s">
        <v>48</v>
      </c>
      <c r="AA133" s="3" t="s">
        <v>48</v>
      </c>
      <c r="AB133" s="1" t="s">
        <v>48</v>
      </c>
      <c r="AC133" s="1" t="s">
        <v>48</v>
      </c>
      <c r="AD133" t="s">
        <v>48</v>
      </c>
      <c r="AE133"/>
      <c r="AF133" t="s">
        <v>48</v>
      </c>
      <c r="AG133" t="s">
        <v>48</v>
      </c>
      <c r="AH133" t="s">
        <v>48</v>
      </c>
      <c r="AI133" t="s">
        <v>48</v>
      </c>
      <c r="AL133" t="s">
        <v>48</v>
      </c>
      <c r="AO133" t="s">
        <v>48</v>
      </c>
      <c r="AP133" t="s">
        <v>48</v>
      </c>
      <c r="AQ133" t="s">
        <v>48</v>
      </c>
      <c r="AV133" t="s">
        <v>48</v>
      </c>
      <c r="AW133" t="s">
        <v>48</v>
      </c>
      <c r="AX133" s="2" t="s">
        <v>169</v>
      </c>
      <c r="AY133" s="2" t="s">
        <v>169</v>
      </c>
      <c r="BC133">
        <f>SUM(cna_product_database_catalog_website[[#This Row],[Box Length (cm)]]*cna_product_database_catalog_website[[#This Row],[Box Width (cm)]]*cna_product_database_catalog_website[[#This Row],[Box Height (cm)]]/1000000)</f>
        <v>0</v>
      </c>
      <c r="BD133">
        <f>SUM(cna_product_database_catalog_website[[#This Row],[Box CBM]]*35.3147)</f>
        <v>0</v>
      </c>
      <c r="BE133" t="s">
        <v>48</v>
      </c>
      <c r="BI13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33">
        <f>SUM(cna_product_database_catalog_website[[#This Row],[Carton CFT]]/61024)</f>
        <v>0</v>
      </c>
      <c r="BM133" t="s">
        <v>48</v>
      </c>
      <c r="BN133"/>
      <c r="BO133" t="s">
        <v>1191</v>
      </c>
      <c r="BP133" t="s">
        <v>48</v>
      </c>
      <c r="BQ133" t="s">
        <v>48</v>
      </c>
      <c r="BS133" t="s">
        <v>48</v>
      </c>
      <c r="BT133" t="s">
        <v>48</v>
      </c>
      <c r="BU133" t="s">
        <v>48</v>
      </c>
      <c r="BW133" t="s">
        <v>48</v>
      </c>
      <c r="BX133" t="s">
        <v>48</v>
      </c>
      <c r="BY133" t="s">
        <v>48</v>
      </c>
      <c r="BZ133" t="s">
        <v>48</v>
      </c>
      <c r="CA133" t="s">
        <v>48</v>
      </c>
      <c r="CB133" t="s">
        <v>48</v>
      </c>
      <c r="CC133" t="s">
        <v>48</v>
      </c>
      <c r="CD133" t="s">
        <v>48</v>
      </c>
      <c r="CE133" t="s">
        <v>48</v>
      </c>
      <c r="CF133" t="s">
        <v>48</v>
      </c>
      <c r="CG133" t="s">
        <v>48</v>
      </c>
      <c r="CH133" t="s">
        <v>48</v>
      </c>
      <c r="CI133" t="s">
        <v>48</v>
      </c>
      <c r="CJ133" t="s">
        <v>48</v>
      </c>
    </row>
    <row r="134" spans="1:88" x14ac:dyDescent="0.25">
      <c r="A134" s="4" t="s">
        <v>2105</v>
      </c>
      <c r="B134" s="4" t="s">
        <v>2067</v>
      </c>
      <c r="C134" s="4" t="s">
        <v>2098</v>
      </c>
      <c r="D134" s="4" t="str">
        <f>cna_product_database_catalog_website[[#This Row],[MainCategory]]&amp;"&gt;"&amp;cna_product_database_catalog_website[[#This Row],[SubCategory1]]&amp;"&gt;"&amp;cna_product_database_catalog_website[[#This Row],[SubCategory2]]</f>
        <v>Flush Mounts&gt;Accessories&gt;DPS-4 Trim - Brushed Nickel</v>
      </c>
      <c r="E134">
        <v>481</v>
      </c>
      <c r="F134" t="s">
        <v>410</v>
      </c>
      <c r="G134" s="3">
        <v>1083</v>
      </c>
      <c r="H134" s="8">
        <v>3</v>
      </c>
      <c r="I134" t="s">
        <v>410</v>
      </c>
      <c r="J134" t="s">
        <v>1257</v>
      </c>
      <c r="K134" t="s">
        <v>411</v>
      </c>
      <c r="L134" t="s">
        <v>406</v>
      </c>
      <c r="M134" s="12" t="str">
        <f>HYPERLINK(cna_product_database_catalog_website[[#This Row],[Spec Sheet Link]], cna_product_database_catalog_website[[#Headers],[Spec Sheet Link]])</f>
        <v>Spec Sheet Link</v>
      </c>
      <c r="N134" t="s">
        <v>47</v>
      </c>
      <c r="O134" s="3">
        <v>1</v>
      </c>
      <c r="P134" s="3">
        <v>1</v>
      </c>
      <c r="Q134" t="s">
        <v>239</v>
      </c>
      <c r="R134" t="s">
        <v>53</v>
      </c>
      <c r="S134" t="s">
        <v>407</v>
      </c>
      <c r="T134" t="s">
        <v>401</v>
      </c>
      <c r="U134" t="s">
        <v>408</v>
      </c>
      <c r="V134" t="s">
        <v>48</v>
      </c>
      <c r="Z134" s="3" t="s">
        <v>48</v>
      </c>
      <c r="AA134" s="3" t="s">
        <v>48</v>
      </c>
      <c r="AB134" s="1" t="s">
        <v>48</v>
      </c>
      <c r="AC134" s="1" t="s">
        <v>48</v>
      </c>
      <c r="AD134" t="s">
        <v>48</v>
      </c>
      <c r="AE134"/>
      <c r="AF134" t="s">
        <v>48</v>
      </c>
      <c r="AG134" t="s">
        <v>48</v>
      </c>
      <c r="AH134" t="s">
        <v>48</v>
      </c>
      <c r="AI134" t="s">
        <v>48</v>
      </c>
      <c r="AL134" t="s">
        <v>48</v>
      </c>
      <c r="AO134" t="s">
        <v>48</v>
      </c>
      <c r="AP134" t="s">
        <v>48</v>
      </c>
      <c r="AQ134" t="s">
        <v>48</v>
      </c>
      <c r="AV134" t="s">
        <v>48</v>
      </c>
      <c r="AW134" t="s">
        <v>48</v>
      </c>
      <c r="AX134" s="2" t="s">
        <v>169</v>
      </c>
      <c r="AY134" s="2" t="s">
        <v>169</v>
      </c>
      <c r="BC134">
        <f>SUM(cna_product_database_catalog_website[[#This Row],[Box Length (cm)]]*cna_product_database_catalog_website[[#This Row],[Box Width (cm)]]*cna_product_database_catalog_website[[#This Row],[Box Height (cm)]]/1000000)</f>
        <v>0</v>
      </c>
      <c r="BD134">
        <f>SUM(cna_product_database_catalog_website[[#This Row],[Box CBM]]*35.3147)</f>
        <v>0</v>
      </c>
      <c r="BE134" t="s">
        <v>48</v>
      </c>
      <c r="BI13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34">
        <f>SUM(cna_product_database_catalog_website[[#This Row],[Carton CFT]]/61024)</f>
        <v>0</v>
      </c>
      <c r="BM134" t="s">
        <v>48</v>
      </c>
      <c r="BN134"/>
      <c r="BO134" t="s">
        <v>552</v>
      </c>
      <c r="BP134" t="s">
        <v>48</v>
      </c>
      <c r="BQ134" t="s">
        <v>48</v>
      </c>
      <c r="BS134" t="s">
        <v>48</v>
      </c>
      <c r="BT134" t="s">
        <v>48</v>
      </c>
      <c r="BU134" t="s">
        <v>48</v>
      </c>
      <c r="BW134" t="s">
        <v>48</v>
      </c>
      <c r="BX134" t="s">
        <v>48</v>
      </c>
      <c r="BY134" t="s">
        <v>48</v>
      </c>
      <c r="BZ134" t="s">
        <v>48</v>
      </c>
      <c r="CA134" t="s">
        <v>48</v>
      </c>
      <c r="CB134" t="s">
        <v>48</v>
      </c>
      <c r="CC134" t="s">
        <v>48</v>
      </c>
      <c r="CD134" t="s">
        <v>48</v>
      </c>
      <c r="CE134" t="s">
        <v>48</v>
      </c>
      <c r="CF134" t="s">
        <v>48</v>
      </c>
      <c r="CG134" t="s">
        <v>48</v>
      </c>
      <c r="CH134" t="s">
        <v>48</v>
      </c>
      <c r="CI134" t="s">
        <v>48</v>
      </c>
      <c r="CJ134" t="s">
        <v>48</v>
      </c>
    </row>
    <row r="135" spans="1:88" x14ac:dyDescent="0.25">
      <c r="A135" s="4" t="s">
        <v>2105</v>
      </c>
      <c r="B135" s="4" t="s">
        <v>2067</v>
      </c>
      <c r="C135" s="4" t="s">
        <v>2099</v>
      </c>
      <c r="D135" s="4" t="str">
        <f>cna_product_database_catalog_website[[#This Row],[MainCategory]]&amp;"&gt;"&amp;cna_product_database_catalog_website[[#This Row],[SubCategory1]]&amp;"&gt;"&amp;cna_product_database_catalog_website[[#This Row],[SubCategory2]]</f>
        <v>Flush Mounts&gt;Accessories&gt;DPS-4 Retrofit Accessory</v>
      </c>
      <c r="E135">
        <v>482</v>
      </c>
      <c r="F135" t="s">
        <v>412</v>
      </c>
      <c r="G135" s="3">
        <v>1084</v>
      </c>
      <c r="H135" s="8">
        <v>3</v>
      </c>
      <c r="I135" t="s">
        <v>412</v>
      </c>
      <c r="J135" t="s">
        <v>1258</v>
      </c>
      <c r="K135" t="s">
        <v>413</v>
      </c>
      <c r="L135" t="s">
        <v>414</v>
      </c>
      <c r="M135" s="12" t="str">
        <f>HYPERLINK(cna_product_database_catalog_website[[#This Row],[Spec Sheet Link]], cna_product_database_catalog_website[[#Headers],[Spec Sheet Link]])</f>
        <v>Spec Sheet Link</v>
      </c>
      <c r="N135" t="s">
        <v>47</v>
      </c>
      <c r="O135" s="3">
        <v>1</v>
      </c>
      <c r="P135" s="3">
        <v>1</v>
      </c>
      <c r="Q135" t="s">
        <v>239</v>
      </c>
      <c r="R135" t="s">
        <v>53</v>
      </c>
      <c r="S135" t="s">
        <v>407</v>
      </c>
      <c r="T135" t="s">
        <v>401</v>
      </c>
      <c r="U135" t="s">
        <v>408</v>
      </c>
      <c r="V135" t="s">
        <v>48</v>
      </c>
      <c r="W135" t="s">
        <v>1188</v>
      </c>
      <c r="Z135" s="3" t="s">
        <v>48</v>
      </c>
      <c r="AA135" s="3" t="s">
        <v>48</v>
      </c>
      <c r="AB135" s="1" t="s">
        <v>48</v>
      </c>
      <c r="AC135" s="1" t="s">
        <v>48</v>
      </c>
      <c r="AD135" t="s">
        <v>48</v>
      </c>
      <c r="AE135"/>
      <c r="AF135" t="s">
        <v>48</v>
      </c>
      <c r="AG135" t="s">
        <v>48</v>
      </c>
      <c r="AH135" t="s">
        <v>48</v>
      </c>
      <c r="AI135" t="s">
        <v>48</v>
      </c>
      <c r="AL135" t="s">
        <v>48</v>
      </c>
      <c r="AO135" t="s">
        <v>48</v>
      </c>
      <c r="AP135" t="s">
        <v>48</v>
      </c>
      <c r="AQ135" t="s">
        <v>48</v>
      </c>
      <c r="AR135">
        <v>1600</v>
      </c>
      <c r="AS135">
        <v>3.53</v>
      </c>
      <c r="AV135" t="s">
        <v>48</v>
      </c>
      <c r="AW135" t="s">
        <v>48</v>
      </c>
      <c r="AX135" s="2" t="s">
        <v>169</v>
      </c>
      <c r="AY135" s="2">
        <v>50</v>
      </c>
      <c r="BC135">
        <f>SUM(cna_product_database_catalog_website[[#This Row],[Box Length (cm)]]*cna_product_database_catalog_website[[#This Row],[Box Width (cm)]]*cna_product_database_catalog_website[[#This Row],[Box Height (cm)]]/1000000)</f>
        <v>0</v>
      </c>
      <c r="BD135">
        <f>SUM(cna_product_database_catalog_website[[#This Row],[Box CBM]]*35.3147)</f>
        <v>0</v>
      </c>
      <c r="BE135" t="s">
        <v>48</v>
      </c>
      <c r="BI13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35">
        <f>SUM(cna_product_database_catalog_website[[#This Row],[Carton CFT]]/61024)</f>
        <v>0</v>
      </c>
      <c r="BM135" t="s">
        <v>48</v>
      </c>
      <c r="BN135"/>
      <c r="BO135" t="s">
        <v>48</v>
      </c>
      <c r="BP135" t="s">
        <v>48</v>
      </c>
      <c r="BQ135" t="s">
        <v>48</v>
      </c>
      <c r="BS135" t="s">
        <v>48</v>
      </c>
      <c r="BT135" t="s">
        <v>48</v>
      </c>
      <c r="BU135" t="s">
        <v>48</v>
      </c>
      <c r="BW135" t="s">
        <v>48</v>
      </c>
      <c r="BX135" t="s">
        <v>48</v>
      </c>
      <c r="BY135" t="s">
        <v>48</v>
      </c>
      <c r="BZ135" t="s">
        <v>48</v>
      </c>
      <c r="CA135" t="s">
        <v>48</v>
      </c>
      <c r="CB135" t="s">
        <v>48</v>
      </c>
      <c r="CC135" t="s">
        <v>48</v>
      </c>
      <c r="CD135" t="s">
        <v>48</v>
      </c>
      <c r="CE135" t="s">
        <v>48</v>
      </c>
      <c r="CF135" t="s">
        <v>48</v>
      </c>
      <c r="CG135" t="s">
        <v>48</v>
      </c>
      <c r="CH135" t="s">
        <v>48</v>
      </c>
      <c r="CI135" t="s">
        <v>48</v>
      </c>
      <c r="CJ135" t="s">
        <v>48</v>
      </c>
    </row>
    <row r="136" spans="1:88" x14ac:dyDescent="0.25">
      <c r="A136" s="4" t="s">
        <v>2105</v>
      </c>
      <c r="B136" s="4" t="s">
        <v>2067</v>
      </c>
      <c r="C136" s="4" t="s">
        <v>2100</v>
      </c>
      <c r="D136" s="4" t="str">
        <f>cna_product_database_catalog_website[[#This Row],[MainCategory]]&amp;"&gt;"&amp;cna_product_database_catalog_website[[#This Row],[SubCategory1]]&amp;"&gt;"&amp;cna_product_database_catalog_website[[#This Row],[SubCategory2]]</f>
        <v>Flush Mounts&gt;Accessories&gt;DPM-4 Trim - Black</v>
      </c>
      <c r="E136">
        <v>485</v>
      </c>
      <c r="F136" t="s">
        <v>553</v>
      </c>
      <c r="G136" s="3">
        <v>1202</v>
      </c>
      <c r="H136" s="8">
        <v>2.5</v>
      </c>
      <c r="I136" t="s">
        <v>553</v>
      </c>
      <c r="J136" t="s">
        <v>1259</v>
      </c>
      <c r="K136" t="s">
        <v>48</v>
      </c>
      <c r="L136" t="s">
        <v>46</v>
      </c>
      <c r="M136" s="12"/>
      <c r="N136" t="s">
        <v>47</v>
      </c>
      <c r="O136" s="3">
        <v>1</v>
      </c>
      <c r="P136" s="3">
        <v>1</v>
      </c>
      <c r="Q136" t="s">
        <v>48</v>
      </c>
      <c r="R136" t="s">
        <v>48</v>
      </c>
      <c r="S136" t="s">
        <v>48</v>
      </c>
      <c r="T136" t="s">
        <v>48</v>
      </c>
      <c r="U136" t="s">
        <v>48</v>
      </c>
      <c r="V136" t="s">
        <v>48</v>
      </c>
      <c r="W136" t="s">
        <v>48</v>
      </c>
      <c r="X136" t="s">
        <v>48</v>
      </c>
      <c r="Y136" s="3" t="s">
        <v>48</v>
      </c>
      <c r="Z136" s="3" t="s">
        <v>48</v>
      </c>
      <c r="AA136" s="3" t="s">
        <v>48</v>
      </c>
      <c r="AB136" s="1" t="s">
        <v>48</v>
      </c>
      <c r="AC136" s="1" t="s">
        <v>48</v>
      </c>
      <c r="AD136" t="s">
        <v>48</v>
      </c>
      <c r="AE136"/>
      <c r="AF136" t="s">
        <v>48</v>
      </c>
      <c r="AG136" t="s">
        <v>48</v>
      </c>
      <c r="AH136" t="s">
        <v>48</v>
      </c>
      <c r="AI136" t="s">
        <v>48</v>
      </c>
      <c r="AL136" t="s">
        <v>48</v>
      </c>
      <c r="AO136" t="s">
        <v>48</v>
      </c>
      <c r="AP136" t="s">
        <v>48</v>
      </c>
      <c r="AQ136" t="s">
        <v>48</v>
      </c>
      <c r="AV136" t="s">
        <v>48</v>
      </c>
      <c r="AW136" t="s">
        <v>48</v>
      </c>
      <c r="AX136" s="2">
        <v>1</v>
      </c>
      <c r="AY136" s="2">
        <v>1</v>
      </c>
      <c r="BC136">
        <f>SUM(cna_product_database_catalog_website[[#This Row],[Box Length (cm)]]*cna_product_database_catalog_website[[#This Row],[Box Width (cm)]]*cna_product_database_catalog_website[[#This Row],[Box Height (cm)]]/1000000)</f>
        <v>0</v>
      </c>
      <c r="BD136">
        <f>SUM(cna_product_database_catalog_website[[#This Row],[Box CBM]]*35.3147)</f>
        <v>0</v>
      </c>
      <c r="BE136" t="s">
        <v>48</v>
      </c>
      <c r="BI13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36">
        <f>SUM(cna_product_database_catalog_website[[#This Row],[Carton CFT]]/61024)</f>
        <v>0</v>
      </c>
      <c r="BM136" t="s">
        <v>48</v>
      </c>
      <c r="BN136"/>
      <c r="BO136" t="s">
        <v>48</v>
      </c>
      <c r="BP136" t="s">
        <v>48</v>
      </c>
      <c r="BQ136" t="s">
        <v>48</v>
      </c>
      <c r="BS136" t="s">
        <v>48</v>
      </c>
      <c r="BT136" t="s">
        <v>48</v>
      </c>
      <c r="BU136" t="s">
        <v>48</v>
      </c>
      <c r="BW136" t="s">
        <v>48</v>
      </c>
      <c r="BX136" t="s">
        <v>48</v>
      </c>
      <c r="BY136" t="s">
        <v>48</v>
      </c>
      <c r="BZ136" t="s">
        <v>48</v>
      </c>
      <c r="CA136" t="s">
        <v>48</v>
      </c>
      <c r="CB136" t="s">
        <v>48</v>
      </c>
      <c r="CC136" t="s">
        <v>48</v>
      </c>
      <c r="CD136" t="s">
        <v>48</v>
      </c>
      <c r="CE136" t="s">
        <v>48</v>
      </c>
      <c r="CF136" t="s">
        <v>48</v>
      </c>
      <c r="CG136" t="s">
        <v>48</v>
      </c>
      <c r="CH136" t="s">
        <v>48</v>
      </c>
      <c r="CI136" t="s">
        <v>48</v>
      </c>
      <c r="CJ136" t="s">
        <v>48</v>
      </c>
    </row>
    <row r="137" spans="1:88" x14ac:dyDescent="0.25">
      <c r="A137" s="4" t="s">
        <v>2105</v>
      </c>
      <c r="B137" s="4" t="s">
        <v>2067</v>
      </c>
      <c r="C137" s="4" t="s">
        <v>2101</v>
      </c>
      <c r="D137" s="4" t="str">
        <f>cna_product_database_catalog_website[[#This Row],[MainCategory]]&amp;"&gt;"&amp;cna_product_database_catalog_website[[#This Row],[SubCategory1]]&amp;"&gt;"&amp;cna_product_database_catalog_website[[#This Row],[SubCategory2]]</f>
        <v>Flush Mounts&gt;Accessories&gt;DPM-4 Trim - Brushed Nickel</v>
      </c>
      <c r="E137">
        <v>486</v>
      </c>
      <c r="F137" t="s">
        <v>554</v>
      </c>
      <c r="G137" s="3">
        <v>1203</v>
      </c>
      <c r="H137" s="8">
        <v>2.5</v>
      </c>
      <c r="I137" t="s">
        <v>554</v>
      </c>
      <c r="J137" t="s">
        <v>1260</v>
      </c>
      <c r="K137" t="s">
        <v>48</v>
      </c>
      <c r="L137" t="s">
        <v>46</v>
      </c>
      <c r="M137" s="12"/>
      <c r="N137" t="s">
        <v>47</v>
      </c>
      <c r="O137" s="3">
        <v>1</v>
      </c>
      <c r="P137" s="3">
        <v>1</v>
      </c>
      <c r="Q137" t="s">
        <v>48</v>
      </c>
      <c r="R137" t="s">
        <v>48</v>
      </c>
      <c r="S137" t="s">
        <v>48</v>
      </c>
      <c r="T137" t="s">
        <v>48</v>
      </c>
      <c r="U137" t="s">
        <v>48</v>
      </c>
      <c r="V137" t="s">
        <v>48</v>
      </c>
      <c r="W137" t="s">
        <v>48</v>
      </c>
      <c r="X137" t="s">
        <v>48</v>
      </c>
      <c r="Y137" s="3" t="s">
        <v>48</v>
      </c>
      <c r="Z137" s="3" t="s">
        <v>48</v>
      </c>
      <c r="AA137" s="3" t="s">
        <v>48</v>
      </c>
      <c r="AB137" s="1" t="s">
        <v>48</v>
      </c>
      <c r="AC137" s="1" t="s">
        <v>48</v>
      </c>
      <c r="AD137" t="s">
        <v>48</v>
      </c>
      <c r="AE137"/>
      <c r="AF137" t="s">
        <v>48</v>
      </c>
      <c r="AG137" t="s">
        <v>48</v>
      </c>
      <c r="AH137" t="s">
        <v>48</v>
      </c>
      <c r="AI137" t="s">
        <v>48</v>
      </c>
      <c r="AL137" t="s">
        <v>48</v>
      </c>
      <c r="AO137" t="s">
        <v>48</v>
      </c>
      <c r="AP137" t="s">
        <v>48</v>
      </c>
      <c r="AQ137" t="s">
        <v>48</v>
      </c>
      <c r="AV137" t="s">
        <v>48</v>
      </c>
      <c r="AW137" t="s">
        <v>48</v>
      </c>
      <c r="AX137" s="2">
        <v>1</v>
      </c>
      <c r="AY137" s="2">
        <v>1</v>
      </c>
      <c r="BC137">
        <f>SUM(cna_product_database_catalog_website[[#This Row],[Box Length (cm)]]*cna_product_database_catalog_website[[#This Row],[Box Width (cm)]]*cna_product_database_catalog_website[[#This Row],[Box Height (cm)]]/1000000)</f>
        <v>0</v>
      </c>
      <c r="BD137">
        <f>SUM(cna_product_database_catalog_website[[#This Row],[Box CBM]]*35.3147)</f>
        <v>0</v>
      </c>
      <c r="BE137" t="s">
        <v>48</v>
      </c>
      <c r="BI13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37">
        <f>SUM(cna_product_database_catalog_website[[#This Row],[Carton CFT]]/61024)</f>
        <v>0</v>
      </c>
      <c r="BM137" t="s">
        <v>48</v>
      </c>
      <c r="BN137"/>
      <c r="BO137" t="s">
        <v>48</v>
      </c>
      <c r="BP137" t="s">
        <v>48</v>
      </c>
      <c r="BQ137" t="s">
        <v>48</v>
      </c>
      <c r="BS137" t="s">
        <v>48</v>
      </c>
      <c r="BT137" t="s">
        <v>48</v>
      </c>
      <c r="BU137" t="s">
        <v>48</v>
      </c>
      <c r="BW137" t="s">
        <v>48</v>
      </c>
      <c r="BX137" t="s">
        <v>48</v>
      </c>
      <c r="BY137" t="s">
        <v>48</v>
      </c>
      <c r="BZ137" t="s">
        <v>48</v>
      </c>
      <c r="CA137" t="s">
        <v>48</v>
      </c>
      <c r="CB137" t="s">
        <v>48</v>
      </c>
      <c r="CC137" t="s">
        <v>48</v>
      </c>
      <c r="CD137" t="s">
        <v>48</v>
      </c>
      <c r="CE137" t="s">
        <v>48</v>
      </c>
      <c r="CF137" t="s">
        <v>48</v>
      </c>
      <c r="CG137" t="s">
        <v>48</v>
      </c>
      <c r="CH137" t="s">
        <v>48</v>
      </c>
      <c r="CI137" t="s">
        <v>48</v>
      </c>
      <c r="CJ137" t="s">
        <v>48</v>
      </c>
    </row>
    <row r="138" spans="1:88" x14ac:dyDescent="0.25">
      <c r="A138" s="4" t="s">
        <v>2106</v>
      </c>
      <c r="B138" s="4" t="s">
        <v>2107</v>
      </c>
      <c r="C138" s="4" t="s">
        <v>1672</v>
      </c>
      <c r="D138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Cabinet&gt;Pucks&gt;Mini Puck</v>
      </c>
      <c r="E138">
        <v>600</v>
      </c>
      <c r="F138" t="s">
        <v>628</v>
      </c>
      <c r="G138" s="3">
        <v>1129</v>
      </c>
      <c r="H138" s="8">
        <v>12</v>
      </c>
      <c r="I138" t="s">
        <v>628</v>
      </c>
      <c r="J138" t="s">
        <v>1351</v>
      </c>
      <c r="K138" t="s">
        <v>629</v>
      </c>
      <c r="L138" t="s">
        <v>1127</v>
      </c>
      <c r="M138" s="12" t="str">
        <f>HYPERLINK(cna_product_database_catalog_website[[#This Row],[Spec Sheet Link]], cna_product_database_catalog_website[[#Headers],[Spec Sheet Link]])</f>
        <v>Spec Sheet Link</v>
      </c>
      <c r="N138" t="s">
        <v>47</v>
      </c>
      <c r="O138" s="3">
        <v>1</v>
      </c>
      <c r="P138" s="3">
        <v>1</v>
      </c>
      <c r="Q138" t="s">
        <v>1526</v>
      </c>
      <c r="R138" s="4" t="s">
        <v>667</v>
      </c>
      <c r="S138" t="s">
        <v>1642</v>
      </c>
      <c r="T138" t="s">
        <v>544</v>
      </c>
      <c r="U138" t="s">
        <v>419</v>
      </c>
      <c r="V138" t="s">
        <v>1645</v>
      </c>
      <c r="W138" t="s">
        <v>420</v>
      </c>
      <c r="X138" t="s">
        <v>78</v>
      </c>
      <c r="Y138" s="5" t="s">
        <v>1651</v>
      </c>
      <c r="Z138" s="3">
        <v>80</v>
      </c>
      <c r="AA138" s="3" t="s">
        <v>60</v>
      </c>
      <c r="AB138" s="1" t="s">
        <v>1139</v>
      </c>
      <c r="AC138" s="1" t="s">
        <v>48</v>
      </c>
      <c r="AD138" t="s">
        <v>450</v>
      </c>
      <c r="AE138"/>
      <c r="AF138" t="s">
        <v>48</v>
      </c>
      <c r="AG138" t="s">
        <v>48</v>
      </c>
      <c r="AH138" t="s">
        <v>48</v>
      </c>
      <c r="AI138" t="s">
        <v>48</v>
      </c>
      <c r="AL138" t="s">
        <v>48</v>
      </c>
      <c r="AN138" t="s">
        <v>62</v>
      </c>
      <c r="AO138" t="s">
        <v>48</v>
      </c>
      <c r="AP138" t="s">
        <v>191</v>
      </c>
      <c r="AQ138" t="s">
        <v>48</v>
      </c>
      <c r="AR138">
        <v>49</v>
      </c>
      <c r="AV138" t="s">
        <v>1672</v>
      </c>
      <c r="AW138" t="s">
        <v>633</v>
      </c>
      <c r="AX138" s="2">
        <v>210</v>
      </c>
      <c r="AY138" s="2">
        <v>210</v>
      </c>
      <c r="BC138">
        <f>SUM(cna_product_database_catalog_website[[#This Row],[Box Length (cm)]]*cna_product_database_catalog_website[[#This Row],[Box Width (cm)]]*cna_product_database_catalog_website[[#This Row],[Box Height (cm)]]/1000000)</f>
        <v>0</v>
      </c>
      <c r="BD138">
        <f>SUM(cna_product_database_catalog_website[[#This Row],[Box CBM]]*35.3147)</f>
        <v>0</v>
      </c>
      <c r="BE138" t="s">
        <v>48</v>
      </c>
      <c r="BI13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38">
        <f>SUM(cna_product_database_catalog_website[[#This Row],[Carton CFT]]/61024)</f>
        <v>0</v>
      </c>
      <c r="BM138" t="s">
        <v>48</v>
      </c>
      <c r="BN138" t="s">
        <v>48</v>
      </c>
      <c r="BO138" t="s">
        <v>48</v>
      </c>
      <c r="BP138" t="s">
        <v>48</v>
      </c>
      <c r="BQ138" t="s">
        <v>48</v>
      </c>
      <c r="BS138" t="s">
        <v>48</v>
      </c>
      <c r="BT138" t="s">
        <v>48</v>
      </c>
      <c r="BU138" t="s">
        <v>48</v>
      </c>
      <c r="BW138" t="s">
        <v>48</v>
      </c>
      <c r="BX138" t="s">
        <v>48</v>
      </c>
      <c r="BY138" t="s">
        <v>48</v>
      </c>
      <c r="BZ138" t="s">
        <v>48</v>
      </c>
      <c r="CA138" t="s">
        <v>48</v>
      </c>
      <c r="CB138" t="s">
        <v>48</v>
      </c>
      <c r="CC138" t="s">
        <v>48</v>
      </c>
      <c r="CD138" t="s">
        <v>48</v>
      </c>
      <c r="CE138" t="s">
        <v>48</v>
      </c>
      <c r="CF138" t="s">
        <v>48</v>
      </c>
      <c r="CG138" t="s">
        <v>48</v>
      </c>
      <c r="CH138" t="s">
        <v>48</v>
      </c>
      <c r="CI138" t="s">
        <v>48</v>
      </c>
      <c r="CJ138" t="s">
        <v>48</v>
      </c>
    </row>
    <row r="139" spans="1:88" s="4" customFormat="1" x14ac:dyDescent="0.25">
      <c r="A139" s="4" t="s">
        <v>2106</v>
      </c>
      <c r="B139" s="4" t="s">
        <v>2107</v>
      </c>
      <c r="C139" s="4" t="s">
        <v>2127</v>
      </c>
      <c r="D139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Cabinet&gt;Pucks&gt;Puck Light - 3CCT - Black</v>
      </c>
      <c r="E139" s="4">
        <v>610</v>
      </c>
      <c r="F139" s="4" t="s">
        <v>1624</v>
      </c>
      <c r="G139" s="5">
        <v>823</v>
      </c>
      <c r="H139" s="9">
        <v>8.5</v>
      </c>
      <c r="I139" s="4" t="s">
        <v>1624</v>
      </c>
      <c r="J139" s="4" t="s">
        <v>1630</v>
      </c>
      <c r="K139" s="4" t="s">
        <v>1632</v>
      </c>
      <c r="L139" s="4" t="s">
        <v>1631</v>
      </c>
      <c r="M139" s="12" t="str">
        <f>HYPERLINK(cna_product_database_catalog_website[[#This Row],[Spec Sheet Link]], cna_product_database_catalog_website[[#Headers],[Spec Sheet Link]])</f>
        <v>Spec Sheet Link</v>
      </c>
      <c r="O139" s="5">
        <v>1</v>
      </c>
      <c r="P139" s="5">
        <v>1</v>
      </c>
      <c r="Q139" s="4" t="s">
        <v>273</v>
      </c>
      <c r="R139" s="4" t="s">
        <v>667</v>
      </c>
      <c r="S139" s="4" t="s">
        <v>1641</v>
      </c>
      <c r="T139" s="4" t="s">
        <v>544</v>
      </c>
      <c r="U139" s="4" t="s">
        <v>419</v>
      </c>
      <c r="V139" s="4" t="s">
        <v>1646</v>
      </c>
      <c r="W139" s="4" t="s">
        <v>1647</v>
      </c>
      <c r="X139" s="4" t="s">
        <v>1105</v>
      </c>
      <c r="Y139" s="5" t="s">
        <v>1012</v>
      </c>
      <c r="Z139" s="5">
        <v>80</v>
      </c>
      <c r="AA139" s="5" t="s">
        <v>60</v>
      </c>
      <c r="AB139" s="6" t="s">
        <v>1139</v>
      </c>
      <c r="AC139" s="6"/>
      <c r="AD139" s="4" t="s">
        <v>450</v>
      </c>
      <c r="AM139" s="4" t="s">
        <v>1665</v>
      </c>
      <c r="AN139" s="4" t="s">
        <v>1666</v>
      </c>
      <c r="AO139" s="4" t="s">
        <v>1550</v>
      </c>
      <c r="AP139" s="4" t="s">
        <v>1663</v>
      </c>
      <c r="AQ139" s="4" t="s">
        <v>1664</v>
      </c>
      <c r="AV139" s="4" t="s">
        <v>1670</v>
      </c>
      <c r="AW139" s="4" t="s">
        <v>633</v>
      </c>
      <c r="AX139" s="7">
        <v>100</v>
      </c>
      <c r="AY139" s="7">
        <v>100</v>
      </c>
      <c r="BC139" s="4">
        <f>SUM(cna_product_database_catalog_website[[#This Row],[Box Length (cm)]]*cna_product_database_catalog_website[[#This Row],[Box Width (cm)]]*cna_product_database_catalog_website[[#This Row],[Box Height (cm)]]/1000000)</f>
        <v>0</v>
      </c>
      <c r="BD139" s="4">
        <f>SUM(cna_product_database_catalog_website[[#This Row],[Box CBM]]*35.3147)</f>
        <v>0</v>
      </c>
      <c r="BE139" s="7"/>
      <c r="BI139" s="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39" s="4">
        <f>SUM(cna_product_database_catalog_website[[#This Row],[Carton CFT]]/61024)</f>
        <v>0</v>
      </c>
    </row>
    <row r="140" spans="1:88" s="4" customFormat="1" x14ac:dyDescent="0.25">
      <c r="A140" s="4" t="s">
        <v>2106</v>
      </c>
      <c r="B140" s="4" t="s">
        <v>2107</v>
      </c>
      <c r="C140" s="4" t="s">
        <v>2128</v>
      </c>
      <c r="D140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Cabinet&gt;Pucks&gt;Puck Light - 3CCT - Satin Nickel</v>
      </c>
      <c r="E140" s="4">
        <v>611</v>
      </c>
      <c r="F140" s="4" t="s">
        <v>1625</v>
      </c>
      <c r="G140" s="5">
        <v>824</v>
      </c>
      <c r="H140" s="9">
        <v>8.5</v>
      </c>
      <c r="I140" s="4" t="s">
        <v>1625</v>
      </c>
      <c r="J140" s="4" t="s">
        <v>1625</v>
      </c>
      <c r="K140" s="4" t="s">
        <v>1633</v>
      </c>
      <c r="L140" s="4" t="s">
        <v>1631</v>
      </c>
      <c r="M140" s="12" t="str">
        <f>HYPERLINK(cna_product_database_catalog_website[[#This Row],[Spec Sheet Link]], cna_product_database_catalog_website[[#Headers],[Spec Sheet Link]])</f>
        <v>Spec Sheet Link</v>
      </c>
      <c r="O140" s="5">
        <v>1</v>
      </c>
      <c r="P140" s="5">
        <v>1</v>
      </c>
      <c r="Q140" s="4" t="s">
        <v>273</v>
      </c>
      <c r="R140" s="4" t="s">
        <v>667</v>
      </c>
      <c r="S140" s="4" t="s">
        <v>1641</v>
      </c>
      <c r="T140" s="4" t="s">
        <v>544</v>
      </c>
      <c r="U140" s="4" t="s">
        <v>419</v>
      </c>
      <c r="V140" s="4" t="s">
        <v>1646</v>
      </c>
      <c r="W140" s="4" t="s">
        <v>1647</v>
      </c>
      <c r="X140" s="4" t="s">
        <v>1105</v>
      </c>
      <c r="Y140" s="5" t="s">
        <v>1012</v>
      </c>
      <c r="Z140" s="5">
        <v>80</v>
      </c>
      <c r="AA140" s="5" t="s">
        <v>60</v>
      </c>
      <c r="AB140" s="6" t="s">
        <v>1139</v>
      </c>
      <c r="AC140" s="6"/>
      <c r="AD140" s="4" t="s">
        <v>450</v>
      </c>
      <c r="AM140" s="4" t="s">
        <v>1665</v>
      </c>
      <c r="AN140" s="4" t="s">
        <v>1666</v>
      </c>
      <c r="AO140" s="4" t="s">
        <v>1550</v>
      </c>
      <c r="AP140" s="4" t="s">
        <v>1663</v>
      </c>
      <c r="AQ140" s="4" t="s">
        <v>1664</v>
      </c>
      <c r="AV140" s="4" t="s">
        <v>1670</v>
      </c>
      <c r="AW140" s="4" t="s">
        <v>633</v>
      </c>
      <c r="AX140" s="7">
        <v>100</v>
      </c>
      <c r="AY140" s="7">
        <v>100</v>
      </c>
      <c r="BC140" s="4">
        <f>SUM(cna_product_database_catalog_website[[#This Row],[Box Length (cm)]]*cna_product_database_catalog_website[[#This Row],[Box Width (cm)]]*cna_product_database_catalog_website[[#This Row],[Box Height (cm)]]/1000000)</f>
        <v>0</v>
      </c>
      <c r="BD140" s="4">
        <f>SUM(cna_product_database_catalog_website[[#This Row],[Box CBM]]*35.3147)</f>
        <v>0</v>
      </c>
      <c r="BE140" s="7"/>
      <c r="BI140" s="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40" s="4">
        <f>SUM(cna_product_database_catalog_website[[#This Row],[Carton CFT]]/61024)</f>
        <v>0</v>
      </c>
    </row>
    <row r="141" spans="1:88" s="4" customFormat="1" x14ac:dyDescent="0.25">
      <c r="A141" s="4" t="s">
        <v>2106</v>
      </c>
      <c r="B141" s="4" t="s">
        <v>2107</v>
      </c>
      <c r="C141" s="4" t="s">
        <v>2129</v>
      </c>
      <c r="D141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Cabinet&gt;Pucks&gt;Puck Light - 3CCT - White</v>
      </c>
      <c r="E141" s="4">
        <v>612</v>
      </c>
      <c r="F141" s="4" t="s">
        <v>1626</v>
      </c>
      <c r="G141" s="5">
        <v>825</v>
      </c>
      <c r="H141" s="9">
        <v>8.5</v>
      </c>
      <c r="I141" s="4" t="s">
        <v>1626</v>
      </c>
      <c r="J141" s="4" t="s">
        <v>1626</v>
      </c>
      <c r="K141" s="4" t="s">
        <v>1634</v>
      </c>
      <c r="L141" s="4" t="s">
        <v>1631</v>
      </c>
      <c r="M141" s="12" t="str">
        <f>HYPERLINK(cna_product_database_catalog_website[[#This Row],[Spec Sheet Link]], cna_product_database_catalog_website[[#Headers],[Spec Sheet Link]])</f>
        <v>Spec Sheet Link</v>
      </c>
      <c r="O141" s="5">
        <v>1</v>
      </c>
      <c r="P141" s="5">
        <v>1</v>
      </c>
      <c r="Q141" s="4" t="s">
        <v>273</v>
      </c>
      <c r="R141" s="4" t="s">
        <v>667</v>
      </c>
      <c r="S141" s="4" t="s">
        <v>1641</v>
      </c>
      <c r="T141" s="4" t="s">
        <v>544</v>
      </c>
      <c r="U141" s="4" t="s">
        <v>419</v>
      </c>
      <c r="V141" s="4" t="s">
        <v>1646</v>
      </c>
      <c r="W141" s="4" t="s">
        <v>1647</v>
      </c>
      <c r="X141" s="4" t="s">
        <v>1105</v>
      </c>
      <c r="Y141" s="5" t="s">
        <v>1012</v>
      </c>
      <c r="Z141" s="5">
        <v>80</v>
      </c>
      <c r="AA141" s="5" t="s">
        <v>60</v>
      </c>
      <c r="AB141" s="6" t="s">
        <v>1139</v>
      </c>
      <c r="AC141" s="6"/>
      <c r="AD141" s="4" t="s">
        <v>450</v>
      </c>
      <c r="AM141" s="4" t="s">
        <v>1665</v>
      </c>
      <c r="AN141" s="4" t="s">
        <v>1666</v>
      </c>
      <c r="AO141" s="4" t="s">
        <v>1550</v>
      </c>
      <c r="AP141" s="4" t="s">
        <v>1663</v>
      </c>
      <c r="AQ141" s="4" t="s">
        <v>1664</v>
      </c>
      <c r="AV141" s="4" t="s">
        <v>1670</v>
      </c>
      <c r="AW141" s="4" t="s">
        <v>633</v>
      </c>
      <c r="AX141" s="7">
        <v>100</v>
      </c>
      <c r="AY141" s="7">
        <v>100</v>
      </c>
      <c r="BC141" s="4">
        <f>SUM(cna_product_database_catalog_website[[#This Row],[Box Length (cm)]]*cna_product_database_catalog_website[[#This Row],[Box Width (cm)]]*cna_product_database_catalog_website[[#This Row],[Box Height (cm)]]/1000000)</f>
        <v>0</v>
      </c>
      <c r="BD141" s="4">
        <f>SUM(cna_product_database_catalog_website[[#This Row],[Box CBM]]*35.3147)</f>
        <v>0</v>
      </c>
      <c r="BE141" s="7"/>
      <c r="BI141" s="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41" s="4">
        <f>SUM(cna_product_database_catalog_website[[#This Row],[Carton CFT]]/61024)</f>
        <v>0</v>
      </c>
    </row>
    <row r="142" spans="1:88" s="4" customFormat="1" x14ac:dyDescent="0.25">
      <c r="A142" s="4" t="s">
        <v>2106</v>
      </c>
      <c r="B142" s="4" t="s">
        <v>2107</v>
      </c>
      <c r="C142" s="4" t="s">
        <v>2124</v>
      </c>
      <c r="D142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Cabinet&gt;Pucks&gt;Puck Surface Mount TRIM - Black</v>
      </c>
      <c r="E142" s="4">
        <v>615</v>
      </c>
      <c r="F142" s="4" t="s">
        <v>1627</v>
      </c>
      <c r="G142" s="5">
        <v>743</v>
      </c>
      <c r="H142" s="9">
        <v>2.5</v>
      </c>
      <c r="I142" s="4" t="s">
        <v>1627</v>
      </c>
      <c r="J142" s="4" t="s">
        <v>1627</v>
      </c>
      <c r="K142" s="4" t="s">
        <v>1635</v>
      </c>
      <c r="L142" s="4" t="s">
        <v>1631</v>
      </c>
      <c r="M142" s="12" t="str">
        <f>HYPERLINK(cna_product_database_catalog_website[[#This Row],[Spec Sheet Link]], cna_product_database_catalog_website[[#Headers],[Spec Sheet Link]])</f>
        <v>Spec Sheet Link</v>
      </c>
      <c r="O142" s="5">
        <v>1</v>
      </c>
      <c r="P142" s="5">
        <v>1</v>
      </c>
      <c r="Y142" s="5"/>
      <c r="Z142" s="5"/>
      <c r="AA142" s="5"/>
      <c r="AB142" s="6"/>
      <c r="AC142" s="6"/>
      <c r="AM142" s="4" t="s">
        <v>1116</v>
      </c>
      <c r="AN142" s="4" t="s">
        <v>1662</v>
      </c>
      <c r="AO142" s="4" t="s">
        <v>1550</v>
      </c>
      <c r="AP142" s="4" t="s">
        <v>1663</v>
      </c>
      <c r="AQ142" s="4" t="s">
        <v>1664</v>
      </c>
      <c r="AV142" s="4" t="s">
        <v>1670</v>
      </c>
      <c r="AX142" s="7">
        <v>1</v>
      </c>
      <c r="AY142" s="7">
        <v>1</v>
      </c>
      <c r="BC142" s="4">
        <f>SUM(cna_product_database_catalog_website[[#This Row],[Box Length (cm)]]*cna_product_database_catalog_website[[#This Row],[Box Width (cm)]]*cna_product_database_catalog_website[[#This Row],[Box Height (cm)]]/1000000)</f>
        <v>0</v>
      </c>
      <c r="BD142" s="4">
        <f>SUM(cna_product_database_catalog_website[[#This Row],[Box CBM]]*35.3147)</f>
        <v>0</v>
      </c>
      <c r="BE142" s="7"/>
      <c r="BI142" s="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42" s="4">
        <f>SUM(cna_product_database_catalog_website[[#This Row],[Carton CFT]]/61024)</f>
        <v>0</v>
      </c>
    </row>
    <row r="143" spans="1:88" s="4" customFormat="1" x14ac:dyDescent="0.25">
      <c r="A143" s="4" t="s">
        <v>2106</v>
      </c>
      <c r="B143" s="4" t="s">
        <v>2107</v>
      </c>
      <c r="C143" s="4" t="s">
        <v>2125</v>
      </c>
      <c r="D143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Cabinet&gt;Pucks&gt;Puck Surface Mount TRIM - Satin Nickel</v>
      </c>
      <c r="E143" s="4">
        <v>616</v>
      </c>
      <c r="F143" s="4" t="s">
        <v>1628</v>
      </c>
      <c r="G143" s="5">
        <v>744</v>
      </c>
      <c r="H143" s="9">
        <v>2.5</v>
      </c>
      <c r="I143" s="4" t="s">
        <v>1628</v>
      </c>
      <c r="J143" s="4" t="s">
        <v>1628</v>
      </c>
      <c r="K143" s="4" t="s">
        <v>1636</v>
      </c>
      <c r="L143" s="4" t="s">
        <v>1631</v>
      </c>
      <c r="M143" s="12" t="str">
        <f>HYPERLINK(cna_product_database_catalog_website[[#This Row],[Spec Sheet Link]], cna_product_database_catalog_website[[#Headers],[Spec Sheet Link]])</f>
        <v>Spec Sheet Link</v>
      </c>
      <c r="O143" s="5">
        <v>1</v>
      </c>
      <c r="P143" s="5">
        <v>1</v>
      </c>
      <c r="Y143" s="5"/>
      <c r="Z143" s="5"/>
      <c r="AA143" s="5"/>
      <c r="AB143" s="6"/>
      <c r="AC143" s="6"/>
      <c r="AM143" s="4" t="s">
        <v>1116</v>
      </c>
      <c r="AN143" s="4" t="s">
        <v>1662</v>
      </c>
      <c r="AO143" s="4" t="s">
        <v>1550</v>
      </c>
      <c r="AP143" s="4" t="s">
        <v>1663</v>
      </c>
      <c r="AQ143" s="4" t="s">
        <v>1664</v>
      </c>
      <c r="AV143" s="4" t="s">
        <v>1670</v>
      </c>
      <c r="AX143" s="7">
        <v>1</v>
      </c>
      <c r="AY143" s="7">
        <v>1</v>
      </c>
      <c r="BC143" s="4">
        <f>SUM(cna_product_database_catalog_website[[#This Row],[Box Length (cm)]]*cna_product_database_catalog_website[[#This Row],[Box Width (cm)]]*cna_product_database_catalog_website[[#This Row],[Box Height (cm)]]/1000000)</f>
        <v>0</v>
      </c>
      <c r="BD143" s="4">
        <f>SUM(cna_product_database_catalog_website[[#This Row],[Box CBM]]*35.3147)</f>
        <v>0</v>
      </c>
      <c r="BE143" s="7"/>
      <c r="BI143" s="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43" s="4">
        <f>SUM(cna_product_database_catalog_website[[#This Row],[Carton CFT]]/61024)</f>
        <v>0</v>
      </c>
    </row>
    <row r="144" spans="1:88" s="4" customFormat="1" x14ac:dyDescent="0.25">
      <c r="A144" s="4" t="s">
        <v>2106</v>
      </c>
      <c r="B144" s="4" t="s">
        <v>2107</v>
      </c>
      <c r="C144" s="4" t="s">
        <v>2126</v>
      </c>
      <c r="D144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Cabinet&gt;Pucks&gt;Puck Surface Mount TRIM - White</v>
      </c>
      <c r="E144" s="4">
        <v>617</v>
      </c>
      <c r="F144" s="4" t="s">
        <v>1629</v>
      </c>
      <c r="G144" s="5">
        <v>745</v>
      </c>
      <c r="H144" s="9">
        <v>2.5</v>
      </c>
      <c r="I144" s="4" t="s">
        <v>1629</v>
      </c>
      <c r="J144" s="4" t="s">
        <v>1629</v>
      </c>
      <c r="K144" s="4" t="s">
        <v>1637</v>
      </c>
      <c r="L144" s="4" t="s">
        <v>1631</v>
      </c>
      <c r="M144" s="12" t="str">
        <f>HYPERLINK(cna_product_database_catalog_website[[#This Row],[Spec Sheet Link]], cna_product_database_catalog_website[[#Headers],[Spec Sheet Link]])</f>
        <v>Spec Sheet Link</v>
      </c>
      <c r="O144" s="5">
        <v>1</v>
      </c>
      <c r="P144" s="5">
        <v>1</v>
      </c>
      <c r="Y144" s="5"/>
      <c r="Z144" s="5"/>
      <c r="AA144" s="5"/>
      <c r="AB144" s="6"/>
      <c r="AC144" s="6"/>
      <c r="AM144" s="4" t="s">
        <v>1116</v>
      </c>
      <c r="AN144" s="4" t="s">
        <v>1662</v>
      </c>
      <c r="AO144" s="4" t="s">
        <v>1550</v>
      </c>
      <c r="AP144" s="4" t="s">
        <v>1663</v>
      </c>
      <c r="AQ144" s="4" t="s">
        <v>1664</v>
      </c>
      <c r="AV144" s="4" t="s">
        <v>1670</v>
      </c>
      <c r="AX144" s="7">
        <v>1</v>
      </c>
      <c r="AY144" s="7">
        <v>1</v>
      </c>
      <c r="BC144" s="4">
        <f>SUM(cna_product_database_catalog_website[[#This Row],[Box Length (cm)]]*cna_product_database_catalog_website[[#This Row],[Box Width (cm)]]*cna_product_database_catalog_website[[#This Row],[Box Height (cm)]]/1000000)</f>
        <v>0</v>
      </c>
      <c r="BD144" s="4">
        <f>SUM(cna_product_database_catalog_website[[#This Row],[Box CBM]]*35.3147)</f>
        <v>0</v>
      </c>
      <c r="BE144" s="7"/>
      <c r="BI144" s="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44" s="4">
        <f>SUM(cna_product_database_catalog_website[[#This Row],[Carton CFT]]/61024)</f>
        <v>0</v>
      </c>
    </row>
    <row r="145" spans="1:88" x14ac:dyDescent="0.25">
      <c r="A145" s="4" t="s">
        <v>2106</v>
      </c>
      <c r="B145" s="4" t="s">
        <v>2107</v>
      </c>
      <c r="C145" t="s">
        <v>2130</v>
      </c>
      <c r="D145" t="str">
        <f>cna_product_database_catalog_website[[#This Row],[MainCategory]]&amp;"&gt;"&amp;cna_product_database_catalog_website[[#This Row],[SubCategory1]]&amp;"&gt;"&amp;cna_product_database_catalog_website[[#This Row],[SubCategory2]]</f>
        <v>Under Cabinet&gt;Pucks&gt;Puck Light 30K</v>
      </c>
      <c r="E145">
        <v>620</v>
      </c>
      <c r="F145" t="s">
        <v>630</v>
      </c>
      <c r="G145" s="3">
        <v>902</v>
      </c>
      <c r="H145" s="8">
        <v>12</v>
      </c>
      <c r="I145" t="s">
        <v>630</v>
      </c>
      <c r="J145" t="s">
        <v>1302</v>
      </c>
      <c r="K145" t="s">
        <v>631</v>
      </c>
      <c r="L145" t="s">
        <v>1125</v>
      </c>
      <c r="M145" s="12" t="str">
        <f>HYPERLINK(cna_product_database_catalog_website[[#This Row],[Spec Sheet Link]], cna_product_database_catalog_website[[#Headers],[Spec Sheet Link]])</f>
        <v>Spec Sheet Link</v>
      </c>
      <c r="N145" t="s">
        <v>47</v>
      </c>
      <c r="O145" s="3">
        <v>1</v>
      </c>
      <c r="P145" s="3">
        <v>1</v>
      </c>
      <c r="Q145" t="s">
        <v>48</v>
      </c>
      <c r="R145" t="s">
        <v>48</v>
      </c>
      <c r="S145" t="s">
        <v>48</v>
      </c>
      <c r="T145" t="s">
        <v>48</v>
      </c>
      <c r="U145" t="s">
        <v>48</v>
      </c>
      <c r="V145" t="s">
        <v>48</v>
      </c>
      <c r="W145" t="s">
        <v>48</v>
      </c>
      <c r="X145" t="s">
        <v>78</v>
      </c>
      <c r="Y145" s="3" t="s">
        <v>48</v>
      </c>
      <c r="Z145" s="3" t="s">
        <v>48</v>
      </c>
      <c r="AA145" s="3" t="s">
        <v>60</v>
      </c>
      <c r="AB145" s="1" t="s">
        <v>48</v>
      </c>
      <c r="AC145" s="1" t="s">
        <v>48</v>
      </c>
      <c r="AD145" t="s">
        <v>48</v>
      </c>
      <c r="AE145"/>
      <c r="AF145" t="s">
        <v>48</v>
      </c>
      <c r="AG145" t="s">
        <v>48</v>
      </c>
      <c r="AH145" t="s">
        <v>48</v>
      </c>
      <c r="AI145" t="s">
        <v>48</v>
      </c>
      <c r="AL145" t="s">
        <v>48</v>
      </c>
      <c r="AO145" t="s">
        <v>632</v>
      </c>
      <c r="AP145" t="s">
        <v>1668</v>
      </c>
      <c r="AQ145" t="s">
        <v>1669</v>
      </c>
      <c r="AR145">
        <v>49</v>
      </c>
      <c r="AV145" s="4" t="s">
        <v>1670</v>
      </c>
      <c r="AW145" t="s">
        <v>633</v>
      </c>
      <c r="AX145" s="2" t="s">
        <v>63</v>
      </c>
      <c r="AY145" s="2" t="s">
        <v>63</v>
      </c>
      <c r="BC145">
        <f>SUM(cna_product_database_catalog_website[[#This Row],[Box Length (cm)]]*cna_product_database_catalog_website[[#This Row],[Box Width (cm)]]*cna_product_database_catalog_website[[#This Row],[Box Height (cm)]]/1000000)</f>
        <v>0</v>
      </c>
      <c r="BD145">
        <f>SUM(cna_product_database_catalog_website[[#This Row],[Box CBM]]*35.3147)</f>
        <v>0</v>
      </c>
      <c r="BE145" t="s">
        <v>48</v>
      </c>
      <c r="BI14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45">
        <f>SUM(cna_product_database_catalog_website[[#This Row],[Carton CFT]]/61024)</f>
        <v>0</v>
      </c>
      <c r="BM145" t="s">
        <v>48</v>
      </c>
      <c r="BN145" t="s">
        <v>48</v>
      </c>
      <c r="BO145" t="s">
        <v>634</v>
      </c>
      <c r="BP145" t="s">
        <v>48</v>
      </c>
      <c r="BQ145" t="s">
        <v>48</v>
      </c>
      <c r="BS145" t="s">
        <v>48</v>
      </c>
      <c r="BT145" t="s">
        <v>48</v>
      </c>
      <c r="BU145" t="s">
        <v>48</v>
      </c>
      <c r="BW145" t="s">
        <v>48</v>
      </c>
      <c r="BX145" t="s">
        <v>48</v>
      </c>
      <c r="BY145" t="s">
        <v>48</v>
      </c>
      <c r="BZ145" t="s">
        <v>48</v>
      </c>
      <c r="CA145" t="s">
        <v>48</v>
      </c>
      <c r="CB145" t="s">
        <v>48</v>
      </c>
      <c r="CC145" t="s">
        <v>48</v>
      </c>
      <c r="CD145" t="s">
        <v>48</v>
      </c>
      <c r="CE145" t="s">
        <v>48</v>
      </c>
      <c r="CF145" t="s">
        <v>48</v>
      </c>
      <c r="CG145" t="s">
        <v>48</v>
      </c>
      <c r="CH145" t="s">
        <v>48</v>
      </c>
      <c r="CI145" t="s">
        <v>48</v>
      </c>
      <c r="CJ145" t="s">
        <v>48</v>
      </c>
    </row>
    <row r="146" spans="1:88" x14ac:dyDescent="0.25">
      <c r="A146" s="4" t="s">
        <v>2106</v>
      </c>
      <c r="B146" s="4" t="s">
        <v>2107</v>
      </c>
      <c r="C146" s="4" t="s">
        <v>2131</v>
      </c>
      <c r="D146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Cabinet&gt;Pucks&gt;Puck Light 30K Surface Mount Ring</v>
      </c>
      <c r="E146">
        <v>621</v>
      </c>
      <c r="F146" t="s">
        <v>635</v>
      </c>
      <c r="G146" s="3">
        <v>905</v>
      </c>
      <c r="H146" s="8">
        <v>2</v>
      </c>
      <c r="I146" t="s">
        <v>635</v>
      </c>
      <c r="J146" t="s">
        <v>1301</v>
      </c>
      <c r="K146" t="s">
        <v>636</v>
      </c>
      <c r="L146" t="s">
        <v>1125</v>
      </c>
      <c r="M146" s="12" t="str">
        <f>HYPERLINK(cna_product_database_catalog_website[[#This Row],[Spec Sheet Link]], cna_product_database_catalog_website[[#Headers],[Spec Sheet Link]])</f>
        <v>Spec Sheet Link</v>
      </c>
      <c r="N146" t="s">
        <v>47</v>
      </c>
      <c r="O146" s="3">
        <v>1</v>
      </c>
      <c r="P146" s="3">
        <v>1</v>
      </c>
      <c r="Q146" t="s">
        <v>48</v>
      </c>
      <c r="R146" t="s">
        <v>48</v>
      </c>
      <c r="S146" t="s">
        <v>48</v>
      </c>
      <c r="T146" t="s">
        <v>48</v>
      </c>
      <c r="U146" t="s">
        <v>48</v>
      </c>
      <c r="V146" t="s">
        <v>48</v>
      </c>
      <c r="W146" t="s">
        <v>48</v>
      </c>
      <c r="X146" t="s">
        <v>78</v>
      </c>
      <c r="Y146" s="3" t="s">
        <v>48</v>
      </c>
      <c r="Z146" s="3" t="s">
        <v>48</v>
      </c>
      <c r="AA146" s="3" t="s">
        <v>60</v>
      </c>
      <c r="AB146" s="1" t="s">
        <v>48</v>
      </c>
      <c r="AC146" s="1" t="s">
        <v>48</v>
      </c>
      <c r="AD146" t="s">
        <v>48</v>
      </c>
      <c r="AE146"/>
      <c r="AF146" t="s">
        <v>48</v>
      </c>
      <c r="AG146" t="s">
        <v>48</v>
      </c>
      <c r="AH146" t="s">
        <v>48</v>
      </c>
      <c r="AI146" t="s">
        <v>48</v>
      </c>
      <c r="AL146" t="s">
        <v>48</v>
      </c>
      <c r="AM146" t="s">
        <v>1667</v>
      </c>
      <c r="AN146" t="s">
        <v>1138</v>
      </c>
      <c r="AO146" t="s">
        <v>632</v>
      </c>
      <c r="AP146" t="s">
        <v>1668</v>
      </c>
      <c r="AQ146" t="s">
        <v>1669</v>
      </c>
      <c r="AR146">
        <v>26</v>
      </c>
      <c r="AV146" s="4" t="s">
        <v>1670</v>
      </c>
      <c r="AW146" t="s">
        <v>633</v>
      </c>
      <c r="AX146" s="2" t="s">
        <v>49</v>
      </c>
      <c r="AY146" s="2" t="s">
        <v>49</v>
      </c>
      <c r="BC146">
        <f>SUM(cna_product_database_catalog_website[[#This Row],[Box Length (cm)]]*cna_product_database_catalog_website[[#This Row],[Box Width (cm)]]*cna_product_database_catalog_website[[#This Row],[Box Height (cm)]]/1000000)</f>
        <v>0</v>
      </c>
      <c r="BD146">
        <f>SUM(cna_product_database_catalog_website[[#This Row],[Box CBM]]*35.3147)</f>
        <v>0</v>
      </c>
      <c r="BE146" t="s">
        <v>48</v>
      </c>
      <c r="BI14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46">
        <f>SUM(cna_product_database_catalog_website[[#This Row],[Carton CFT]]/61024)</f>
        <v>0</v>
      </c>
      <c r="BM146" t="s">
        <v>48</v>
      </c>
      <c r="BN146" t="s">
        <v>48</v>
      </c>
      <c r="BO146" t="s">
        <v>634</v>
      </c>
      <c r="BP146" t="s">
        <v>48</v>
      </c>
      <c r="BQ146" t="s">
        <v>48</v>
      </c>
      <c r="BS146" t="s">
        <v>48</v>
      </c>
      <c r="BT146" t="s">
        <v>48</v>
      </c>
      <c r="BU146" t="s">
        <v>48</v>
      </c>
      <c r="BW146" t="s">
        <v>48</v>
      </c>
      <c r="BX146" t="s">
        <v>48</v>
      </c>
      <c r="BY146" t="s">
        <v>48</v>
      </c>
      <c r="BZ146" t="s">
        <v>48</v>
      </c>
      <c r="CA146" t="s">
        <v>48</v>
      </c>
      <c r="CB146" t="s">
        <v>48</v>
      </c>
      <c r="CC146" t="s">
        <v>48</v>
      </c>
      <c r="CD146" t="s">
        <v>48</v>
      </c>
      <c r="CE146" t="s">
        <v>48</v>
      </c>
      <c r="CF146" t="s">
        <v>48</v>
      </c>
      <c r="CG146" t="s">
        <v>48</v>
      </c>
      <c r="CH146" t="s">
        <v>48</v>
      </c>
      <c r="CI146" t="s">
        <v>48</v>
      </c>
      <c r="CJ146" t="s">
        <v>48</v>
      </c>
    </row>
    <row r="147" spans="1:88" x14ac:dyDescent="0.25">
      <c r="A147" s="4" t="s">
        <v>2106</v>
      </c>
      <c r="B147" s="4" t="s">
        <v>2132</v>
      </c>
      <c r="C147" s="4" t="s">
        <v>1748</v>
      </c>
      <c r="D147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Cabinet&gt;Panel&gt;Panel Light 12V 30K</v>
      </c>
      <c r="E147">
        <v>625</v>
      </c>
      <c r="F147" t="s">
        <v>637</v>
      </c>
      <c r="G147" s="3">
        <v>904</v>
      </c>
      <c r="H147" s="8">
        <v>10</v>
      </c>
      <c r="I147" t="s">
        <v>637</v>
      </c>
      <c r="J147" t="s">
        <v>1303</v>
      </c>
      <c r="K147" t="s">
        <v>638</v>
      </c>
      <c r="L147" t="s">
        <v>1126</v>
      </c>
      <c r="M147" s="12" t="str">
        <f>HYPERLINK(cna_product_database_catalog_website[[#This Row],[Spec Sheet Link]], cna_product_database_catalog_website[[#Headers],[Spec Sheet Link]])</f>
        <v>Spec Sheet Link</v>
      </c>
      <c r="N147" t="s">
        <v>47</v>
      </c>
      <c r="O147" s="3">
        <v>1</v>
      </c>
      <c r="P147" s="3">
        <v>1</v>
      </c>
      <c r="Q147" t="s">
        <v>48</v>
      </c>
      <c r="R147" t="s">
        <v>48</v>
      </c>
      <c r="S147" t="s">
        <v>48</v>
      </c>
      <c r="T147" t="s">
        <v>48</v>
      </c>
      <c r="U147" t="s">
        <v>48</v>
      </c>
      <c r="V147" t="s">
        <v>48</v>
      </c>
      <c r="W147" t="s">
        <v>48</v>
      </c>
      <c r="X147" t="s">
        <v>78</v>
      </c>
      <c r="Y147" s="3" t="s">
        <v>48</v>
      </c>
      <c r="Z147" s="3" t="s">
        <v>48</v>
      </c>
      <c r="AA147" s="3" t="s">
        <v>60</v>
      </c>
      <c r="AB147" s="1" t="s">
        <v>48</v>
      </c>
      <c r="AC147" s="1" t="s">
        <v>48</v>
      </c>
      <c r="AD147" t="s">
        <v>48</v>
      </c>
      <c r="AE147"/>
      <c r="AF147" t="s">
        <v>48</v>
      </c>
      <c r="AG147" t="s">
        <v>639</v>
      </c>
      <c r="AH147" t="s">
        <v>48</v>
      </c>
      <c r="AI147" t="s">
        <v>48</v>
      </c>
      <c r="AL147" t="s">
        <v>48</v>
      </c>
      <c r="AO147" t="s">
        <v>48</v>
      </c>
      <c r="AP147" t="s">
        <v>48</v>
      </c>
      <c r="AQ147" t="s">
        <v>48</v>
      </c>
      <c r="AR147">
        <v>270</v>
      </c>
      <c r="AV147" t="s">
        <v>48</v>
      </c>
      <c r="AW147" t="s">
        <v>633</v>
      </c>
      <c r="AX147" s="2" t="s">
        <v>63</v>
      </c>
      <c r="AY147" s="2" t="s">
        <v>63</v>
      </c>
      <c r="BC147">
        <f>SUM(cna_product_database_catalog_website[[#This Row],[Box Length (cm)]]*cna_product_database_catalog_website[[#This Row],[Box Width (cm)]]*cna_product_database_catalog_website[[#This Row],[Box Height (cm)]]/1000000)</f>
        <v>0</v>
      </c>
      <c r="BD147">
        <f>SUM(cna_product_database_catalog_website[[#This Row],[Box CBM]]*35.3147)</f>
        <v>0</v>
      </c>
      <c r="BE147" t="s">
        <v>48</v>
      </c>
      <c r="BI14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47">
        <f>SUM(cna_product_database_catalog_website[[#This Row],[Carton CFT]]/61024)</f>
        <v>0</v>
      </c>
      <c r="BM147" t="s">
        <v>48</v>
      </c>
      <c r="BN147" t="s">
        <v>48</v>
      </c>
      <c r="BO147" t="s">
        <v>634</v>
      </c>
      <c r="BP147" t="s">
        <v>48</v>
      </c>
      <c r="BQ147" t="s">
        <v>48</v>
      </c>
      <c r="BS147" t="s">
        <v>48</v>
      </c>
      <c r="BT147" t="s">
        <v>48</v>
      </c>
      <c r="BU147" t="s">
        <v>48</v>
      </c>
      <c r="BW147" t="s">
        <v>48</v>
      </c>
      <c r="BX147" t="s">
        <v>48</v>
      </c>
      <c r="BY147" t="s">
        <v>48</v>
      </c>
      <c r="BZ147" t="s">
        <v>48</v>
      </c>
      <c r="CA147" t="s">
        <v>48</v>
      </c>
      <c r="CB147" t="s">
        <v>48</v>
      </c>
      <c r="CC147" t="s">
        <v>48</v>
      </c>
      <c r="CD147" t="s">
        <v>48</v>
      </c>
      <c r="CE147" t="s">
        <v>48</v>
      </c>
      <c r="CF147" t="s">
        <v>48</v>
      </c>
      <c r="CG147" t="s">
        <v>48</v>
      </c>
      <c r="CH147" t="s">
        <v>48</v>
      </c>
      <c r="CI147" t="s">
        <v>48</v>
      </c>
      <c r="CJ147" t="s">
        <v>48</v>
      </c>
    </row>
    <row r="148" spans="1:88" x14ac:dyDescent="0.25">
      <c r="A148" s="4" t="s">
        <v>2106</v>
      </c>
      <c r="B148" s="4" t="s">
        <v>2108</v>
      </c>
      <c r="C148" s="4" t="s">
        <v>2111</v>
      </c>
      <c r="D148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Cabinet&gt;Linear&gt;T5Bar Series 5CCT - 11"</v>
      </c>
      <c r="E148">
        <v>630</v>
      </c>
      <c r="F148" t="s">
        <v>1118</v>
      </c>
      <c r="G148" s="3">
        <v>1091</v>
      </c>
      <c r="H148" s="8">
        <v>17.899999999999999</v>
      </c>
      <c r="I148" t="s">
        <v>1118</v>
      </c>
      <c r="J148" t="s">
        <v>1291</v>
      </c>
      <c r="K148" t="s">
        <v>599</v>
      </c>
      <c r="L148" t="s">
        <v>1121</v>
      </c>
      <c r="M148" s="12" t="str">
        <f>HYPERLINK(cna_product_database_catalog_website[[#This Row],[Spec Sheet Link]], cna_product_database_catalog_website[[#Headers],[Spec Sheet Link]])</f>
        <v>Spec Sheet Link</v>
      </c>
      <c r="N148" t="s">
        <v>47</v>
      </c>
      <c r="O148" s="3">
        <v>1</v>
      </c>
      <c r="P148" s="3">
        <v>1</v>
      </c>
      <c r="Q148" t="s">
        <v>154</v>
      </c>
      <c r="R148" t="s">
        <v>53</v>
      </c>
      <c r="S148" t="s">
        <v>1128</v>
      </c>
      <c r="T148" t="s">
        <v>1132</v>
      </c>
      <c r="U148" t="s">
        <v>1135</v>
      </c>
      <c r="V148" t="s">
        <v>48</v>
      </c>
      <c r="W148" t="s">
        <v>420</v>
      </c>
      <c r="X148" t="s">
        <v>244</v>
      </c>
      <c r="Y148" s="3" t="s">
        <v>48</v>
      </c>
      <c r="Z148" s="3" t="s">
        <v>367</v>
      </c>
      <c r="AA148" s="3" t="s">
        <v>60</v>
      </c>
      <c r="AB148" s="1" t="s">
        <v>1139</v>
      </c>
      <c r="AD148" t="s">
        <v>450</v>
      </c>
      <c r="AE148"/>
      <c r="AF148" t="s">
        <v>600</v>
      </c>
      <c r="AG148" t="s">
        <v>48</v>
      </c>
      <c r="AI148" t="s">
        <v>48</v>
      </c>
      <c r="AK148" t="s">
        <v>1138</v>
      </c>
      <c r="AL148" t="s">
        <v>48</v>
      </c>
      <c r="AN148" t="s">
        <v>1137</v>
      </c>
      <c r="AO148" t="s">
        <v>48</v>
      </c>
      <c r="AP148" t="s">
        <v>48</v>
      </c>
      <c r="AQ148" t="s">
        <v>48</v>
      </c>
      <c r="AR148">
        <v>141</v>
      </c>
      <c r="AV148" t="s">
        <v>48</v>
      </c>
      <c r="AW148" t="s">
        <v>601</v>
      </c>
      <c r="AX148" s="2">
        <v>12</v>
      </c>
      <c r="AY148" s="2">
        <v>12</v>
      </c>
      <c r="BC148">
        <f>SUM(cna_product_database_catalog_website[[#This Row],[Box Length (cm)]]*cna_product_database_catalog_website[[#This Row],[Box Width (cm)]]*cna_product_database_catalog_website[[#This Row],[Box Height (cm)]]/1000000)</f>
        <v>0</v>
      </c>
      <c r="BD148">
        <f>SUM(cna_product_database_catalog_website[[#This Row],[Box CBM]]*35.3147)</f>
        <v>0</v>
      </c>
      <c r="BE148" t="s">
        <v>48</v>
      </c>
      <c r="BI14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48">
        <f>SUM(cna_product_database_catalog_website[[#This Row],[Carton CFT]]/61024)</f>
        <v>0</v>
      </c>
      <c r="BM148" t="s">
        <v>48</v>
      </c>
      <c r="BN148" t="s">
        <v>48</v>
      </c>
      <c r="BO148" t="s">
        <v>510</v>
      </c>
      <c r="BP148" t="s">
        <v>48</v>
      </c>
      <c r="BQ148" t="s">
        <v>48</v>
      </c>
      <c r="BS148" t="s">
        <v>48</v>
      </c>
      <c r="BT148" t="s">
        <v>1518</v>
      </c>
      <c r="BU148" t="s">
        <v>48</v>
      </c>
      <c r="BW148" t="s">
        <v>48</v>
      </c>
      <c r="BX148" t="s">
        <v>48</v>
      </c>
      <c r="BY148" t="s">
        <v>48</v>
      </c>
      <c r="BZ148" t="s">
        <v>48</v>
      </c>
      <c r="CA148" t="s">
        <v>48</v>
      </c>
      <c r="CB148" t="s">
        <v>48</v>
      </c>
      <c r="CC148" t="s">
        <v>48</v>
      </c>
      <c r="CD148" t="s">
        <v>48</v>
      </c>
      <c r="CE148" t="s">
        <v>48</v>
      </c>
      <c r="CF148" t="s">
        <v>48</v>
      </c>
      <c r="CG148" t="s">
        <v>48</v>
      </c>
      <c r="CH148" t="s">
        <v>48</v>
      </c>
      <c r="CI148" t="s">
        <v>48</v>
      </c>
      <c r="CJ148" t="s">
        <v>48</v>
      </c>
    </row>
    <row r="149" spans="1:88" x14ac:dyDescent="0.25">
      <c r="A149" s="4" t="s">
        <v>2106</v>
      </c>
      <c r="B149" s="4" t="s">
        <v>2108</v>
      </c>
      <c r="C149" s="4" t="s">
        <v>2110</v>
      </c>
      <c r="D149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Cabinet&gt;Linear&gt;T5Bar Series 5CCT - 24"</v>
      </c>
      <c r="E149">
        <v>631</v>
      </c>
      <c r="F149" t="s">
        <v>1119</v>
      </c>
      <c r="G149" s="3">
        <v>1092</v>
      </c>
      <c r="H149" s="8">
        <v>21.9</v>
      </c>
      <c r="I149" t="s">
        <v>1119</v>
      </c>
      <c r="J149" t="s">
        <v>1292</v>
      </c>
      <c r="K149" t="s">
        <v>599</v>
      </c>
      <c r="L149" t="s">
        <v>1121</v>
      </c>
      <c r="M149" s="12" t="str">
        <f>HYPERLINK(cna_product_database_catalog_website[[#This Row],[Spec Sheet Link]], cna_product_database_catalog_website[[#Headers],[Spec Sheet Link]])</f>
        <v>Spec Sheet Link</v>
      </c>
      <c r="N149" t="s">
        <v>47</v>
      </c>
      <c r="O149" s="3">
        <v>1</v>
      </c>
      <c r="P149" s="3">
        <v>1</v>
      </c>
      <c r="Q149" t="s">
        <v>239</v>
      </c>
      <c r="R149" t="s">
        <v>53</v>
      </c>
      <c r="S149" t="s">
        <v>1129</v>
      </c>
      <c r="T149" t="s">
        <v>1133</v>
      </c>
      <c r="U149" t="s">
        <v>1135</v>
      </c>
      <c r="V149" t="s">
        <v>48</v>
      </c>
      <c r="W149" t="s">
        <v>420</v>
      </c>
      <c r="X149" t="s">
        <v>244</v>
      </c>
      <c r="Y149" s="3" t="s">
        <v>48</v>
      </c>
      <c r="Z149" s="3" t="s">
        <v>367</v>
      </c>
      <c r="AA149" s="3" t="s">
        <v>60</v>
      </c>
      <c r="AB149" s="1" t="s">
        <v>1139</v>
      </c>
      <c r="AD149" t="s">
        <v>450</v>
      </c>
      <c r="AE149"/>
      <c r="AF149" t="s">
        <v>602</v>
      </c>
      <c r="AG149" t="s">
        <v>48</v>
      </c>
      <c r="AI149" t="s">
        <v>48</v>
      </c>
      <c r="AK149" t="s">
        <v>1138</v>
      </c>
      <c r="AL149" t="s">
        <v>48</v>
      </c>
      <c r="AN149" t="s">
        <v>1137</v>
      </c>
      <c r="AO149" t="s">
        <v>48</v>
      </c>
      <c r="AP149" t="s">
        <v>48</v>
      </c>
      <c r="AQ149" t="s">
        <v>48</v>
      </c>
      <c r="AR149">
        <v>232</v>
      </c>
      <c r="AV149" t="s">
        <v>48</v>
      </c>
      <c r="AW149" t="s">
        <v>601</v>
      </c>
      <c r="AX149" s="2">
        <v>12</v>
      </c>
      <c r="AY149" s="2">
        <v>12</v>
      </c>
      <c r="BC149">
        <f>SUM(cna_product_database_catalog_website[[#This Row],[Box Length (cm)]]*cna_product_database_catalog_website[[#This Row],[Box Width (cm)]]*cna_product_database_catalog_website[[#This Row],[Box Height (cm)]]/1000000)</f>
        <v>0</v>
      </c>
      <c r="BD149">
        <f>SUM(cna_product_database_catalog_website[[#This Row],[Box CBM]]*35.3147)</f>
        <v>0</v>
      </c>
      <c r="BE149" t="s">
        <v>48</v>
      </c>
      <c r="BI14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49">
        <f>SUM(cna_product_database_catalog_website[[#This Row],[Carton CFT]]/61024)</f>
        <v>0</v>
      </c>
      <c r="BM149" t="s">
        <v>48</v>
      </c>
      <c r="BN149" t="s">
        <v>48</v>
      </c>
      <c r="BO149" t="s">
        <v>510</v>
      </c>
      <c r="BP149" t="s">
        <v>48</v>
      </c>
      <c r="BQ149" t="s">
        <v>48</v>
      </c>
      <c r="BS149" t="s">
        <v>48</v>
      </c>
      <c r="BT149" t="s">
        <v>1518</v>
      </c>
      <c r="BU149" t="s">
        <v>48</v>
      </c>
      <c r="BW149" t="s">
        <v>48</v>
      </c>
      <c r="BX149" t="s">
        <v>48</v>
      </c>
      <c r="BY149" t="s">
        <v>48</v>
      </c>
      <c r="BZ149" t="s">
        <v>48</v>
      </c>
      <c r="CA149" t="s">
        <v>48</v>
      </c>
      <c r="CB149" t="s">
        <v>48</v>
      </c>
      <c r="CC149" t="s">
        <v>48</v>
      </c>
      <c r="CD149" t="s">
        <v>48</v>
      </c>
      <c r="CE149" t="s">
        <v>48</v>
      </c>
      <c r="CF149" t="s">
        <v>48</v>
      </c>
      <c r="CG149" t="s">
        <v>48</v>
      </c>
      <c r="CH149" t="s">
        <v>48</v>
      </c>
      <c r="CI149" t="s">
        <v>48</v>
      </c>
      <c r="CJ149" t="s">
        <v>48</v>
      </c>
    </row>
    <row r="150" spans="1:88" x14ac:dyDescent="0.25">
      <c r="A150" s="4" t="s">
        <v>2106</v>
      </c>
      <c r="B150" s="4" t="s">
        <v>2108</v>
      </c>
      <c r="C150" s="4" t="s">
        <v>2109</v>
      </c>
      <c r="D150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Cabinet&gt;Linear&gt;T5Bar Series 5CCT - 36"</v>
      </c>
      <c r="E150">
        <v>632</v>
      </c>
      <c r="F150" t="s">
        <v>1516</v>
      </c>
      <c r="G150" s="3">
        <v>1093</v>
      </c>
      <c r="H150" s="8">
        <v>27.9</v>
      </c>
      <c r="I150" t="s">
        <v>1516</v>
      </c>
      <c r="J150" t="s">
        <v>1517</v>
      </c>
      <c r="K150" t="s">
        <v>599</v>
      </c>
      <c r="L150" t="s">
        <v>1121</v>
      </c>
      <c r="M150" s="12" t="str">
        <f>HYPERLINK(cna_product_database_catalog_website[[#This Row],[Spec Sheet Link]], cna_product_database_catalog_website[[#Headers],[Spec Sheet Link]])</f>
        <v>Spec Sheet Link</v>
      </c>
      <c r="N150" t="s">
        <v>47</v>
      </c>
      <c r="O150" s="3">
        <v>1</v>
      </c>
      <c r="P150" s="3">
        <v>1</v>
      </c>
      <c r="Q150" t="s">
        <v>253</v>
      </c>
      <c r="R150" t="s">
        <v>53</v>
      </c>
      <c r="S150" t="s">
        <v>1130</v>
      </c>
      <c r="T150" t="s">
        <v>544</v>
      </c>
      <c r="U150" t="s">
        <v>1135</v>
      </c>
      <c r="V150" t="s">
        <v>48</v>
      </c>
      <c r="W150" t="s">
        <v>420</v>
      </c>
      <c r="X150" t="s">
        <v>244</v>
      </c>
      <c r="Y150" s="3" t="s">
        <v>48</v>
      </c>
      <c r="Z150" s="3" t="s">
        <v>367</v>
      </c>
      <c r="AA150" s="3" t="s">
        <v>60</v>
      </c>
      <c r="AB150" s="1" t="s">
        <v>1139</v>
      </c>
      <c r="AD150" t="s">
        <v>450</v>
      </c>
      <c r="AE150"/>
      <c r="AF150" t="s">
        <v>603</v>
      </c>
      <c r="AG150" t="s">
        <v>48</v>
      </c>
      <c r="AI150" t="s">
        <v>48</v>
      </c>
      <c r="AK150" t="s">
        <v>1138</v>
      </c>
      <c r="AL150" t="s">
        <v>48</v>
      </c>
      <c r="AN150" t="s">
        <v>1137</v>
      </c>
      <c r="AO150" t="s">
        <v>48</v>
      </c>
      <c r="AP150" t="s">
        <v>48</v>
      </c>
      <c r="AQ150" t="s">
        <v>48</v>
      </c>
      <c r="AR150">
        <v>342</v>
      </c>
      <c r="AV150" t="s">
        <v>48</v>
      </c>
      <c r="AW150" t="s">
        <v>601</v>
      </c>
      <c r="AX150" s="2">
        <v>12</v>
      </c>
      <c r="AY150" s="2">
        <v>12</v>
      </c>
      <c r="BC150">
        <f>SUM(cna_product_database_catalog_website[[#This Row],[Box Length (cm)]]*cna_product_database_catalog_website[[#This Row],[Box Width (cm)]]*cna_product_database_catalog_website[[#This Row],[Box Height (cm)]]/1000000)</f>
        <v>0</v>
      </c>
      <c r="BD150">
        <f>SUM(cna_product_database_catalog_website[[#This Row],[Box CBM]]*35.3147)</f>
        <v>0</v>
      </c>
      <c r="BE150" t="s">
        <v>48</v>
      </c>
      <c r="BI15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50">
        <f>SUM(cna_product_database_catalog_website[[#This Row],[Carton CFT]]/61024)</f>
        <v>0</v>
      </c>
      <c r="BM150" t="s">
        <v>48</v>
      </c>
      <c r="BN150" t="s">
        <v>48</v>
      </c>
      <c r="BO150" t="s">
        <v>510</v>
      </c>
      <c r="BP150" t="s">
        <v>48</v>
      </c>
      <c r="BQ150" t="s">
        <v>48</v>
      </c>
      <c r="BS150" t="s">
        <v>48</v>
      </c>
      <c r="BT150" t="s">
        <v>1518</v>
      </c>
      <c r="BU150" t="s">
        <v>48</v>
      </c>
      <c r="BW150" t="s">
        <v>48</v>
      </c>
      <c r="BX150" t="s">
        <v>48</v>
      </c>
      <c r="BY150" t="s">
        <v>48</v>
      </c>
      <c r="BZ150" t="s">
        <v>48</v>
      </c>
      <c r="CA150" t="s">
        <v>48</v>
      </c>
      <c r="CB150" t="s">
        <v>48</v>
      </c>
      <c r="CC150" t="s">
        <v>48</v>
      </c>
      <c r="CD150" t="s">
        <v>48</v>
      </c>
      <c r="CE150" t="s">
        <v>48</v>
      </c>
      <c r="CF150" t="s">
        <v>48</v>
      </c>
      <c r="CG150" t="s">
        <v>48</v>
      </c>
      <c r="CH150" t="s">
        <v>48</v>
      </c>
      <c r="CI150" t="s">
        <v>48</v>
      </c>
      <c r="CJ150" t="s">
        <v>48</v>
      </c>
    </row>
    <row r="151" spans="1:88" x14ac:dyDescent="0.25">
      <c r="A151" s="4" t="s">
        <v>2106</v>
      </c>
      <c r="B151" s="4" t="s">
        <v>2108</v>
      </c>
      <c r="C151" s="4" t="s">
        <v>2123</v>
      </c>
      <c r="D151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Cabinet&gt;Linear&gt;T5Bar Series -  5CCT - 48"</v>
      </c>
      <c r="E151">
        <v>633</v>
      </c>
      <c r="F151" t="s">
        <v>1120</v>
      </c>
      <c r="G151" s="3">
        <v>1094</v>
      </c>
      <c r="H151" s="8">
        <v>33.9</v>
      </c>
      <c r="I151" t="s">
        <v>1120</v>
      </c>
      <c r="J151" t="s">
        <v>1293</v>
      </c>
      <c r="K151" t="s">
        <v>599</v>
      </c>
      <c r="L151" t="s">
        <v>1121</v>
      </c>
      <c r="M151" s="12" t="str">
        <f>HYPERLINK(cna_product_database_catalog_website[[#This Row],[Spec Sheet Link]], cna_product_database_catalog_website[[#Headers],[Spec Sheet Link]])</f>
        <v>Spec Sheet Link</v>
      </c>
      <c r="N151" t="s">
        <v>47</v>
      </c>
      <c r="O151" s="3">
        <v>1</v>
      </c>
      <c r="P151" s="3">
        <v>1</v>
      </c>
      <c r="Q151" t="s">
        <v>687</v>
      </c>
      <c r="R151" t="s">
        <v>53</v>
      </c>
      <c r="S151" t="s">
        <v>1131</v>
      </c>
      <c r="T151" t="s">
        <v>1134</v>
      </c>
      <c r="U151" t="s">
        <v>1135</v>
      </c>
      <c r="V151" t="s">
        <v>48</v>
      </c>
      <c r="W151" t="s">
        <v>420</v>
      </c>
      <c r="X151" t="s">
        <v>244</v>
      </c>
      <c r="Y151" s="3" t="s">
        <v>48</v>
      </c>
      <c r="Z151" s="3" t="s">
        <v>367</v>
      </c>
      <c r="AA151" s="3" t="s">
        <v>60</v>
      </c>
      <c r="AB151" s="1" t="s">
        <v>1139</v>
      </c>
      <c r="AD151" t="s">
        <v>450</v>
      </c>
      <c r="AE151"/>
      <c r="AF151" t="s">
        <v>584</v>
      </c>
      <c r="AG151" t="s">
        <v>48</v>
      </c>
      <c r="AI151" t="s">
        <v>48</v>
      </c>
      <c r="AK151" t="s">
        <v>1138</v>
      </c>
      <c r="AL151" t="s">
        <v>48</v>
      </c>
      <c r="AN151" t="s">
        <v>1137</v>
      </c>
      <c r="AO151" t="s">
        <v>48</v>
      </c>
      <c r="AP151" t="s">
        <v>48</v>
      </c>
      <c r="AQ151" t="s">
        <v>48</v>
      </c>
      <c r="AR151">
        <v>462</v>
      </c>
      <c r="AV151" t="s">
        <v>48</v>
      </c>
      <c r="AW151" t="s">
        <v>601</v>
      </c>
      <c r="AX151" s="2">
        <v>12</v>
      </c>
      <c r="AY151" s="2">
        <v>12</v>
      </c>
      <c r="BC151">
        <f>SUM(cna_product_database_catalog_website[[#This Row],[Box Length (cm)]]*cna_product_database_catalog_website[[#This Row],[Box Width (cm)]]*cna_product_database_catalog_website[[#This Row],[Box Height (cm)]]/1000000)</f>
        <v>0</v>
      </c>
      <c r="BD151">
        <f>SUM(cna_product_database_catalog_website[[#This Row],[Box CBM]]*35.3147)</f>
        <v>0</v>
      </c>
      <c r="BE151" t="s">
        <v>48</v>
      </c>
      <c r="BI15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51">
        <f>SUM(cna_product_database_catalog_website[[#This Row],[Carton CFT]]/61024)</f>
        <v>0</v>
      </c>
      <c r="BM151" t="s">
        <v>48</v>
      </c>
      <c r="BN151" t="s">
        <v>48</v>
      </c>
      <c r="BO151" t="s">
        <v>510</v>
      </c>
      <c r="BP151" t="s">
        <v>48</v>
      </c>
      <c r="BQ151" t="s">
        <v>48</v>
      </c>
      <c r="BS151" t="s">
        <v>48</v>
      </c>
      <c r="BT151" t="s">
        <v>1518</v>
      </c>
      <c r="BU151" t="s">
        <v>48</v>
      </c>
      <c r="BW151" t="s">
        <v>48</v>
      </c>
      <c r="BX151" t="s">
        <v>48</v>
      </c>
      <c r="BY151" t="s">
        <v>48</v>
      </c>
      <c r="BZ151" t="s">
        <v>48</v>
      </c>
      <c r="CA151" t="s">
        <v>48</v>
      </c>
      <c r="CB151" t="s">
        <v>48</v>
      </c>
      <c r="CC151" t="s">
        <v>48</v>
      </c>
      <c r="CD151" t="s">
        <v>48</v>
      </c>
      <c r="CE151" t="s">
        <v>48</v>
      </c>
      <c r="CF151" t="s">
        <v>48</v>
      </c>
      <c r="CG151" t="s">
        <v>48</v>
      </c>
      <c r="CH151" t="s">
        <v>48</v>
      </c>
      <c r="CI151" t="s">
        <v>48</v>
      </c>
      <c r="CJ151" t="s">
        <v>48</v>
      </c>
    </row>
    <row r="152" spans="1:88" x14ac:dyDescent="0.25">
      <c r="A152" s="4" t="s">
        <v>2106</v>
      </c>
      <c r="B152" s="4" t="s">
        <v>2108</v>
      </c>
      <c r="C152" s="4" t="s">
        <v>2122</v>
      </c>
      <c r="D152" s="4" t="str">
        <f>cna_product_database_catalog_website[[#This Row],[MainCategory]]&amp;"&gt;"&amp;cna_product_database_catalog_website[[#This Row],[SubCategory1]]&amp;"&gt;"&amp;cna_product_database_catalog_website[[#This Row],[SubCategory2]]</f>
        <v xml:space="preserve">Under Cabinet&gt;Linear&gt;T5Bar - JBox </v>
      </c>
      <c r="E152">
        <v>635</v>
      </c>
      <c r="F152" t="s">
        <v>604</v>
      </c>
      <c r="G152" s="3">
        <v>1095</v>
      </c>
      <c r="H152" s="8">
        <v>7</v>
      </c>
      <c r="I152" t="s">
        <v>604</v>
      </c>
      <c r="J152" t="s">
        <v>1296</v>
      </c>
      <c r="K152" t="s">
        <v>605</v>
      </c>
      <c r="L152" t="s">
        <v>1121</v>
      </c>
      <c r="M152" s="12" t="str">
        <f>HYPERLINK(cna_product_database_catalog_website[[#This Row],[Spec Sheet Link]], cna_product_database_catalog_website[[#Headers],[Spec Sheet Link]])</f>
        <v>Spec Sheet Link</v>
      </c>
      <c r="N152" t="s">
        <v>47</v>
      </c>
      <c r="O152" s="3">
        <v>1</v>
      </c>
      <c r="P152" s="3">
        <v>1</v>
      </c>
      <c r="Q152" t="s">
        <v>48</v>
      </c>
      <c r="R152" t="s">
        <v>53</v>
      </c>
      <c r="S152" t="s">
        <v>48</v>
      </c>
      <c r="T152" t="s">
        <v>48</v>
      </c>
      <c r="U152" t="s">
        <v>48</v>
      </c>
      <c r="V152" t="s">
        <v>48</v>
      </c>
      <c r="W152" t="s">
        <v>48</v>
      </c>
      <c r="X152" t="s">
        <v>48</v>
      </c>
      <c r="Y152" s="3" t="s">
        <v>48</v>
      </c>
      <c r="Z152" s="3" t="s">
        <v>48</v>
      </c>
      <c r="AA152" s="3" t="s">
        <v>48</v>
      </c>
      <c r="AB152" s="1" t="s">
        <v>48</v>
      </c>
      <c r="AC152" s="1" t="s">
        <v>48</v>
      </c>
      <c r="AD152" t="s">
        <v>48</v>
      </c>
      <c r="AE152"/>
      <c r="AF152" t="s">
        <v>48</v>
      </c>
      <c r="AG152" t="s">
        <v>48</v>
      </c>
      <c r="AH152" t="s">
        <v>48</v>
      </c>
      <c r="AI152" t="s">
        <v>48</v>
      </c>
      <c r="AL152" t="s">
        <v>48</v>
      </c>
      <c r="AO152" t="s">
        <v>48</v>
      </c>
      <c r="AP152" t="s">
        <v>48</v>
      </c>
      <c r="AQ152" t="s">
        <v>48</v>
      </c>
      <c r="AR152">
        <v>158</v>
      </c>
      <c r="AV152" t="s">
        <v>48</v>
      </c>
      <c r="AW152" t="s">
        <v>48</v>
      </c>
      <c r="AX152" s="2" t="s">
        <v>48</v>
      </c>
      <c r="AY152" s="2" t="s">
        <v>48</v>
      </c>
      <c r="BC152">
        <f>SUM(cna_product_database_catalog_website[[#This Row],[Box Length (cm)]]*cna_product_database_catalog_website[[#This Row],[Box Width (cm)]]*cna_product_database_catalog_website[[#This Row],[Box Height (cm)]]/1000000)</f>
        <v>0</v>
      </c>
      <c r="BD152">
        <f>SUM(cna_product_database_catalog_website[[#This Row],[Box CBM]]*35.3147)</f>
        <v>0</v>
      </c>
      <c r="BE152" t="s">
        <v>48</v>
      </c>
      <c r="BI15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52">
        <f>SUM(cna_product_database_catalog_website[[#This Row],[Carton CFT]]/61024)</f>
        <v>0</v>
      </c>
      <c r="BM152" t="s">
        <v>48</v>
      </c>
      <c r="BN152" t="s">
        <v>48</v>
      </c>
      <c r="BO152" t="s">
        <v>48</v>
      </c>
      <c r="BP152" t="s">
        <v>48</v>
      </c>
      <c r="BQ152" t="s">
        <v>48</v>
      </c>
      <c r="BS152" t="s">
        <v>48</v>
      </c>
      <c r="BT152" t="s">
        <v>48</v>
      </c>
      <c r="BU152" t="s">
        <v>48</v>
      </c>
      <c r="BW152" t="s">
        <v>48</v>
      </c>
      <c r="BX152" t="s">
        <v>48</v>
      </c>
      <c r="BY152" t="s">
        <v>48</v>
      </c>
      <c r="BZ152" t="s">
        <v>48</v>
      </c>
      <c r="CA152" t="s">
        <v>48</v>
      </c>
      <c r="CB152" t="s">
        <v>48</v>
      </c>
      <c r="CC152" t="s">
        <v>48</v>
      </c>
      <c r="CD152" t="s">
        <v>48</v>
      </c>
      <c r="CE152" t="s">
        <v>48</v>
      </c>
      <c r="CF152" t="s">
        <v>48</v>
      </c>
      <c r="CG152" t="s">
        <v>48</v>
      </c>
      <c r="CH152" t="s">
        <v>48</v>
      </c>
      <c r="CI152" t="s">
        <v>48</v>
      </c>
      <c r="CJ152" t="s">
        <v>48</v>
      </c>
    </row>
    <row r="153" spans="1:88" x14ac:dyDescent="0.25">
      <c r="A153" s="4" t="s">
        <v>2106</v>
      </c>
      <c r="B153" s="4" t="s">
        <v>2108</v>
      </c>
      <c r="C153" s="4" t="s">
        <v>1299</v>
      </c>
      <c r="D153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Cabinet&gt;Linear&gt;T5Bar - 12" Link Cable</v>
      </c>
      <c r="E153">
        <v>636</v>
      </c>
      <c r="F153" t="s">
        <v>606</v>
      </c>
      <c r="G153" s="3">
        <v>1090</v>
      </c>
      <c r="H153" s="8">
        <v>3.5</v>
      </c>
      <c r="I153" t="s">
        <v>606</v>
      </c>
      <c r="J153" t="s">
        <v>1294</v>
      </c>
      <c r="K153" t="s">
        <v>607</v>
      </c>
      <c r="L153" t="s">
        <v>1121</v>
      </c>
      <c r="M153" s="12" t="str">
        <f>HYPERLINK(cna_product_database_catalog_website[[#This Row],[Spec Sheet Link]], cna_product_database_catalog_website[[#Headers],[Spec Sheet Link]])</f>
        <v>Spec Sheet Link</v>
      </c>
      <c r="N153" t="s">
        <v>47</v>
      </c>
      <c r="O153" s="3">
        <v>1</v>
      </c>
      <c r="P153" s="3">
        <v>1</v>
      </c>
      <c r="Q153" t="s">
        <v>48</v>
      </c>
      <c r="R153" t="s">
        <v>53</v>
      </c>
      <c r="S153" t="s">
        <v>48</v>
      </c>
      <c r="T153" t="s">
        <v>48</v>
      </c>
      <c r="U153" t="s">
        <v>48</v>
      </c>
      <c r="V153" t="s">
        <v>48</v>
      </c>
      <c r="W153" t="s">
        <v>48</v>
      </c>
      <c r="X153" t="s">
        <v>48</v>
      </c>
      <c r="Y153" s="3" t="s">
        <v>48</v>
      </c>
      <c r="Z153" s="3" t="s">
        <v>48</v>
      </c>
      <c r="AA153" s="3" t="s">
        <v>48</v>
      </c>
      <c r="AB153" s="1" t="s">
        <v>48</v>
      </c>
      <c r="AC153" s="1" t="s">
        <v>48</v>
      </c>
      <c r="AD153" t="s">
        <v>48</v>
      </c>
      <c r="AE153"/>
      <c r="AF153" t="s">
        <v>48</v>
      </c>
      <c r="AG153" t="s">
        <v>48</v>
      </c>
      <c r="AH153" t="s">
        <v>48</v>
      </c>
      <c r="AI153" t="s">
        <v>48</v>
      </c>
      <c r="AL153" t="s">
        <v>48</v>
      </c>
      <c r="AO153" t="s">
        <v>48</v>
      </c>
      <c r="AP153" t="s">
        <v>48</v>
      </c>
      <c r="AQ153" t="s">
        <v>48</v>
      </c>
      <c r="AR153">
        <v>25</v>
      </c>
      <c r="AV153" t="s">
        <v>48</v>
      </c>
      <c r="AW153" t="s">
        <v>48</v>
      </c>
      <c r="AX153" s="2" t="s">
        <v>48</v>
      </c>
      <c r="AY153" s="2" t="s">
        <v>48</v>
      </c>
      <c r="BC153">
        <f>SUM(cna_product_database_catalog_website[[#This Row],[Box Length (cm)]]*cna_product_database_catalog_website[[#This Row],[Box Width (cm)]]*cna_product_database_catalog_website[[#This Row],[Box Height (cm)]]/1000000)</f>
        <v>0</v>
      </c>
      <c r="BD153">
        <f>SUM(cna_product_database_catalog_website[[#This Row],[Box CBM]]*35.3147)</f>
        <v>0</v>
      </c>
      <c r="BE153" t="s">
        <v>48</v>
      </c>
      <c r="BI15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53">
        <f>SUM(cna_product_database_catalog_website[[#This Row],[Carton CFT]]/61024)</f>
        <v>0</v>
      </c>
      <c r="BM153" t="s">
        <v>48</v>
      </c>
      <c r="BN153" t="s">
        <v>48</v>
      </c>
      <c r="BO153" t="s">
        <v>48</v>
      </c>
      <c r="BP153" t="s">
        <v>48</v>
      </c>
      <c r="BQ153" t="s">
        <v>48</v>
      </c>
      <c r="BS153" t="s">
        <v>48</v>
      </c>
      <c r="BT153" t="s">
        <v>48</v>
      </c>
      <c r="BU153" t="s">
        <v>48</v>
      </c>
      <c r="BW153" t="s">
        <v>48</v>
      </c>
      <c r="BX153" t="s">
        <v>48</v>
      </c>
      <c r="BY153" t="s">
        <v>48</v>
      </c>
      <c r="BZ153" t="s">
        <v>48</v>
      </c>
      <c r="CA153" t="s">
        <v>48</v>
      </c>
      <c r="CB153" t="s">
        <v>48</v>
      </c>
      <c r="CC153" t="s">
        <v>48</v>
      </c>
      <c r="CD153" t="s">
        <v>48</v>
      </c>
      <c r="CE153" t="s">
        <v>48</v>
      </c>
      <c r="CF153" t="s">
        <v>48</v>
      </c>
      <c r="CG153" t="s">
        <v>48</v>
      </c>
      <c r="CH153" t="s">
        <v>48</v>
      </c>
      <c r="CI153" t="s">
        <v>48</v>
      </c>
      <c r="CJ153" t="s">
        <v>48</v>
      </c>
    </row>
    <row r="154" spans="1:88" x14ac:dyDescent="0.25">
      <c r="A154" s="4" t="s">
        <v>2106</v>
      </c>
      <c r="B154" s="4" t="s">
        <v>2108</v>
      </c>
      <c r="C154" s="4" t="s">
        <v>1300</v>
      </c>
      <c r="D154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Cabinet&gt;Linear&gt;T5Bar - 6' Cord w/ Plug</v>
      </c>
      <c r="E154">
        <v>637</v>
      </c>
      <c r="F154" t="s">
        <v>608</v>
      </c>
      <c r="G154" s="3">
        <v>1096</v>
      </c>
      <c r="H154" s="8">
        <v>7</v>
      </c>
      <c r="I154" t="s">
        <v>608</v>
      </c>
      <c r="J154" t="s">
        <v>1297</v>
      </c>
      <c r="K154" t="s">
        <v>609</v>
      </c>
      <c r="L154" t="s">
        <v>1121</v>
      </c>
      <c r="M154" s="12" t="str">
        <f>HYPERLINK(cna_product_database_catalog_website[[#This Row],[Spec Sheet Link]], cna_product_database_catalog_website[[#Headers],[Spec Sheet Link]])</f>
        <v>Spec Sheet Link</v>
      </c>
      <c r="N154" t="s">
        <v>47</v>
      </c>
      <c r="O154" s="3">
        <v>1</v>
      </c>
      <c r="P154" s="3">
        <v>1</v>
      </c>
      <c r="Q154" t="s">
        <v>48</v>
      </c>
      <c r="R154" t="s">
        <v>53</v>
      </c>
      <c r="S154" t="s">
        <v>48</v>
      </c>
      <c r="T154" t="s">
        <v>48</v>
      </c>
      <c r="U154" t="s">
        <v>48</v>
      </c>
      <c r="V154" t="s">
        <v>48</v>
      </c>
      <c r="W154" t="s">
        <v>48</v>
      </c>
      <c r="X154" t="s">
        <v>48</v>
      </c>
      <c r="Y154" s="3" t="s">
        <v>48</v>
      </c>
      <c r="Z154" s="3" t="s">
        <v>48</v>
      </c>
      <c r="AA154" s="3" t="s">
        <v>48</v>
      </c>
      <c r="AB154" s="1" t="s">
        <v>48</v>
      </c>
      <c r="AC154" s="1" t="s">
        <v>48</v>
      </c>
      <c r="AD154" t="s">
        <v>48</v>
      </c>
      <c r="AE154"/>
      <c r="AF154" t="s">
        <v>48</v>
      </c>
      <c r="AG154" t="s">
        <v>48</v>
      </c>
      <c r="AH154" t="s">
        <v>48</v>
      </c>
      <c r="AI154" t="s">
        <v>48</v>
      </c>
      <c r="AL154" t="s">
        <v>48</v>
      </c>
      <c r="AO154" t="s">
        <v>48</v>
      </c>
      <c r="AP154" t="s">
        <v>48</v>
      </c>
      <c r="AQ154" t="s">
        <v>48</v>
      </c>
      <c r="AR154">
        <v>150</v>
      </c>
      <c r="AV154" t="s">
        <v>48</v>
      </c>
      <c r="AW154" t="s">
        <v>48</v>
      </c>
      <c r="AX154" s="2" t="s">
        <v>48</v>
      </c>
      <c r="AY154" s="2" t="s">
        <v>48</v>
      </c>
      <c r="BC154">
        <f>SUM(cna_product_database_catalog_website[[#This Row],[Box Length (cm)]]*cna_product_database_catalog_website[[#This Row],[Box Width (cm)]]*cna_product_database_catalog_website[[#This Row],[Box Height (cm)]]/1000000)</f>
        <v>0</v>
      </c>
      <c r="BD154">
        <f>SUM(cna_product_database_catalog_website[[#This Row],[Box CBM]]*35.3147)</f>
        <v>0</v>
      </c>
      <c r="BE154" t="s">
        <v>48</v>
      </c>
      <c r="BI15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54">
        <f>SUM(cna_product_database_catalog_website[[#This Row],[Carton CFT]]/61024)</f>
        <v>0</v>
      </c>
      <c r="BM154" t="s">
        <v>48</v>
      </c>
      <c r="BN154" t="s">
        <v>48</v>
      </c>
      <c r="BO154" t="s">
        <v>48</v>
      </c>
      <c r="BP154" t="s">
        <v>48</v>
      </c>
      <c r="BQ154" t="s">
        <v>48</v>
      </c>
      <c r="BS154" t="s">
        <v>48</v>
      </c>
      <c r="BT154" t="s">
        <v>48</v>
      </c>
      <c r="BU154" t="s">
        <v>48</v>
      </c>
      <c r="BW154" t="s">
        <v>48</v>
      </c>
      <c r="BX154" t="s">
        <v>48</v>
      </c>
      <c r="BY154" t="s">
        <v>48</v>
      </c>
      <c r="BZ154" t="s">
        <v>48</v>
      </c>
      <c r="CA154" t="s">
        <v>48</v>
      </c>
      <c r="CB154" t="s">
        <v>48</v>
      </c>
      <c r="CC154" t="s">
        <v>48</v>
      </c>
      <c r="CD154" t="s">
        <v>48</v>
      </c>
      <c r="CE154" t="s">
        <v>48</v>
      </c>
      <c r="CF154" t="s">
        <v>48</v>
      </c>
      <c r="CG154" t="s">
        <v>48</v>
      </c>
      <c r="CH154" t="s">
        <v>48</v>
      </c>
      <c r="CI154" t="s">
        <v>48</v>
      </c>
      <c r="CJ154" t="s">
        <v>48</v>
      </c>
    </row>
    <row r="155" spans="1:88" x14ac:dyDescent="0.25">
      <c r="A155" s="4" t="s">
        <v>2106</v>
      </c>
      <c r="B155" s="4" t="s">
        <v>2108</v>
      </c>
      <c r="C155" s="4" t="s">
        <v>1295</v>
      </c>
      <c r="D155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Cabinet&gt;Linear&gt;T5Bar Mounting Accessories</v>
      </c>
      <c r="E155">
        <v>638</v>
      </c>
      <c r="F155" t="s">
        <v>610</v>
      </c>
      <c r="G155" s="3">
        <v>1126</v>
      </c>
      <c r="H155" s="8">
        <v>3</v>
      </c>
      <c r="I155" t="s">
        <v>610</v>
      </c>
      <c r="J155" t="s">
        <v>1298</v>
      </c>
      <c r="K155" t="s">
        <v>611</v>
      </c>
      <c r="L155" t="s">
        <v>1121</v>
      </c>
      <c r="M155" s="12" t="str">
        <f>HYPERLINK(cna_product_database_catalog_website[[#This Row],[Spec Sheet Link]], cna_product_database_catalog_website[[#Headers],[Spec Sheet Link]])</f>
        <v>Spec Sheet Link</v>
      </c>
      <c r="N155" t="s">
        <v>47</v>
      </c>
      <c r="O155" s="3">
        <v>1</v>
      </c>
      <c r="P155" s="3">
        <v>1</v>
      </c>
      <c r="Q155" t="s">
        <v>48</v>
      </c>
      <c r="R155" t="s">
        <v>48</v>
      </c>
      <c r="S155" t="s">
        <v>48</v>
      </c>
      <c r="T155" t="s">
        <v>48</v>
      </c>
      <c r="U155" t="s">
        <v>48</v>
      </c>
      <c r="V155" t="s">
        <v>48</v>
      </c>
      <c r="W155" t="s">
        <v>48</v>
      </c>
      <c r="X155" t="s">
        <v>48</v>
      </c>
      <c r="Y155" s="3" t="s">
        <v>48</v>
      </c>
      <c r="Z155" s="3" t="s">
        <v>48</v>
      </c>
      <c r="AA155" s="3" t="s">
        <v>48</v>
      </c>
      <c r="AB155" s="1" t="s">
        <v>48</v>
      </c>
      <c r="AC155" s="1" t="s">
        <v>48</v>
      </c>
      <c r="AD155" t="s">
        <v>48</v>
      </c>
      <c r="AE155"/>
      <c r="AF155" t="s">
        <v>48</v>
      </c>
      <c r="AG155" t="s">
        <v>48</v>
      </c>
      <c r="AH155" t="s">
        <v>48</v>
      </c>
      <c r="AI155" t="s">
        <v>48</v>
      </c>
      <c r="AL155" t="s">
        <v>48</v>
      </c>
      <c r="AO155" t="s">
        <v>48</v>
      </c>
      <c r="AP155" t="s">
        <v>48</v>
      </c>
      <c r="AQ155" t="s">
        <v>48</v>
      </c>
      <c r="AV155" t="s">
        <v>48</v>
      </c>
      <c r="AW155" t="s">
        <v>48</v>
      </c>
      <c r="AX155" s="2" t="s">
        <v>48</v>
      </c>
      <c r="AY155" s="2" t="s">
        <v>48</v>
      </c>
      <c r="BC155">
        <f>SUM(cna_product_database_catalog_website[[#This Row],[Box Length (cm)]]*cna_product_database_catalog_website[[#This Row],[Box Width (cm)]]*cna_product_database_catalog_website[[#This Row],[Box Height (cm)]]/1000000)</f>
        <v>0</v>
      </c>
      <c r="BD155">
        <f>SUM(cna_product_database_catalog_website[[#This Row],[Box CBM]]*35.3147)</f>
        <v>0</v>
      </c>
      <c r="BE155" t="s">
        <v>48</v>
      </c>
      <c r="BI15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55">
        <f>SUM(cna_product_database_catalog_website[[#This Row],[Carton CFT]]/61024)</f>
        <v>0</v>
      </c>
      <c r="BM155" t="s">
        <v>48</v>
      </c>
      <c r="BN155" t="s">
        <v>48</v>
      </c>
      <c r="BO155" t="s">
        <v>48</v>
      </c>
      <c r="BP155" t="s">
        <v>48</v>
      </c>
      <c r="BQ155" t="s">
        <v>48</v>
      </c>
      <c r="BS155" t="s">
        <v>48</v>
      </c>
      <c r="BT155" t="s">
        <v>48</v>
      </c>
      <c r="BU155" t="s">
        <v>48</v>
      </c>
      <c r="BW155" t="s">
        <v>48</v>
      </c>
      <c r="BX155" t="s">
        <v>48</v>
      </c>
      <c r="BY155" t="s">
        <v>48</v>
      </c>
      <c r="BZ155" t="s">
        <v>48</v>
      </c>
      <c r="CA155" t="s">
        <v>48</v>
      </c>
      <c r="CB155" t="s">
        <v>48</v>
      </c>
      <c r="CC155" t="s">
        <v>48</v>
      </c>
      <c r="CD155" t="s">
        <v>48</v>
      </c>
      <c r="CE155" t="s">
        <v>48</v>
      </c>
      <c r="CF155" t="s">
        <v>48</v>
      </c>
      <c r="CG155" t="s">
        <v>48</v>
      </c>
      <c r="CH155" t="s">
        <v>48</v>
      </c>
      <c r="CI155" t="s">
        <v>48</v>
      </c>
      <c r="CJ155" t="s">
        <v>48</v>
      </c>
    </row>
    <row r="156" spans="1:88" x14ac:dyDescent="0.25">
      <c r="A156" s="4" t="s">
        <v>2106</v>
      </c>
      <c r="B156" s="4" t="s">
        <v>2108</v>
      </c>
      <c r="C156" s="4" t="s">
        <v>2112</v>
      </c>
      <c r="D156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Cabinet&gt;Linear&gt;T5DL Series - 3FT</v>
      </c>
      <c r="E156">
        <v>645</v>
      </c>
      <c r="F156" t="s">
        <v>614</v>
      </c>
      <c r="G156" s="3">
        <v>971</v>
      </c>
      <c r="H156" s="8">
        <v>24.5</v>
      </c>
      <c r="I156" t="s">
        <v>614</v>
      </c>
      <c r="J156" t="s">
        <v>614</v>
      </c>
      <c r="K156" t="s">
        <v>612</v>
      </c>
      <c r="L156" t="s">
        <v>1123</v>
      </c>
      <c r="M156" s="12" t="str">
        <f>HYPERLINK(cna_product_database_catalog_website[[#This Row],[Spec Sheet Link]], cna_product_database_catalog_website[[#Headers],[Spec Sheet Link]])</f>
        <v>Spec Sheet Link</v>
      </c>
      <c r="N156" t="s">
        <v>47</v>
      </c>
      <c r="O156" s="3">
        <v>1</v>
      </c>
      <c r="P156" s="3">
        <v>1</v>
      </c>
      <c r="Q156" t="s">
        <v>424</v>
      </c>
      <c r="R156" t="s">
        <v>53</v>
      </c>
      <c r="S156" t="s">
        <v>1653</v>
      </c>
      <c r="T156" t="s">
        <v>1071</v>
      </c>
      <c r="U156" t="s">
        <v>419</v>
      </c>
      <c r="V156" t="s">
        <v>1652</v>
      </c>
      <c r="W156" t="s">
        <v>48</v>
      </c>
      <c r="X156" t="s">
        <v>58</v>
      </c>
      <c r="Y156" s="3" t="s">
        <v>48</v>
      </c>
      <c r="Z156" s="3">
        <v>80</v>
      </c>
      <c r="AA156" s="3" t="s">
        <v>60</v>
      </c>
      <c r="AB156" s="1" t="s">
        <v>1139</v>
      </c>
      <c r="AC156" s="1" t="s">
        <v>48</v>
      </c>
      <c r="AD156" t="s">
        <v>450</v>
      </c>
      <c r="AE156"/>
      <c r="AF156" t="s">
        <v>603</v>
      </c>
      <c r="AG156" t="s">
        <v>48</v>
      </c>
      <c r="AH156" t="s">
        <v>1658</v>
      </c>
      <c r="AI156" t="s">
        <v>48</v>
      </c>
      <c r="AK156" t="s">
        <v>191</v>
      </c>
      <c r="AL156" t="s">
        <v>48</v>
      </c>
      <c r="AN156" t="s">
        <v>76</v>
      </c>
      <c r="AO156" t="s">
        <v>48</v>
      </c>
      <c r="AP156" t="s">
        <v>48</v>
      </c>
      <c r="AQ156" t="s">
        <v>48</v>
      </c>
      <c r="AR156">
        <v>342</v>
      </c>
      <c r="AV156" t="s">
        <v>48</v>
      </c>
      <c r="AW156" t="s">
        <v>601</v>
      </c>
      <c r="AX156" s="2" t="s">
        <v>613</v>
      </c>
      <c r="AY156" s="2" t="s">
        <v>613</v>
      </c>
      <c r="BC156">
        <f>SUM(cna_product_database_catalog_website[[#This Row],[Box Length (cm)]]*cna_product_database_catalog_website[[#This Row],[Box Width (cm)]]*cna_product_database_catalog_website[[#This Row],[Box Height (cm)]]/1000000)</f>
        <v>0</v>
      </c>
      <c r="BD156">
        <f>SUM(cna_product_database_catalog_website[[#This Row],[Box CBM]]*35.3147)</f>
        <v>0</v>
      </c>
      <c r="BE156" t="s">
        <v>48</v>
      </c>
      <c r="BI15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56">
        <f>SUM(cna_product_database_catalog_website[[#This Row],[Carton CFT]]/61024)</f>
        <v>0</v>
      </c>
      <c r="BM156" t="s">
        <v>48</v>
      </c>
      <c r="BN156" t="s">
        <v>48</v>
      </c>
      <c r="BO156" t="s">
        <v>48</v>
      </c>
      <c r="BP156" t="s">
        <v>48</v>
      </c>
      <c r="BQ156" t="s">
        <v>48</v>
      </c>
      <c r="BS156" t="s">
        <v>48</v>
      </c>
      <c r="BT156" t="s">
        <v>48</v>
      </c>
      <c r="BU156" t="s">
        <v>48</v>
      </c>
      <c r="BW156" t="s">
        <v>48</v>
      </c>
      <c r="BX156" t="s">
        <v>48</v>
      </c>
      <c r="BY156" t="s">
        <v>48</v>
      </c>
      <c r="BZ156" t="s">
        <v>48</v>
      </c>
      <c r="CA156" t="s">
        <v>48</v>
      </c>
      <c r="CB156" t="s">
        <v>48</v>
      </c>
      <c r="CC156" t="s">
        <v>48</v>
      </c>
      <c r="CD156" t="s">
        <v>48</v>
      </c>
      <c r="CE156" t="s">
        <v>48</v>
      </c>
      <c r="CF156" t="s">
        <v>48</v>
      </c>
      <c r="CG156" t="s">
        <v>48</v>
      </c>
      <c r="CH156" t="s">
        <v>48</v>
      </c>
      <c r="CI156" t="s">
        <v>48</v>
      </c>
      <c r="CJ156" t="s">
        <v>48</v>
      </c>
    </row>
    <row r="157" spans="1:88" x14ac:dyDescent="0.25">
      <c r="A157" s="4" t="s">
        <v>2106</v>
      </c>
      <c r="B157" s="4" t="s">
        <v>2108</v>
      </c>
      <c r="C157" s="4" t="s">
        <v>2115</v>
      </c>
      <c r="D157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Cabinet&gt;Linear&gt;T5DL Series - 4FT</v>
      </c>
      <c r="E157">
        <v>646</v>
      </c>
      <c r="F157" t="s">
        <v>615</v>
      </c>
      <c r="G157" s="3">
        <v>972</v>
      </c>
      <c r="H157" s="8">
        <v>28.5</v>
      </c>
      <c r="I157" t="s">
        <v>615</v>
      </c>
      <c r="J157" t="s">
        <v>615</v>
      </c>
      <c r="K157" t="s">
        <v>612</v>
      </c>
      <c r="L157" t="s">
        <v>1123</v>
      </c>
      <c r="M157" s="12" t="str">
        <f>HYPERLINK(cna_product_database_catalog_website[[#This Row],[Spec Sheet Link]], cna_product_database_catalog_website[[#Headers],[Spec Sheet Link]])</f>
        <v>Spec Sheet Link</v>
      </c>
      <c r="N157" t="s">
        <v>47</v>
      </c>
      <c r="O157" s="3">
        <v>1</v>
      </c>
      <c r="P157" s="3">
        <v>1</v>
      </c>
      <c r="Q157" t="s">
        <v>370</v>
      </c>
      <c r="R157" t="s">
        <v>53</v>
      </c>
      <c r="S157" t="s">
        <v>1654</v>
      </c>
      <c r="T157" t="s">
        <v>1655</v>
      </c>
      <c r="U157" t="s">
        <v>419</v>
      </c>
      <c r="V157" t="s">
        <v>1652</v>
      </c>
      <c r="W157" t="s">
        <v>48</v>
      </c>
      <c r="X157" t="s">
        <v>58</v>
      </c>
      <c r="Y157" s="3" t="s">
        <v>48</v>
      </c>
      <c r="Z157" s="3">
        <v>80</v>
      </c>
      <c r="AA157" s="3" t="s">
        <v>60</v>
      </c>
      <c r="AB157" s="1" t="s">
        <v>1139</v>
      </c>
      <c r="AC157" s="1" t="s">
        <v>48</v>
      </c>
      <c r="AD157" t="s">
        <v>450</v>
      </c>
      <c r="AE157"/>
      <c r="AF157" t="s">
        <v>584</v>
      </c>
      <c r="AG157" t="s">
        <v>48</v>
      </c>
      <c r="AH157" t="s">
        <v>1659</v>
      </c>
      <c r="AI157" t="s">
        <v>48</v>
      </c>
      <c r="AK157" t="s">
        <v>191</v>
      </c>
      <c r="AL157" t="s">
        <v>48</v>
      </c>
      <c r="AN157" t="s">
        <v>76</v>
      </c>
      <c r="AO157" t="s">
        <v>48</v>
      </c>
      <c r="AP157" t="s">
        <v>48</v>
      </c>
      <c r="AQ157" t="s">
        <v>48</v>
      </c>
      <c r="AR157">
        <v>462</v>
      </c>
      <c r="AV157" t="s">
        <v>48</v>
      </c>
      <c r="AW157" t="s">
        <v>601</v>
      </c>
      <c r="AX157" s="2" t="s">
        <v>613</v>
      </c>
      <c r="AY157" s="2" t="s">
        <v>613</v>
      </c>
      <c r="BC157">
        <f>SUM(cna_product_database_catalog_website[[#This Row],[Box Length (cm)]]*cna_product_database_catalog_website[[#This Row],[Box Width (cm)]]*cna_product_database_catalog_website[[#This Row],[Box Height (cm)]]/1000000)</f>
        <v>0</v>
      </c>
      <c r="BD157">
        <f>SUM(cna_product_database_catalog_website[[#This Row],[Box CBM]]*35.3147)</f>
        <v>0</v>
      </c>
      <c r="BE157" t="s">
        <v>48</v>
      </c>
      <c r="BI15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57">
        <f>SUM(cna_product_database_catalog_website[[#This Row],[Carton CFT]]/61024)</f>
        <v>0</v>
      </c>
      <c r="BM157" t="s">
        <v>48</v>
      </c>
      <c r="BN157" t="s">
        <v>48</v>
      </c>
      <c r="BO157" t="s">
        <v>48</v>
      </c>
      <c r="BP157" t="s">
        <v>48</v>
      </c>
      <c r="BQ157" t="s">
        <v>48</v>
      </c>
      <c r="BS157" t="s">
        <v>48</v>
      </c>
      <c r="BT157" t="s">
        <v>48</v>
      </c>
      <c r="BU157" t="s">
        <v>48</v>
      </c>
      <c r="BW157" t="s">
        <v>48</v>
      </c>
      <c r="BX157" t="s">
        <v>48</v>
      </c>
      <c r="BY157" t="s">
        <v>48</v>
      </c>
      <c r="BZ157" t="s">
        <v>48</v>
      </c>
      <c r="CA157" t="s">
        <v>48</v>
      </c>
      <c r="CB157" t="s">
        <v>48</v>
      </c>
      <c r="CC157" t="s">
        <v>48</v>
      </c>
      <c r="CD157" t="s">
        <v>48</v>
      </c>
      <c r="CE157" t="s">
        <v>48</v>
      </c>
      <c r="CF157" t="s">
        <v>48</v>
      </c>
      <c r="CG157" t="s">
        <v>48</v>
      </c>
      <c r="CH157" t="s">
        <v>48</v>
      </c>
      <c r="CI157" t="s">
        <v>48</v>
      </c>
      <c r="CJ157" t="s">
        <v>48</v>
      </c>
    </row>
    <row r="158" spans="1:88" x14ac:dyDescent="0.25">
      <c r="A158" s="4" t="s">
        <v>2106</v>
      </c>
      <c r="B158" s="4" t="s">
        <v>2108</v>
      </c>
      <c r="C158" s="4" t="s">
        <v>2116</v>
      </c>
      <c r="D158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Cabinet&gt;Linear&gt;T5DL Series - Link Cable - 1M</v>
      </c>
      <c r="E158">
        <v>647</v>
      </c>
      <c r="F158" t="s">
        <v>616</v>
      </c>
      <c r="G158" s="3">
        <v>992</v>
      </c>
      <c r="H158" s="8">
        <v>3.5</v>
      </c>
      <c r="I158" t="s">
        <v>616</v>
      </c>
      <c r="J158" t="s">
        <v>616</v>
      </c>
      <c r="K158" t="s">
        <v>607</v>
      </c>
      <c r="L158" t="s">
        <v>1123</v>
      </c>
      <c r="M158" s="12" t="str">
        <f>HYPERLINK(cna_product_database_catalog_website[[#This Row],[Spec Sheet Link]], cna_product_database_catalog_website[[#Headers],[Spec Sheet Link]])</f>
        <v>Spec Sheet Link</v>
      </c>
      <c r="N158" t="s">
        <v>47</v>
      </c>
      <c r="O158" s="3">
        <v>1</v>
      </c>
      <c r="P158" s="3">
        <v>1</v>
      </c>
      <c r="Q158" t="s">
        <v>48</v>
      </c>
      <c r="R158" t="s">
        <v>48</v>
      </c>
      <c r="S158" t="s">
        <v>48</v>
      </c>
      <c r="T158" t="s">
        <v>48</v>
      </c>
      <c r="U158" t="s">
        <v>48</v>
      </c>
      <c r="V158" t="s">
        <v>48</v>
      </c>
      <c r="W158" t="s">
        <v>48</v>
      </c>
      <c r="X158" t="s">
        <v>48</v>
      </c>
      <c r="Y158" s="3" t="s">
        <v>48</v>
      </c>
      <c r="Z158" s="3" t="s">
        <v>48</v>
      </c>
      <c r="AA158" s="3" t="s">
        <v>48</v>
      </c>
      <c r="AB158" s="1" t="s">
        <v>48</v>
      </c>
      <c r="AC158" s="1" t="s">
        <v>48</v>
      </c>
      <c r="AD158" t="s">
        <v>48</v>
      </c>
      <c r="AE158"/>
      <c r="AF158" t="s">
        <v>48</v>
      </c>
      <c r="AG158" t="s">
        <v>48</v>
      </c>
      <c r="AH158" t="s">
        <v>48</v>
      </c>
      <c r="AI158" t="s">
        <v>48</v>
      </c>
      <c r="AL158" t="s">
        <v>48</v>
      </c>
      <c r="AO158" t="s">
        <v>48</v>
      </c>
      <c r="AP158" t="s">
        <v>48</v>
      </c>
      <c r="AQ158" t="s">
        <v>48</v>
      </c>
      <c r="AR158">
        <v>150</v>
      </c>
      <c r="AV158" t="s">
        <v>48</v>
      </c>
      <c r="AW158" t="s">
        <v>48</v>
      </c>
      <c r="AX158" s="2" t="s">
        <v>49</v>
      </c>
      <c r="AY158" s="2" t="s">
        <v>49</v>
      </c>
      <c r="BC158">
        <f>SUM(cna_product_database_catalog_website[[#This Row],[Box Length (cm)]]*cna_product_database_catalog_website[[#This Row],[Box Width (cm)]]*cna_product_database_catalog_website[[#This Row],[Box Height (cm)]]/1000000)</f>
        <v>0</v>
      </c>
      <c r="BD158">
        <f>SUM(cna_product_database_catalog_website[[#This Row],[Box CBM]]*35.3147)</f>
        <v>0</v>
      </c>
      <c r="BE158" t="s">
        <v>48</v>
      </c>
      <c r="BI15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58">
        <f>SUM(cna_product_database_catalog_website[[#This Row],[Carton CFT]]/61024)</f>
        <v>0</v>
      </c>
      <c r="BM158" t="s">
        <v>48</v>
      </c>
      <c r="BN158" t="s">
        <v>48</v>
      </c>
      <c r="BO158" t="s">
        <v>48</v>
      </c>
      <c r="BP158" t="s">
        <v>48</v>
      </c>
      <c r="BQ158" t="s">
        <v>48</v>
      </c>
      <c r="BS158" t="s">
        <v>48</v>
      </c>
      <c r="BT158" t="s">
        <v>48</v>
      </c>
      <c r="BU158" t="s">
        <v>48</v>
      </c>
      <c r="BW158" t="s">
        <v>48</v>
      </c>
      <c r="BX158" t="s">
        <v>48</v>
      </c>
      <c r="BY158" t="s">
        <v>48</v>
      </c>
      <c r="BZ158" t="s">
        <v>48</v>
      </c>
      <c r="CA158" t="s">
        <v>48</v>
      </c>
      <c r="CB158" t="s">
        <v>48</v>
      </c>
      <c r="CC158" t="s">
        <v>48</v>
      </c>
      <c r="CD158" t="s">
        <v>48</v>
      </c>
      <c r="CE158" t="s">
        <v>48</v>
      </c>
      <c r="CF158" t="s">
        <v>48</v>
      </c>
      <c r="CG158" t="s">
        <v>48</v>
      </c>
      <c r="CH158" t="s">
        <v>48</v>
      </c>
      <c r="CI158" t="s">
        <v>48</v>
      </c>
      <c r="CJ158" t="s">
        <v>48</v>
      </c>
    </row>
    <row r="159" spans="1:88" x14ac:dyDescent="0.25">
      <c r="A159" s="4" t="s">
        <v>2106</v>
      </c>
      <c r="B159" s="4" t="s">
        <v>2108</v>
      </c>
      <c r="C159" s="4" t="s">
        <v>2117</v>
      </c>
      <c r="D159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Cabinet&gt;Linear&gt;T5DL Series - Junction Box</v>
      </c>
      <c r="E159">
        <v>648</v>
      </c>
      <c r="F159" t="s">
        <v>617</v>
      </c>
      <c r="G159" s="3">
        <v>974</v>
      </c>
      <c r="H159" s="8">
        <v>7</v>
      </c>
      <c r="I159" t="s">
        <v>617</v>
      </c>
      <c r="J159" t="s">
        <v>617</v>
      </c>
      <c r="K159" t="s">
        <v>618</v>
      </c>
      <c r="L159" t="s">
        <v>1123</v>
      </c>
      <c r="M159" s="12" t="str">
        <f>HYPERLINK(cna_product_database_catalog_website[[#This Row],[Spec Sheet Link]], cna_product_database_catalog_website[[#Headers],[Spec Sheet Link]])</f>
        <v>Spec Sheet Link</v>
      </c>
      <c r="N159" t="s">
        <v>47</v>
      </c>
      <c r="O159" s="3">
        <v>1</v>
      </c>
      <c r="P159" s="3">
        <v>1</v>
      </c>
      <c r="Q159" t="s">
        <v>48</v>
      </c>
      <c r="R159" t="s">
        <v>48</v>
      </c>
      <c r="S159" t="s">
        <v>48</v>
      </c>
      <c r="T159" t="s">
        <v>48</v>
      </c>
      <c r="U159" t="s">
        <v>48</v>
      </c>
      <c r="V159" t="s">
        <v>48</v>
      </c>
      <c r="W159" t="s">
        <v>48</v>
      </c>
      <c r="X159" t="s">
        <v>48</v>
      </c>
      <c r="Y159" s="3" t="s">
        <v>48</v>
      </c>
      <c r="Z159" s="3" t="s">
        <v>48</v>
      </c>
      <c r="AA159" s="3" t="s">
        <v>48</v>
      </c>
      <c r="AB159" s="1" t="s">
        <v>48</v>
      </c>
      <c r="AC159" s="1" t="s">
        <v>48</v>
      </c>
      <c r="AD159" t="s">
        <v>48</v>
      </c>
      <c r="AE159"/>
      <c r="AF159" t="s">
        <v>48</v>
      </c>
      <c r="AG159" t="s">
        <v>48</v>
      </c>
      <c r="AH159" t="s">
        <v>48</v>
      </c>
      <c r="AI159" t="s">
        <v>48</v>
      </c>
      <c r="AL159" t="s">
        <v>48</v>
      </c>
      <c r="AO159" t="s">
        <v>48</v>
      </c>
      <c r="AP159" t="s">
        <v>48</v>
      </c>
      <c r="AQ159" t="s">
        <v>48</v>
      </c>
      <c r="AR159">
        <v>150</v>
      </c>
      <c r="AV159" t="s">
        <v>48</v>
      </c>
      <c r="AW159" t="s">
        <v>48</v>
      </c>
      <c r="AX159" s="2" t="s">
        <v>49</v>
      </c>
      <c r="AY159" s="2" t="s">
        <v>49</v>
      </c>
      <c r="BC159">
        <f>SUM(cna_product_database_catalog_website[[#This Row],[Box Length (cm)]]*cna_product_database_catalog_website[[#This Row],[Box Width (cm)]]*cna_product_database_catalog_website[[#This Row],[Box Height (cm)]]/1000000)</f>
        <v>0</v>
      </c>
      <c r="BD159">
        <f>SUM(cna_product_database_catalog_website[[#This Row],[Box CBM]]*35.3147)</f>
        <v>0</v>
      </c>
      <c r="BE159" t="s">
        <v>48</v>
      </c>
      <c r="BI15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59">
        <f>SUM(cna_product_database_catalog_website[[#This Row],[Carton CFT]]/61024)</f>
        <v>0</v>
      </c>
      <c r="BM159" t="s">
        <v>48</v>
      </c>
      <c r="BN159" t="s">
        <v>48</v>
      </c>
      <c r="BO159" t="s">
        <v>48</v>
      </c>
      <c r="BP159" t="s">
        <v>48</v>
      </c>
      <c r="BQ159" t="s">
        <v>48</v>
      </c>
      <c r="BS159" t="s">
        <v>48</v>
      </c>
      <c r="BT159" t="s">
        <v>48</v>
      </c>
      <c r="BU159" t="s">
        <v>48</v>
      </c>
      <c r="BW159" t="s">
        <v>48</v>
      </c>
      <c r="BX159" t="s">
        <v>48</v>
      </c>
      <c r="BY159" t="s">
        <v>48</v>
      </c>
      <c r="BZ159" t="s">
        <v>48</v>
      </c>
      <c r="CA159" t="s">
        <v>48</v>
      </c>
      <c r="CB159" t="s">
        <v>48</v>
      </c>
      <c r="CC159" t="s">
        <v>48</v>
      </c>
      <c r="CD159" t="s">
        <v>48</v>
      </c>
      <c r="CE159" t="s">
        <v>48</v>
      </c>
      <c r="CF159" t="s">
        <v>48</v>
      </c>
      <c r="CG159" t="s">
        <v>48</v>
      </c>
      <c r="CH159" t="s">
        <v>48</v>
      </c>
      <c r="CI159" t="s">
        <v>48</v>
      </c>
      <c r="CJ159" t="s">
        <v>48</v>
      </c>
    </row>
    <row r="160" spans="1:88" x14ac:dyDescent="0.25">
      <c r="A160" s="4" t="s">
        <v>2106</v>
      </c>
      <c r="B160" s="4" t="s">
        <v>2108</v>
      </c>
      <c r="C160" s="4" t="s">
        <v>2118</v>
      </c>
      <c r="D160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Cabinet&gt;Linear&gt;T5DL Series- Plug - 2M</v>
      </c>
      <c r="E160">
        <v>649</v>
      </c>
      <c r="F160" t="s">
        <v>619</v>
      </c>
      <c r="G160" s="3">
        <v>973</v>
      </c>
      <c r="H160" s="8">
        <v>7</v>
      </c>
      <c r="I160" t="s">
        <v>619</v>
      </c>
      <c r="J160" t="s">
        <v>619</v>
      </c>
      <c r="K160" t="s">
        <v>620</v>
      </c>
      <c r="L160" t="s">
        <v>1123</v>
      </c>
      <c r="M160" s="12" t="str">
        <f>HYPERLINK(cna_product_database_catalog_website[[#This Row],[Spec Sheet Link]], cna_product_database_catalog_website[[#Headers],[Spec Sheet Link]])</f>
        <v>Spec Sheet Link</v>
      </c>
      <c r="N160" t="s">
        <v>47</v>
      </c>
      <c r="O160" s="3">
        <v>1</v>
      </c>
      <c r="P160" s="3">
        <v>1</v>
      </c>
      <c r="Q160" t="s">
        <v>48</v>
      </c>
      <c r="R160" t="s">
        <v>48</v>
      </c>
      <c r="S160" t="s">
        <v>48</v>
      </c>
      <c r="T160" t="s">
        <v>48</v>
      </c>
      <c r="U160" t="s">
        <v>48</v>
      </c>
      <c r="V160" t="s">
        <v>48</v>
      </c>
      <c r="W160" t="s">
        <v>48</v>
      </c>
      <c r="X160" t="s">
        <v>48</v>
      </c>
      <c r="Y160" s="3" t="s">
        <v>48</v>
      </c>
      <c r="Z160" s="3" t="s">
        <v>48</v>
      </c>
      <c r="AA160" s="3" t="s">
        <v>48</v>
      </c>
      <c r="AB160" s="1" t="s">
        <v>48</v>
      </c>
      <c r="AC160" s="1" t="s">
        <v>48</v>
      </c>
      <c r="AD160" t="s">
        <v>48</v>
      </c>
      <c r="AE160"/>
      <c r="AF160" t="s">
        <v>48</v>
      </c>
      <c r="AG160" t="s">
        <v>48</v>
      </c>
      <c r="AH160" t="s">
        <v>48</v>
      </c>
      <c r="AI160" t="s">
        <v>48</v>
      </c>
      <c r="AL160" t="s">
        <v>48</v>
      </c>
      <c r="AO160" t="s">
        <v>48</v>
      </c>
      <c r="AP160" t="s">
        <v>48</v>
      </c>
      <c r="AQ160" t="s">
        <v>48</v>
      </c>
      <c r="AR160">
        <v>150</v>
      </c>
      <c r="AV160" t="s">
        <v>48</v>
      </c>
      <c r="AW160" t="s">
        <v>48</v>
      </c>
      <c r="AX160" s="2" t="s">
        <v>49</v>
      </c>
      <c r="AY160" s="2" t="s">
        <v>49</v>
      </c>
      <c r="BC160">
        <f>SUM(cna_product_database_catalog_website[[#This Row],[Box Length (cm)]]*cna_product_database_catalog_website[[#This Row],[Box Width (cm)]]*cna_product_database_catalog_website[[#This Row],[Box Height (cm)]]/1000000)</f>
        <v>0</v>
      </c>
      <c r="BD160">
        <f>SUM(cna_product_database_catalog_website[[#This Row],[Box CBM]]*35.3147)</f>
        <v>0</v>
      </c>
      <c r="BE160" t="s">
        <v>48</v>
      </c>
      <c r="BI16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60">
        <f>SUM(cna_product_database_catalog_website[[#This Row],[Carton CFT]]/61024)</f>
        <v>0</v>
      </c>
      <c r="BM160" t="s">
        <v>48</v>
      </c>
      <c r="BN160" t="s">
        <v>48</v>
      </c>
      <c r="BO160" t="s">
        <v>48</v>
      </c>
      <c r="BP160" t="s">
        <v>48</v>
      </c>
      <c r="BQ160" t="s">
        <v>48</v>
      </c>
      <c r="BS160" t="s">
        <v>48</v>
      </c>
      <c r="BT160" t="s">
        <v>48</v>
      </c>
      <c r="BU160" t="s">
        <v>48</v>
      </c>
      <c r="BW160" t="s">
        <v>48</v>
      </c>
      <c r="BX160" t="s">
        <v>48</v>
      </c>
      <c r="BY160" t="s">
        <v>48</v>
      </c>
      <c r="BZ160" t="s">
        <v>48</v>
      </c>
      <c r="CA160" t="s">
        <v>48</v>
      </c>
      <c r="CB160" t="s">
        <v>48</v>
      </c>
      <c r="CC160" t="s">
        <v>48</v>
      </c>
      <c r="CD160" t="s">
        <v>48</v>
      </c>
      <c r="CE160" t="s">
        <v>48</v>
      </c>
      <c r="CF160" t="s">
        <v>48</v>
      </c>
      <c r="CG160" t="s">
        <v>48</v>
      </c>
      <c r="CH160" t="s">
        <v>48</v>
      </c>
      <c r="CI160" t="s">
        <v>48</v>
      </c>
      <c r="CJ160" t="s">
        <v>48</v>
      </c>
    </row>
    <row r="161" spans="1:88" x14ac:dyDescent="0.25">
      <c r="A161" s="4" t="s">
        <v>2106</v>
      </c>
      <c r="B161" s="4" t="s">
        <v>2108</v>
      </c>
      <c r="C161" s="4" t="s">
        <v>2119</v>
      </c>
      <c r="D161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Cabinet&gt;Linear&gt;LSH Series - Plug - 2M</v>
      </c>
      <c r="E161">
        <v>650</v>
      </c>
      <c r="F161" t="s">
        <v>621</v>
      </c>
      <c r="G161" s="3">
        <v>845</v>
      </c>
      <c r="H161" s="8">
        <v>5</v>
      </c>
      <c r="I161" t="s">
        <v>621</v>
      </c>
      <c r="J161" t="s">
        <v>621</v>
      </c>
      <c r="K161" t="s">
        <v>622</v>
      </c>
      <c r="L161" t="s">
        <v>1122</v>
      </c>
      <c r="M161" s="12" t="str">
        <f>HYPERLINK(cna_product_database_catalog_website[[#This Row],[Spec Sheet Link]], cna_product_database_catalog_website[[#Headers],[Spec Sheet Link]])</f>
        <v>Spec Sheet Link</v>
      </c>
      <c r="N161" t="s">
        <v>47</v>
      </c>
      <c r="O161" s="3">
        <v>1</v>
      </c>
      <c r="P161" s="3">
        <v>1</v>
      </c>
      <c r="Q161" t="s">
        <v>48</v>
      </c>
      <c r="R161" t="s">
        <v>48</v>
      </c>
      <c r="S161" t="s">
        <v>48</v>
      </c>
      <c r="T161" t="s">
        <v>48</v>
      </c>
      <c r="U161" t="s">
        <v>48</v>
      </c>
      <c r="V161" t="s">
        <v>48</v>
      </c>
      <c r="W161" t="s">
        <v>48</v>
      </c>
      <c r="X161" t="s">
        <v>48</v>
      </c>
      <c r="Y161" s="3" t="s">
        <v>48</v>
      </c>
      <c r="Z161" s="3" t="s">
        <v>48</v>
      </c>
      <c r="AA161" s="3" t="s">
        <v>48</v>
      </c>
      <c r="AB161" s="1" t="s">
        <v>48</v>
      </c>
      <c r="AC161" s="1" t="s">
        <v>48</v>
      </c>
      <c r="AD161" t="s">
        <v>48</v>
      </c>
      <c r="AE161"/>
      <c r="AF161" t="s">
        <v>48</v>
      </c>
      <c r="AG161" t="s">
        <v>48</v>
      </c>
      <c r="AH161" t="s">
        <v>48</v>
      </c>
      <c r="AI161" t="s">
        <v>48</v>
      </c>
      <c r="AL161" t="s">
        <v>48</v>
      </c>
      <c r="AO161" t="s">
        <v>48</v>
      </c>
      <c r="AP161" t="s">
        <v>48</v>
      </c>
      <c r="AQ161" t="s">
        <v>48</v>
      </c>
      <c r="AV161" t="s">
        <v>48</v>
      </c>
      <c r="AW161" t="s">
        <v>48</v>
      </c>
      <c r="AX161" s="2" t="s">
        <v>49</v>
      </c>
      <c r="AY161" s="2" t="s">
        <v>49</v>
      </c>
      <c r="BC161">
        <f>SUM(cna_product_database_catalog_website[[#This Row],[Box Length (cm)]]*cna_product_database_catalog_website[[#This Row],[Box Width (cm)]]*cna_product_database_catalog_website[[#This Row],[Box Height (cm)]]/1000000)</f>
        <v>0</v>
      </c>
      <c r="BD161">
        <f>SUM(cna_product_database_catalog_website[[#This Row],[Box CBM]]*35.3147)</f>
        <v>0</v>
      </c>
      <c r="BE161" t="s">
        <v>48</v>
      </c>
      <c r="BI16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61">
        <f>SUM(cna_product_database_catalog_website[[#This Row],[Carton CFT]]/61024)</f>
        <v>0</v>
      </c>
      <c r="BM161" t="s">
        <v>48</v>
      </c>
      <c r="BN161" t="s">
        <v>48</v>
      </c>
      <c r="BO161" t="s">
        <v>48</v>
      </c>
      <c r="BP161" t="s">
        <v>48</v>
      </c>
      <c r="BQ161" t="s">
        <v>48</v>
      </c>
      <c r="BS161" t="s">
        <v>48</v>
      </c>
      <c r="BT161" t="s">
        <v>48</v>
      </c>
      <c r="BU161" t="s">
        <v>48</v>
      </c>
      <c r="BW161" t="s">
        <v>48</v>
      </c>
      <c r="BX161" t="s">
        <v>48</v>
      </c>
      <c r="BY161" t="s">
        <v>48</v>
      </c>
      <c r="BZ161" t="s">
        <v>48</v>
      </c>
      <c r="CA161" t="s">
        <v>48</v>
      </c>
      <c r="CB161" t="s">
        <v>48</v>
      </c>
      <c r="CC161" t="s">
        <v>48</v>
      </c>
      <c r="CD161" t="s">
        <v>48</v>
      </c>
      <c r="CE161" t="s">
        <v>48</v>
      </c>
      <c r="CF161" t="s">
        <v>48</v>
      </c>
      <c r="CG161" t="s">
        <v>48</v>
      </c>
      <c r="CH161" t="s">
        <v>48</v>
      </c>
      <c r="CI161" t="s">
        <v>48</v>
      </c>
      <c r="CJ161" t="s">
        <v>48</v>
      </c>
    </row>
    <row r="162" spans="1:88" x14ac:dyDescent="0.25">
      <c r="A162" s="4" t="s">
        <v>2106</v>
      </c>
      <c r="B162" s="4" t="s">
        <v>2108</v>
      </c>
      <c r="C162" s="4" t="s">
        <v>2113</v>
      </c>
      <c r="D162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Cabinet&gt;Linear&gt;LS Series - 1FT</v>
      </c>
      <c r="E162">
        <v>651</v>
      </c>
      <c r="F162" t="s">
        <v>623</v>
      </c>
      <c r="G162" s="3">
        <v>763</v>
      </c>
      <c r="H162" s="8">
        <v>11.5</v>
      </c>
      <c r="I162" t="s">
        <v>623</v>
      </c>
      <c r="J162" t="s">
        <v>623</v>
      </c>
      <c r="K162" t="s">
        <v>624</v>
      </c>
      <c r="L162" t="s">
        <v>1638</v>
      </c>
      <c r="M162" s="12" t="str">
        <f>HYPERLINK(cna_product_database_catalog_website[[#This Row],[Spec Sheet Link]], cna_product_database_catalog_website[[#Headers],[Spec Sheet Link]])</f>
        <v>Spec Sheet Link</v>
      </c>
      <c r="N162" t="s">
        <v>47</v>
      </c>
      <c r="O162" s="3">
        <v>1</v>
      </c>
      <c r="P162" s="3">
        <v>1</v>
      </c>
      <c r="Q162" t="s">
        <v>1639</v>
      </c>
      <c r="R162" t="s">
        <v>53</v>
      </c>
      <c r="S162" t="s">
        <v>48</v>
      </c>
      <c r="T162" t="s">
        <v>1643</v>
      </c>
      <c r="U162" t="s">
        <v>565</v>
      </c>
      <c r="V162" t="s">
        <v>1648</v>
      </c>
      <c r="W162" t="s">
        <v>1650</v>
      </c>
      <c r="X162" t="s">
        <v>58</v>
      </c>
      <c r="Y162" s="3" t="s">
        <v>48</v>
      </c>
      <c r="Z162" s="3">
        <v>80</v>
      </c>
      <c r="AA162" s="3" t="s">
        <v>96</v>
      </c>
      <c r="AB162" s="1" t="s">
        <v>1139</v>
      </c>
      <c r="AC162" s="1" t="s">
        <v>48</v>
      </c>
      <c r="AD162" t="s">
        <v>450</v>
      </c>
      <c r="AE162"/>
      <c r="AF162" t="s">
        <v>600</v>
      </c>
      <c r="AG162" t="s">
        <v>1656</v>
      </c>
      <c r="AI162" t="s">
        <v>48</v>
      </c>
      <c r="AJ162" t="s">
        <v>1660</v>
      </c>
      <c r="AL162" t="s">
        <v>48</v>
      </c>
      <c r="AM162" t="s">
        <v>1661</v>
      </c>
      <c r="AO162" t="s">
        <v>48</v>
      </c>
      <c r="AP162" t="s">
        <v>48</v>
      </c>
      <c r="AQ162" t="s">
        <v>48</v>
      </c>
      <c r="AV162" t="s">
        <v>48</v>
      </c>
      <c r="AW162" t="s">
        <v>601</v>
      </c>
      <c r="AX162" s="2" t="s">
        <v>441</v>
      </c>
      <c r="AY162" s="2" t="s">
        <v>441</v>
      </c>
      <c r="BC162">
        <f>SUM(cna_product_database_catalog_website[[#This Row],[Box Length (cm)]]*cna_product_database_catalog_website[[#This Row],[Box Width (cm)]]*cna_product_database_catalog_website[[#This Row],[Box Height (cm)]]/1000000)</f>
        <v>0</v>
      </c>
      <c r="BD162">
        <f>SUM(cna_product_database_catalog_website[[#This Row],[Box CBM]]*35.3147)</f>
        <v>0</v>
      </c>
      <c r="BE162" t="s">
        <v>48</v>
      </c>
      <c r="BI16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62">
        <f>SUM(cna_product_database_catalog_website[[#This Row],[Carton CFT]]/61024)</f>
        <v>0</v>
      </c>
      <c r="BM162" t="s">
        <v>48</v>
      </c>
      <c r="BN162" t="s">
        <v>48</v>
      </c>
      <c r="BO162" t="s">
        <v>48</v>
      </c>
      <c r="BP162" t="s">
        <v>48</v>
      </c>
      <c r="BQ162" t="s">
        <v>48</v>
      </c>
      <c r="BS162" t="s">
        <v>48</v>
      </c>
      <c r="BT162" t="s">
        <v>48</v>
      </c>
      <c r="BU162" t="s">
        <v>48</v>
      </c>
      <c r="BW162" t="s">
        <v>48</v>
      </c>
      <c r="BX162" t="s">
        <v>48</v>
      </c>
      <c r="BY162" t="s">
        <v>48</v>
      </c>
      <c r="BZ162" t="s">
        <v>48</v>
      </c>
      <c r="CA162" t="s">
        <v>48</v>
      </c>
      <c r="CB162" t="s">
        <v>48</v>
      </c>
      <c r="CC162" t="s">
        <v>48</v>
      </c>
      <c r="CD162" t="s">
        <v>48</v>
      </c>
      <c r="CE162" t="s">
        <v>48</v>
      </c>
      <c r="CF162" t="s">
        <v>48</v>
      </c>
      <c r="CG162" t="s">
        <v>48</v>
      </c>
      <c r="CH162" t="s">
        <v>48</v>
      </c>
      <c r="CI162" t="s">
        <v>48</v>
      </c>
      <c r="CJ162" t="s">
        <v>48</v>
      </c>
    </row>
    <row r="163" spans="1:88" x14ac:dyDescent="0.25">
      <c r="A163" s="4" t="s">
        <v>2106</v>
      </c>
      <c r="B163" s="4" t="s">
        <v>2108</v>
      </c>
      <c r="C163" s="4" t="s">
        <v>2114</v>
      </c>
      <c r="D163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Cabinet&gt;Linear&gt;LS Series - 2FT</v>
      </c>
      <c r="E163">
        <v>652</v>
      </c>
      <c r="F163" t="s">
        <v>625</v>
      </c>
      <c r="G163" s="3">
        <v>764</v>
      </c>
      <c r="H163" s="8">
        <v>19.5</v>
      </c>
      <c r="I163" t="s">
        <v>625</v>
      </c>
      <c r="J163" t="s">
        <v>625</v>
      </c>
      <c r="K163" t="s">
        <v>624</v>
      </c>
      <c r="L163" t="s">
        <v>1638</v>
      </c>
      <c r="M163" s="12" t="str">
        <f>HYPERLINK(cna_product_database_catalog_website[[#This Row],[Spec Sheet Link]], cna_product_database_catalog_website[[#Headers],[Spec Sheet Link]])</f>
        <v>Spec Sheet Link</v>
      </c>
      <c r="N163" t="s">
        <v>47</v>
      </c>
      <c r="O163" s="3">
        <v>1</v>
      </c>
      <c r="P163" s="3">
        <v>1</v>
      </c>
      <c r="Q163" t="s">
        <v>1640</v>
      </c>
      <c r="R163" t="s">
        <v>53</v>
      </c>
      <c r="S163" t="s">
        <v>48</v>
      </c>
      <c r="T163" t="s">
        <v>1644</v>
      </c>
      <c r="U163" t="s">
        <v>565</v>
      </c>
      <c r="V163" t="s">
        <v>1649</v>
      </c>
      <c r="W163" t="s">
        <v>1650</v>
      </c>
      <c r="X163" t="s">
        <v>58</v>
      </c>
      <c r="Y163" s="3" t="s">
        <v>48</v>
      </c>
      <c r="Z163" s="3">
        <v>80</v>
      </c>
      <c r="AA163" s="3" t="s">
        <v>96</v>
      </c>
      <c r="AB163" s="1" t="s">
        <v>1139</v>
      </c>
      <c r="AC163" s="1" t="s">
        <v>48</v>
      </c>
      <c r="AD163" t="s">
        <v>450</v>
      </c>
      <c r="AE163"/>
      <c r="AF163" t="s">
        <v>602</v>
      </c>
      <c r="AG163" t="s">
        <v>1657</v>
      </c>
      <c r="AH163" t="s">
        <v>48</v>
      </c>
      <c r="AI163" t="s">
        <v>48</v>
      </c>
      <c r="AJ163" t="s">
        <v>1660</v>
      </c>
      <c r="AL163" t="s">
        <v>48</v>
      </c>
      <c r="AM163" t="s">
        <v>1661</v>
      </c>
      <c r="AO163" t="s">
        <v>48</v>
      </c>
      <c r="AP163" t="s">
        <v>48</v>
      </c>
      <c r="AQ163" t="s">
        <v>48</v>
      </c>
      <c r="AV163" t="s">
        <v>48</v>
      </c>
      <c r="AW163" t="s">
        <v>601</v>
      </c>
      <c r="AX163" s="2" t="s">
        <v>441</v>
      </c>
      <c r="AY163" s="2" t="s">
        <v>229</v>
      </c>
      <c r="BC163">
        <f>SUM(cna_product_database_catalog_website[[#This Row],[Box Length (cm)]]*cna_product_database_catalog_website[[#This Row],[Box Width (cm)]]*cna_product_database_catalog_website[[#This Row],[Box Height (cm)]]/1000000)</f>
        <v>0</v>
      </c>
      <c r="BD163">
        <f>SUM(cna_product_database_catalog_website[[#This Row],[Box CBM]]*35.3147)</f>
        <v>0</v>
      </c>
      <c r="BE163" t="s">
        <v>48</v>
      </c>
      <c r="BI16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63">
        <f>SUM(cna_product_database_catalog_website[[#This Row],[Carton CFT]]/61024)</f>
        <v>0</v>
      </c>
      <c r="BM163" t="s">
        <v>48</v>
      </c>
      <c r="BN163" t="s">
        <v>48</v>
      </c>
      <c r="BO163" t="s">
        <v>48</v>
      </c>
      <c r="BP163" t="s">
        <v>48</v>
      </c>
      <c r="BQ163" t="s">
        <v>48</v>
      </c>
      <c r="BS163" t="s">
        <v>48</v>
      </c>
      <c r="BT163" t="s">
        <v>48</v>
      </c>
      <c r="BU163" t="s">
        <v>48</v>
      </c>
      <c r="BW163" t="s">
        <v>48</v>
      </c>
      <c r="BX163" t="s">
        <v>48</v>
      </c>
      <c r="BY163" t="s">
        <v>48</v>
      </c>
      <c r="BZ163" t="s">
        <v>48</v>
      </c>
      <c r="CA163" t="s">
        <v>48</v>
      </c>
      <c r="CB163" t="s">
        <v>48</v>
      </c>
      <c r="CC163" t="s">
        <v>48</v>
      </c>
      <c r="CD163" t="s">
        <v>48</v>
      </c>
      <c r="CE163" t="s">
        <v>48</v>
      </c>
      <c r="CF163" t="s">
        <v>48</v>
      </c>
      <c r="CG163" t="s">
        <v>48</v>
      </c>
      <c r="CH163" t="s">
        <v>48</v>
      </c>
      <c r="CI163" t="s">
        <v>48</v>
      </c>
      <c r="CJ163" t="s">
        <v>48</v>
      </c>
    </row>
    <row r="164" spans="1:88" x14ac:dyDescent="0.25">
      <c r="A164" s="4" t="s">
        <v>2106</v>
      </c>
      <c r="B164" s="4" t="s">
        <v>2108</v>
      </c>
      <c r="C164" s="4" t="s">
        <v>2120</v>
      </c>
      <c r="D164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Cabinet&gt;Linear&gt;LS Series - Link Cable - 6-Inch</v>
      </c>
      <c r="E164">
        <v>653</v>
      </c>
      <c r="F164" t="s">
        <v>626</v>
      </c>
      <c r="G164" s="3">
        <v>767</v>
      </c>
      <c r="H164" s="8">
        <v>2</v>
      </c>
      <c r="I164" t="s">
        <v>626</v>
      </c>
      <c r="J164" t="s">
        <v>626</v>
      </c>
      <c r="K164" t="s">
        <v>48</v>
      </c>
      <c r="L164" t="s">
        <v>1638</v>
      </c>
      <c r="M164" s="12" t="str">
        <f>HYPERLINK(cna_product_database_catalog_website[[#This Row],[Spec Sheet Link]], cna_product_database_catalog_website[[#Headers],[Spec Sheet Link]])</f>
        <v>Spec Sheet Link</v>
      </c>
      <c r="N164" t="s">
        <v>47</v>
      </c>
      <c r="O164" s="3">
        <v>1</v>
      </c>
      <c r="P164" s="3">
        <v>1</v>
      </c>
      <c r="Q164" t="s">
        <v>48</v>
      </c>
      <c r="R164" t="s">
        <v>48</v>
      </c>
      <c r="S164" t="s">
        <v>48</v>
      </c>
      <c r="T164" t="s">
        <v>48</v>
      </c>
      <c r="U164" t="s">
        <v>48</v>
      </c>
      <c r="V164" t="s">
        <v>48</v>
      </c>
      <c r="W164" t="s">
        <v>48</v>
      </c>
      <c r="X164" t="s">
        <v>48</v>
      </c>
      <c r="Y164" s="3" t="s">
        <v>48</v>
      </c>
      <c r="Z164" s="3" t="s">
        <v>48</v>
      </c>
      <c r="AA164" s="3" t="s">
        <v>48</v>
      </c>
      <c r="AB164" s="1" t="s">
        <v>48</v>
      </c>
      <c r="AC164" s="1" t="s">
        <v>48</v>
      </c>
      <c r="AD164" t="s">
        <v>48</v>
      </c>
      <c r="AE164"/>
      <c r="AF164" t="s">
        <v>48</v>
      </c>
      <c r="AG164" t="s">
        <v>48</v>
      </c>
      <c r="AH164" t="s">
        <v>48</v>
      </c>
      <c r="AI164" t="s">
        <v>48</v>
      </c>
      <c r="AL164" t="s">
        <v>48</v>
      </c>
      <c r="AO164" t="s">
        <v>48</v>
      </c>
      <c r="AP164" t="s">
        <v>48</v>
      </c>
      <c r="AQ164" t="s">
        <v>48</v>
      </c>
      <c r="AV164" t="s">
        <v>48</v>
      </c>
      <c r="AW164" t="s">
        <v>48</v>
      </c>
      <c r="AX164" s="2" t="s">
        <v>49</v>
      </c>
      <c r="AY164" s="2" t="s">
        <v>49</v>
      </c>
      <c r="BC164">
        <f>SUM(cna_product_database_catalog_website[[#This Row],[Box Length (cm)]]*cna_product_database_catalog_website[[#This Row],[Box Width (cm)]]*cna_product_database_catalog_website[[#This Row],[Box Height (cm)]]/1000000)</f>
        <v>0</v>
      </c>
      <c r="BD164">
        <f>SUM(cna_product_database_catalog_website[[#This Row],[Box CBM]]*35.3147)</f>
        <v>0</v>
      </c>
      <c r="BE164" t="s">
        <v>48</v>
      </c>
      <c r="BI16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64">
        <f>SUM(cna_product_database_catalog_website[[#This Row],[Carton CFT]]/61024)</f>
        <v>0</v>
      </c>
      <c r="BM164" t="s">
        <v>48</v>
      </c>
      <c r="BN164" t="s">
        <v>48</v>
      </c>
      <c r="BO164" t="s">
        <v>48</v>
      </c>
      <c r="BP164" t="s">
        <v>48</v>
      </c>
      <c r="BQ164" t="s">
        <v>48</v>
      </c>
      <c r="BS164" t="s">
        <v>48</v>
      </c>
      <c r="BT164" t="s">
        <v>48</v>
      </c>
      <c r="BU164" t="s">
        <v>48</v>
      </c>
      <c r="BW164" t="s">
        <v>48</v>
      </c>
      <c r="BX164" t="s">
        <v>48</v>
      </c>
      <c r="BY164" t="s">
        <v>48</v>
      </c>
      <c r="BZ164" t="s">
        <v>48</v>
      </c>
      <c r="CA164" t="s">
        <v>48</v>
      </c>
      <c r="CB164" t="s">
        <v>48</v>
      </c>
      <c r="CC164" t="s">
        <v>48</v>
      </c>
      <c r="CD164" t="s">
        <v>48</v>
      </c>
      <c r="CE164" t="s">
        <v>48</v>
      </c>
      <c r="CF164" t="s">
        <v>48</v>
      </c>
      <c r="CG164" t="s">
        <v>48</v>
      </c>
      <c r="CH164" t="s">
        <v>48</v>
      </c>
      <c r="CI164" t="s">
        <v>48</v>
      </c>
      <c r="CJ164" t="s">
        <v>48</v>
      </c>
    </row>
    <row r="165" spans="1:88" x14ac:dyDescent="0.25">
      <c r="A165" s="4" t="s">
        <v>2106</v>
      </c>
      <c r="B165" s="4" t="s">
        <v>2108</v>
      </c>
      <c r="C165" s="4" t="s">
        <v>2121</v>
      </c>
      <c r="D165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Cabinet&gt;Linear&gt;LS Series - Link Cable - 12-Inch</v>
      </c>
      <c r="E165">
        <v>654</v>
      </c>
      <c r="F165" t="s">
        <v>627</v>
      </c>
      <c r="G165" s="3">
        <v>768</v>
      </c>
      <c r="H165" s="8">
        <v>2</v>
      </c>
      <c r="I165" t="s">
        <v>627</v>
      </c>
      <c r="J165" t="s">
        <v>627</v>
      </c>
      <c r="K165" t="s">
        <v>48</v>
      </c>
      <c r="L165" t="s">
        <v>1638</v>
      </c>
      <c r="M165" s="12" t="str">
        <f>HYPERLINK(cna_product_database_catalog_website[[#This Row],[Spec Sheet Link]], cna_product_database_catalog_website[[#Headers],[Spec Sheet Link]])</f>
        <v>Spec Sheet Link</v>
      </c>
      <c r="N165" t="s">
        <v>47</v>
      </c>
      <c r="O165" s="3">
        <v>1</v>
      </c>
      <c r="P165" s="3">
        <v>1</v>
      </c>
      <c r="Q165" t="s">
        <v>48</v>
      </c>
      <c r="R165" t="s">
        <v>48</v>
      </c>
      <c r="S165" t="s">
        <v>48</v>
      </c>
      <c r="T165" t="s">
        <v>48</v>
      </c>
      <c r="U165" t="s">
        <v>48</v>
      </c>
      <c r="V165" t="s">
        <v>48</v>
      </c>
      <c r="W165" t="s">
        <v>48</v>
      </c>
      <c r="X165" t="s">
        <v>48</v>
      </c>
      <c r="Y165" s="3" t="s">
        <v>48</v>
      </c>
      <c r="Z165" s="3" t="s">
        <v>48</v>
      </c>
      <c r="AA165" s="3" t="s">
        <v>48</v>
      </c>
      <c r="AB165" s="1" t="s">
        <v>48</v>
      </c>
      <c r="AC165" s="1" t="s">
        <v>48</v>
      </c>
      <c r="AD165" t="s">
        <v>48</v>
      </c>
      <c r="AE165"/>
      <c r="AF165" t="s">
        <v>48</v>
      </c>
      <c r="AG165" t="s">
        <v>48</v>
      </c>
      <c r="AH165" t="s">
        <v>48</v>
      </c>
      <c r="AI165" t="s">
        <v>48</v>
      </c>
      <c r="AL165" t="s">
        <v>48</v>
      </c>
      <c r="AO165" t="s">
        <v>48</v>
      </c>
      <c r="AP165" t="s">
        <v>48</v>
      </c>
      <c r="AQ165" t="s">
        <v>48</v>
      </c>
      <c r="AV165" t="s">
        <v>48</v>
      </c>
      <c r="AW165" t="s">
        <v>48</v>
      </c>
      <c r="AX165" s="2" t="s">
        <v>49</v>
      </c>
      <c r="AY165" s="2" t="s">
        <v>49</v>
      </c>
      <c r="BC165">
        <f>SUM(cna_product_database_catalog_website[[#This Row],[Box Length (cm)]]*cna_product_database_catalog_website[[#This Row],[Box Width (cm)]]*cna_product_database_catalog_website[[#This Row],[Box Height (cm)]]/1000000)</f>
        <v>0</v>
      </c>
      <c r="BD165">
        <f>SUM(cna_product_database_catalog_website[[#This Row],[Box CBM]]*35.3147)</f>
        <v>0</v>
      </c>
      <c r="BE165" t="s">
        <v>48</v>
      </c>
      <c r="BI16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65">
        <f>SUM(cna_product_database_catalog_website[[#This Row],[Carton CFT]]/61024)</f>
        <v>0</v>
      </c>
      <c r="BM165" t="s">
        <v>48</v>
      </c>
      <c r="BN165" t="s">
        <v>48</v>
      </c>
      <c r="BO165" t="s">
        <v>48</v>
      </c>
      <c r="BP165" t="s">
        <v>48</v>
      </c>
      <c r="BQ165" t="s">
        <v>48</v>
      </c>
      <c r="BS165" t="s">
        <v>48</v>
      </c>
      <c r="BT165" t="s">
        <v>48</v>
      </c>
      <c r="BU165" t="s">
        <v>48</v>
      </c>
      <c r="BW165" t="s">
        <v>48</v>
      </c>
      <c r="BX165" t="s">
        <v>48</v>
      </c>
      <c r="BY165" t="s">
        <v>48</v>
      </c>
      <c r="BZ165" t="s">
        <v>48</v>
      </c>
      <c r="CA165" t="s">
        <v>48</v>
      </c>
      <c r="CB165" t="s">
        <v>48</v>
      </c>
      <c r="CC165" t="s">
        <v>48</v>
      </c>
      <c r="CD165" t="s">
        <v>48</v>
      </c>
      <c r="CE165" t="s">
        <v>48</v>
      </c>
      <c r="CF165" t="s">
        <v>48</v>
      </c>
      <c r="CG165" t="s">
        <v>48</v>
      </c>
      <c r="CH165" t="s">
        <v>48</v>
      </c>
      <c r="CI165" t="s">
        <v>48</v>
      </c>
      <c r="CJ165" t="s">
        <v>48</v>
      </c>
    </row>
    <row r="166" spans="1:88" x14ac:dyDescent="0.25">
      <c r="A166" s="4" t="s">
        <v>2106</v>
      </c>
      <c r="B166" s="4" t="s">
        <v>2133</v>
      </c>
      <c r="C166" s="4" t="s">
        <v>2134</v>
      </c>
      <c r="D166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Cabinet&gt;Ribbon &amp; Accessories&gt;24V Ribbon 30K Reel</v>
      </c>
      <c r="E166">
        <v>710</v>
      </c>
      <c r="F166" t="s">
        <v>640</v>
      </c>
      <c r="G166" s="3">
        <v>1009</v>
      </c>
      <c r="H166" s="8">
        <v>90</v>
      </c>
      <c r="I166" t="s">
        <v>640</v>
      </c>
      <c r="J166" t="s">
        <v>1305</v>
      </c>
      <c r="K166" t="s">
        <v>641</v>
      </c>
      <c r="L166" t="s">
        <v>1124</v>
      </c>
      <c r="M166" s="12" t="str">
        <f>HYPERLINK(cna_product_database_catalog_website[[#This Row],[Spec Sheet Link]], cna_product_database_catalog_website[[#Headers],[Spec Sheet Link]])</f>
        <v>Spec Sheet Link</v>
      </c>
      <c r="N166" t="s">
        <v>47</v>
      </c>
      <c r="O166" s="3">
        <v>1</v>
      </c>
      <c r="P166" s="3">
        <v>1</v>
      </c>
      <c r="Q166" t="s">
        <v>48</v>
      </c>
      <c r="R166" t="s">
        <v>48</v>
      </c>
      <c r="S166" t="s">
        <v>48</v>
      </c>
      <c r="T166" t="s">
        <v>48</v>
      </c>
      <c r="U166" t="s">
        <v>48</v>
      </c>
      <c r="V166" t="s">
        <v>48</v>
      </c>
      <c r="W166" t="s">
        <v>48</v>
      </c>
      <c r="X166" t="s">
        <v>78</v>
      </c>
      <c r="Y166" s="3" t="s">
        <v>48</v>
      </c>
      <c r="Z166" s="3" t="s">
        <v>48</v>
      </c>
      <c r="AA166" s="3" t="s">
        <v>48</v>
      </c>
      <c r="AB166" s="1" t="s">
        <v>48</v>
      </c>
      <c r="AC166" s="1" t="s">
        <v>48</v>
      </c>
      <c r="AD166" t="s">
        <v>48</v>
      </c>
      <c r="AE166"/>
      <c r="AF166" t="s">
        <v>48</v>
      </c>
      <c r="AG166" t="s">
        <v>48</v>
      </c>
      <c r="AH166" t="s">
        <v>48</v>
      </c>
      <c r="AI166" t="s">
        <v>48</v>
      </c>
      <c r="AL166" t="s">
        <v>48</v>
      </c>
      <c r="AO166" t="s">
        <v>48</v>
      </c>
      <c r="AP166" t="s">
        <v>48</v>
      </c>
      <c r="AQ166" t="s">
        <v>48</v>
      </c>
      <c r="AV166" t="s">
        <v>48</v>
      </c>
      <c r="AW166" t="s">
        <v>48</v>
      </c>
      <c r="AX166" s="2" t="s">
        <v>48</v>
      </c>
      <c r="AY166" s="2" t="s">
        <v>48</v>
      </c>
      <c r="BC166">
        <f>SUM(cna_product_database_catalog_website[[#This Row],[Box Length (cm)]]*cna_product_database_catalog_website[[#This Row],[Box Width (cm)]]*cna_product_database_catalog_website[[#This Row],[Box Height (cm)]]/1000000)</f>
        <v>0</v>
      </c>
      <c r="BD166">
        <f>SUM(cna_product_database_catalog_website[[#This Row],[Box CBM]]*35.3147)</f>
        <v>0</v>
      </c>
      <c r="BE166" t="s">
        <v>48</v>
      </c>
      <c r="BI16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66">
        <f>SUM(cna_product_database_catalog_website[[#This Row],[Carton CFT]]/61024)</f>
        <v>0</v>
      </c>
      <c r="BM166" t="s">
        <v>48</v>
      </c>
      <c r="BN166" t="s">
        <v>48</v>
      </c>
      <c r="BO166" t="s">
        <v>48</v>
      </c>
      <c r="BP166" t="s">
        <v>48</v>
      </c>
      <c r="BQ166" t="s">
        <v>48</v>
      </c>
      <c r="BS166" t="s">
        <v>48</v>
      </c>
      <c r="BT166" t="s">
        <v>48</v>
      </c>
      <c r="BU166" t="s">
        <v>48</v>
      </c>
      <c r="BW166" t="s">
        <v>48</v>
      </c>
      <c r="BX166" t="s">
        <v>48</v>
      </c>
      <c r="BY166" t="s">
        <v>48</v>
      </c>
      <c r="BZ166" t="s">
        <v>48</v>
      </c>
      <c r="CA166" t="s">
        <v>48</v>
      </c>
      <c r="CB166" t="s">
        <v>48</v>
      </c>
      <c r="CC166" t="s">
        <v>48</v>
      </c>
      <c r="CD166" t="s">
        <v>48</v>
      </c>
      <c r="CE166" t="s">
        <v>48</v>
      </c>
      <c r="CF166" t="s">
        <v>48</v>
      </c>
      <c r="CG166" t="s">
        <v>48</v>
      </c>
      <c r="CH166" t="s">
        <v>48</v>
      </c>
      <c r="CI166" t="s">
        <v>48</v>
      </c>
      <c r="CJ166" t="s">
        <v>48</v>
      </c>
    </row>
    <row r="167" spans="1:88" x14ac:dyDescent="0.25">
      <c r="A167" s="4" t="s">
        <v>2106</v>
      </c>
      <c r="B167" s="4" t="s">
        <v>2133</v>
      </c>
      <c r="C167" s="4" t="s">
        <v>2135</v>
      </c>
      <c r="D167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Cabinet&gt;Ribbon &amp; Accessories&gt;24V Ribbon 40K Reel</v>
      </c>
      <c r="E167">
        <v>711</v>
      </c>
      <c r="F167" t="s">
        <v>642</v>
      </c>
      <c r="G167" s="3">
        <v>1138</v>
      </c>
      <c r="H167" s="8">
        <v>90</v>
      </c>
      <c r="I167" t="s">
        <v>642</v>
      </c>
      <c r="J167" t="s">
        <v>1304</v>
      </c>
      <c r="K167" t="s">
        <v>641</v>
      </c>
      <c r="L167" t="s">
        <v>1124</v>
      </c>
      <c r="M167" s="12" t="str">
        <f>HYPERLINK(cna_product_database_catalog_website[[#This Row],[Spec Sheet Link]], cna_product_database_catalog_website[[#Headers],[Spec Sheet Link]])</f>
        <v>Spec Sheet Link</v>
      </c>
      <c r="N167" t="s">
        <v>47</v>
      </c>
      <c r="O167" s="3">
        <v>1</v>
      </c>
      <c r="P167" s="3">
        <v>1</v>
      </c>
      <c r="Q167" t="s">
        <v>48</v>
      </c>
      <c r="R167" t="s">
        <v>48</v>
      </c>
      <c r="S167" t="s">
        <v>48</v>
      </c>
      <c r="T167" t="s">
        <v>48</v>
      </c>
      <c r="U167" t="s">
        <v>48</v>
      </c>
      <c r="V167" t="s">
        <v>48</v>
      </c>
      <c r="W167" t="s">
        <v>48</v>
      </c>
      <c r="X167" t="s">
        <v>58</v>
      </c>
      <c r="Y167" s="3" t="s">
        <v>48</v>
      </c>
      <c r="Z167" s="3" t="s">
        <v>48</v>
      </c>
      <c r="AA167" s="3" t="s">
        <v>48</v>
      </c>
      <c r="AB167" s="1" t="s">
        <v>48</v>
      </c>
      <c r="AC167" s="1" t="s">
        <v>48</v>
      </c>
      <c r="AD167" t="s">
        <v>48</v>
      </c>
      <c r="AE167"/>
      <c r="AF167" t="s">
        <v>48</v>
      </c>
      <c r="AG167" t="s">
        <v>48</v>
      </c>
      <c r="AH167" t="s">
        <v>48</v>
      </c>
      <c r="AI167" t="s">
        <v>48</v>
      </c>
      <c r="AL167" t="s">
        <v>48</v>
      </c>
      <c r="AO167" t="s">
        <v>48</v>
      </c>
      <c r="AP167" t="s">
        <v>48</v>
      </c>
      <c r="AQ167" t="s">
        <v>48</v>
      </c>
      <c r="AV167" t="s">
        <v>48</v>
      </c>
      <c r="AW167" t="s">
        <v>48</v>
      </c>
      <c r="AX167" s="2" t="s">
        <v>48</v>
      </c>
      <c r="AY167" s="2" t="s">
        <v>48</v>
      </c>
      <c r="BC167">
        <f>SUM(cna_product_database_catalog_website[[#This Row],[Box Length (cm)]]*cna_product_database_catalog_website[[#This Row],[Box Width (cm)]]*cna_product_database_catalog_website[[#This Row],[Box Height (cm)]]/1000000)</f>
        <v>0</v>
      </c>
      <c r="BD167">
        <f>SUM(cna_product_database_catalog_website[[#This Row],[Box CBM]]*35.3147)</f>
        <v>0</v>
      </c>
      <c r="BE167" t="s">
        <v>48</v>
      </c>
      <c r="BI16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67">
        <f>SUM(cna_product_database_catalog_website[[#This Row],[Carton CFT]]/61024)</f>
        <v>0</v>
      </c>
      <c r="BM167" t="s">
        <v>48</v>
      </c>
      <c r="BN167" t="s">
        <v>48</v>
      </c>
      <c r="BO167" t="s">
        <v>48</v>
      </c>
      <c r="BP167" t="s">
        <v>48</v>
      </c>
      <c r="BQ167" t="s">
        <v>48</v>
      </c>
      <c r="BS167" t="s">
        <v>48</v>
      </c>
      <c r="BT167" t="s">
        <v>48</v>
      </c>
      <c r="BU167" t="s">
        <v>48</v>
      </c>
      <c r="BW167" t="s">
        <v>48</v>
      </c>
      <c r="BX167" t="s">
        <v>48</v>
      </c>
      <c r="BY167" t="s">
        <v>48</v>
      </c>
      <c r="BZ167" t="s">
        <v>48</v>
      </c>
      <c r="CA167" t="s">
        <v>48</v>
      </c>
      <c r="CB167" t="s">
        <v>48</v>
      </c>
      <c r="CC167" t="s">
        <v>48</v>
      </c>
      <c r="CD167" t="s">
        <v>48</v>
      </c>
      <c r="CE167" t="s">
        <v>48</v>
      </c>
      <c r="CF167" t="s">
        <v>48</v>
      </c>
      <c r="CG167" t="s">
        <v>48</v>
      </c>
      <c r="CH167" t="s">
        <v>48</v>
      </c>
      <c r="CI167" t="s">
        <v>48</v>
      </c>
      <c r="CJ167" t="s">
        <v>48</v>
      </c>
    </row>
    <row r="168" spans="1:88" x14ac:dyDescent="0.25">
      <c r="A168" s="4" t="s">
        <v>2106</v>
      </c>
      <c r="B168" s="4" t="s">
        <v>2133</v>
      </c>
      <c r="C168" s="4" t="s">
        <v>1312</v>
      </c>
      <c r="D168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Cabinet&gt;Ribbon &amp; Accessories&gt;6" Ribbon to Power Supply Connector</v>
      </c>
      <c r="E168">
        <v>715</v>
      </c>
      <c r="F168" t="s">
        <v>1903</v>
      </c>
      <c r="G168" s="3">
        <v>1145</v>
      </c>
      <c r="H168" s="8">
        <v>2</v>
      </c>
      <c r="I168" t="s">
        <v>1903</v>
      </c>
      <c r="J168" t="s">
        <v>1306</v>
      </c>
      <c r="K168" t="s">
        <v>643</v>
      </c>
      <c r="L168" t="s">
        <v>1124</v>
      </c>
      <c r="M168" s="12" t="str">
        <f>HYPERLINK(cna_product_database_catalog_website[[#This Row],[Spec Sheet Link]], cna_product_database_catalog_website[[#Headers],[Spec Sheet Link]])</f>
        <v>Spec Sheet Link</v>
      </c>
      <c r="N168" t="s">
        <v>47</v>
      </c>
      <c r="O168" s="3">
        <v>1</v>
      </c>
      <c r="P168" s="3">
        <v>1</v>
      </c>
      <c r="Q168" t="s">
        <v>48</v>
      </c>
      <c r="R168" t="s">
        <v>48</v>
      </c>
      <c r="S168" t="s">
        <v>48</v>
      </c>
      <c r="T168" t="s">
        <v>48</v>
      </c>
      <c r="U168" t="s">
        <v>48</v>
      </c>
      <c r="V168" t="s">
        <v>48</v>
      </c>
      <c r="W168" t="s">
        <v>48</v>
      </c>
      <c r="X168" t="s">
        <v>48</v>
      </c>
      <c r="Y168" s="3" t="s">
        <v>48</v>
      </c>
      <c r="Z168" s="3" t="s">
        <v>48</v>
      </c>
      <c r="AA168" s="3" t="s">
        <v>48</v>
      </c>
      <c r="AB168" s="1" t="s">
        <v>48</v>
      </c>
      <c r="AC168" s="1" t="s">
        <v>48</v>
      </c>
      <c r="AD168" t="s">
        <v>48</v>
      </c>
      <c r="AE168"/>
      <c r="AF168" t="s">
        <v>48</v>
      </c>
      <c r="AG168" t="s">
        <v>48</v>
      </c>
      <c r="AH168" t="s">
        <v>48</v>
      </c>
      <c r="AI168" t="s">
        <v>48</v>
      </c>
      <c r="AL168" t="s">
        <v>48</v>
      </c>
      <c r="AO168" t="s">
        <v>48</v>
      </c>
      <c r="AP168" t="s">
        <v>48</v>
      </c>
      <c r="AQ168" t="s">
        <v>48</v>
      </c>
      <c r="AV168" t="s">
        <v>48</v>
      </c>
      <c r="AW168" t="s">
        <v>48</v>
      </c>
      <c r="AX168" s="2" t="s">
        <v>48</v>
      </c>
      <c r="AY168" s="2" t="s">
        <v>48</v>
      </c>
      <c r="BC168">
        <f>SUM(cna_product_database_catalog_website[[#This Row],[Box Length (cm)]]*cna_product_database_catalog_website[[#This Row],[Box Width (cm)]]*cna_product_database_catalog_website[[#This Row],[Box Height (cm)]]/1000000)</f>
        <v>0</v>
      </c>
      <c r="BD168">
        <f>SUM(cna_product_database_catalog_website[[#This Row],[Box CBM]]*35.3147)</f>
        <v>0</v>
      </c>
      <c r="BE168" t="s">
        <v>48</v>
      </c>
      <c r="BI16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68">
        <f>SUM(cna_product_database_catalog_website[[#This Row],[Carton CFT]]/61024)</f>
        <v>0</v>
      </c>
      <c r="BM168" t="s">
        <v>48</v>
      </c>
      <c r="BN168" t="s">
        <v>48</v>
      </c>
      <c r="BO168" t="s">
        <v>48</v>
      </c>
      <c r="BP168" t="s">
        <v>48</v>
      </c>
      <c r="BQ168" t="s">
        <v>48</v>
      </c>
      <c r="BS168" t="s">
        <v>48</v>
      </c>
      <c r="BT168" t="s">
        <v>48</v>
      </c>
      <c r="BU168" t="s">
        <v>48</v>
      </c>
      <c r="BW168" t="s">
        <v>48</v>
      </c>
      <c r="BX168" t="s">
        <v>48</v>
      </c>
      <c r="BY168" t="s">
        <v>48</v>
      </c>
      <c r="BZ168" t="s">
        <v>48</v>
      </c>
      <c r="CA168" t="s">
        <v>48</v>
      </c>
      <c r="CB168" t="s">
        <v>48</v>
      </c>
      <c r="CC168" t="s">
        <v>48</v>
      </c>
      <c r="CD168" t="s">
        <v>48</v>
      </c>
      <c r="CE168" t="s">
        <v>48</v>
      </c>
      <c r="CF168" t="s">
        <v>48</v>
      </c>
      <c r="CG168" t="s">
        <v>48</v>
      </c>
      <c r="CH168" t="s">
        <v>48</v>
      </c>
      <c r="CI168" t="s">
        <v>48</v>
      </c>
      <c r="CJ168" t="s">
        <v>48</v>
      </c>
    </row>
    <row r="169" spans="1:88" x14ac:dyDescent="0.25">
      <c r="A169" s="4" t="s">
        <v>2106</v>
      </c>
      <c r="B169" s="4" t="s">
        <v>2133</v>
      </c>
      <c r="C169" s="4" t="s">
        <v>1314</v>
      </c>
      <c r="D169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Cabinet&gt;Ribbon &amp; Accessories&gt;12" Flexible Ribbon to Ribbon Connector</v>
      </c>
      <c r="E169">
        <v>716</v>
      </c>
      <c r="F169" t="s">
        <v>1904</v>
      </c>
      <c r="G169" s="3">
        <v>1146</v>
      </c>
      <c r="H169" s="8">
        <v>3</v>
      </c>
      <c r="I169" t="s">
        <v>1904</v>
      </c>
      <c r="J169" t="s">
        <v>1313</v>
      </c>
      <c r="K169" t="s">
        <v>644</v>
      </c>
      <c r="L169" t="s">
        <v>1124</v>
      </c>
      <c r="M169" s="12" t="str">
        <f>HYPERLINK(cna_product_database_catalog_website[[#This Row],[Spec Sheet Link]], cna_product_database_catalog_website[[#Headers],[Spec Sheet Link]])</f>
        <v>Spec Sheet Link</v>
      </c>
      <c r="N169" t="s">
        <v>47</v>
      </c>
      <c r="O169" s="3">
        <v>1</v>
      </c>
      <c r="P169" s="3">
        <v>1</v>
      </c>
      <c r="Q169" t="s">
        <v>48</v>
      </c>
      <c r="R169" t="s">
        <v>48</v>
      </c>
      <c r="S169" t="s">
        <v>48</v>
      </c>
      <c r="T169" t="s">
        <v>48</v>
      </c>
      <c r="U169" t="s">
        <v>48</v>
      </c>
      <c r="V169" t="s">
        <v>48</v>
      </c>
      <c r="W169" t="s">
        <v>48</v>
      </c>
      <c r="X169" t="s">
        <v>48</v>
      </c>
      <c r="Y169" s="3" t="s">
        <v>48</v>
      </c>
      <c r="Z169" s="3" t="s">
        <v>48</v>
      </c>
      <c r="AA169" s="3" t="s">
        <v>48</v>
      </c>
      <c r="AB169" s="1" t="s">
        <v>48</v>
      </c>
      <c r="AC169" s="1" t="s">
        <v>48</v>
      </c>
      <c r="AD169" t="s">
        <v>48</v>
      </c>
      <c r="AE169"/>
      <c r="AF169" t="s">
        <v>48</v>
      </c>
      <c r="AG169" t="s">
        <v>48</v>
      </c>
      <c r="AH169" t="s">
        <v>48</v>
      </c>
      <c r="AI169" t="s">
        <v>48</v>
      </c>
      <c r="AL169" t="s">
        <v>48</v>
      </c>
      <c r="AO169" t="s">
        <v>48</v>
      </c>
      <c r="AP169" t="s">
        <v>48</v>
      </c>
      <c r="AQ169" t="s">
        <v>48</v>
      </c>
      <c r="AV169" t="s">
        <v>48</v>
      </c>
      <c r="AW169" t="s">
        <v>48</v>
      </c>
      <c r="AX169" s="2" t="s">
        <v>48</v>
      </c>
      <c r="AY169" s="2" t="s">
        <v>48</v>
      </c>
      <c r="BC169">
        <f>SUM(cna_product_database_catalog_website[[#This Row],[Box Length (cm)]]*cna_product_database_catalog_website[[#This Row],[Box Width (cm)]]*cna_product_database_catalog_website[[#This Row],[Box Height (cm)]]/1000000)</f>
        <v>0</v>
      </c>
      <c r="BD169">
        <f>SUM(cna_product_database_catalog_website[[#This Row],[Box CBM]]*35.3147)</f>
        <v>0</v>
      </c>
      <c r="BE169" t="s">
        <v>48</v>
      </c>
      <c r="BI16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69">
        <f>SUM(cna_product_database_catalog_website[[#This Row],[Carton CFT]]/61024)</f>
        <v>0</v>
      </c>
      <c r="BM169" t="s">
        <v>48</v>
      </c>
      <c r="BN169" t="s">
        <v>48</v>
      </c>
      <c r="BO169" t="s">
        <v>48</v>
      </c>
      <c r="BP169" t="s">
        <v>48</v>
      </c>
      <c r="BQ169" t="s">
        <v>48</v>
      </c>
      <c r="BS169" t="s">
        <v>48</v>
      </c>
      <c r="BT169" t="s">
        <v>48</v>
      </c>
      <c r="BU169" t="s">
        <v>48</v>
      </c>
      <c r="BW169" t="s">
        <v>48</v>
      </c>
      <c r="BX169" t="s">
        <v>48</v>
      </c>
      <c r="BY169" t="s">
        <v>48</v>
      </c>
      <c r="BZ169" t="s">
        <v>48</v>
      </c>
      <c r="CA169" t="s">
        <v>48</v>
      </c>
      <c r="CB169" t="s">
        <v>48</v>
      </c>
      <c r="CC169" t="s">
        <v>48</v>
      </c>
      <c r="CD169" t="s">
        <v>48</v>
      </c>
      <c r="CE169" t="s">
        <v>48</v>
      </c>
      <c r="CF169" t="s">
        <v>48</v>
      </c>
      <c r="CG169" t="s">
        <v>48</v>
      </c>
      <c r="CH169" t="s">
        <v>48</v>
      </c>
      <c r="CI169" t="s">
        <v>48</v>
      </c>
      <c r="CJ169" t="s">
        <v>48</v>
      </c>
    </row>
    <row r="170" spans="1:88" x14ac:dyDescent="0.25">
      <c r="A170" s="4" t="s">
        <v>2106</v>
      </c>
      <c r="B170" s="4" t="s">
        <v>2133</v>
      </c>
      <c r="C170" s="4" t="s">
        <v>1315</v>
      </c>
      <c r="D170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Cabinet&gt;Ribbon &amp; Accessories&gt;Ribbon to Wire Connector</v>
      </c>
      <c r="E170">
        <v>717</v>
      </c>
      <c r="F170" t="s">
        <v>1905</v>
      </c>
      <c r="G170" s="3">
        <v>1144</v>
      </c>
      <c r="H170" s="8">
        <v>1.5</v>
      </c>
      <c r="I170" t="s">
        <v>1905</v>
      </c>
      <c r="J170" t="s">
        <v>1307</v>
      </c>
      <c r="K170" t="s">
        <v>645</v>
      </c>
      <c r="L170" t="s">
        <v>1124</v>
      </c>
      <c r="M170" s="12" t="str">
        <f>HYPERLINK(cna_product_database_catalog_website[[#This Row],[Spec Sheet Link]], cna_product_database_catalog_website[[#Headers],[Spec Sheet Link]])</f>
        <v>Spec Sheet Link</v>
      </c>
      <c r="N170" t="s">
        <v>47</v>
      </c>
      <c r="O170" s="3">
        <v>1</v>
      </c>
      <c r="P170" s="3">
        <v>1</v>
      </c>
      <c r="Q170" t="s">
        <v>48</v>
      </c>
      <c r="R170" t="s">
        <v>48</v>
      </c>
      <c r="S170" t="s">
        <v>48</v>
      </c>
      <c r="T170" t="s">
        <v>48</v>
      </c>
      <c r="U170" t="s">
        <v>48</v>
      </c>
      <c r="V170" t="s">
        <v>48</v>
      </c>
      <c r="W170" t="s">
        <v>48</v>
      </c>
      <c r="X170" t="s">
        <v>48</v>
      </c>
      <c r="Y170" s="3" t="s">
        <v>48</v>
      </c>
      <c r="Z170" s="3" t="s">
        <v>48</v>
      </c>
      <c r="AA170" s="3" t="s">
        <v>48</v>
      </c>
      <c r="AB170" s="1" t="s">
        <v>48</v>
      </c>
      <c r="AC170" s="1" t="s">
        <v>48</v>
      </c>
      <c r="AD170" t="s">
        <v>48</v>
      </c>
      <c r="AE170"/>
      <c r="AF170" t="s">
        <v>48</v>
      </c>
      <c r="AG170" t="s">
        <v>48</v>
      </c>
      <c r="AH170" t="s">
        <v>48</v>
      </c>
      <c r="AI170" t="s">
        <v>48</v>
      </c>
      <c r="AL170" t="s">
        <v>48</v>
      </c>
      <c r="AO170" t="s">
        <v>48</v>
      </c>
      <c r="AP170" t="s">
        <v>48</v>
      </c>
      <c r="AQ170" t="s">
        <v>48</v>
      </c>
      <c r="AV170" t="s">
        <v>48</v>
      </c>
      <c r="AW170" t="s">
        <v>48</v>
      </c>
      <c r="AX170" s="2" t="s">
        <v>48</v>
      </c>
      <c r="AY170" s="2" t="s">
        <v>48</v>
      </c>
      <c r="BC170">
        <f>SUM(cna_product_database_catalog_website[[#This Row],[Box Length (cm)]]*cna_product_database_catalog_website[[#This Row],[Box Width (cm)]]*cna_product_database_catalog_website[[#This Row],[Box Height (cm)]]/1000000)</f>
        <v>0</v>
      </c>
      <c r="BD170">
        <f>SUM(cna_product_database_catalog_website[[#This Row],[Box CBM]]*35.3147)</f>
        <v>0</v>
      </c>
      <c r="BE170" t="s">
        <v>48</v>
      </c>
      <c r="BI17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70">
        <f>SUM(cna_product_database_catalog_website[[#This Row],[Carton CFT]]/61024)</f>
        <v>0</v>
      </c>
      <c r="BM170" t="s">
        <v>48</v>
      </c>
      <c r="BN170" t="s">
        <v>48</v>
      </c>
      <c r="BO170" t="s">
        <v>48</v>
      </c>
      <c r="BP170" t="s">
        <v>48</v>
      </c>
      <c r="BQ170" t="s">
        <v>48</v>
      </c>
      <c r="BS170" t="s">
        <v>48</v>
      </c>
      <c r="BT170" t="s">
        <v>48</v>
      </c>
      <c r="BU170" t="s">
        <v>48</v>
      </c>
      <c r="BW170" t="s">
        <v>48</v>
      </c>
      <c r="BX170" t="s">
        <v>48</v>
      </c>
      <c r="BY170" t="s">
        <v>48</v>
      </c>
      <c r="BZ170" t="s">
        <v>48</v>
      </c>
      <c r="CA170" t="s">
        <v>48</v>
      </c>
      <c r="CB170" t="s">
        <v>48</v>
      </c>
      <c r="CC170" t="s">
        <v>48</v>
      </c>
      <c r="CD170" t="s">
        <v>48</v>
      </c>
      <c r="CE170" t="s">
        <v>48</v>
      </c>
      <c r="CF170" t="s">
        <v>48</v>
      </c>
      <c r="CG170" t="s">
        <v>48</v>
      </c>
      <c r="CH170" t="s">
        <v>48</v>
      </c>
      <c r="CI170" t="s">
        <v>48</v>
      </c>
      <c r="CJ170" t="s">
        <v>48</v>
      </c>
    </row>
    <row r="171" spans="1:88" x14ac:dyDescent="0.25">
      <c r="A171" s="4" t="s">
        <v>2106</v>
      </c>
      <c r="B171" s="4" t="s">
        <v>2133</v>
      </c>
      <c r="C171" s="4" t="s">
        <v>1316</v>
      </c>
      <c r="D171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Cabinet&gt;Ribbon &amp; Accessories&gt;20FT Wires (20AWG)</v>
      </c>
      <c r="E171">
        <v>718</v>
      </c>
      <c r="F171" t="s">
        <v>1906</v>
      </c>
      <c r="G171" s="3">
        <v>1147</v>
      </c>
      <c r="H171" s="8">
        <v>5</v>
      </c>
      <c r="I171" t="s">
        <v>1906</v>
      </c>
      <c r="J171" t="s">
        <v>1308</v>
      </c>
      <c r="K171" t="s">
        <v>646</v>
      </c>
      <c r="L171" t="s">
        <v>1124</v>
      </c>
      <c r="M171" s="12" t="str">
        <f>HYPERLINK(cna_product_database_catalog_website[[#This Row],[Spec Sheet Link]], cna_product_database_catalog_website[[#Headers],[Spec Sheet Link]])</f>
        <v>Spec Sheet Link</v>
      </c>
      <c r="N171" t="s">
        <v>47</v>
      </c>
      <c r="O171" s="3">
        <v>1</v>
      </c>
      <c r="P171" s="3">
        <v>1</v>
      </c>
      <c r="Q171" t="s">
        <v>48</v>
      </c>
      <c r="R171" t="s">
        <v>48</v>
      </c>
      <c r="S171" t="s">
        <v>48</v>
      </c>
      <c r="T171" t="s">
        <v>48</v>
      </c>
      <c r="U171" t="s">
        <v>48</v>
      </c>
      <c r="V171" t="s">
        <v>48</v>
      </c>
      <c r="W171" t="s">
        <v>48</v>
      </c>
      <c r="X171" t="s">
        <v>48</v>
      </c>
      <c r="Y171" s="3" t="s">
        <v>48</v>
      </c>
      <c r="Z171" s="3" t="s">
        <v>48</v>
      </c>
      <c r="AA171" s="3" t="s">
        <v>48</v>
      </c>
      <c r="AB171" s="1" t="s">
        <v>48</v>
      </c>
      <c r="AC171" s="1" t="s">
        <v>48</v>
      </c>
      <c r="AD171" t="s">
        <v>48</v>
      </c>
      <c r="AE171"/>
      <c r="AF171" t="s">
        <v>48</v>
      </c>
      <c r="AG171" t="s">
        <v>48</v>
      </c>
      <c r="AH171" t="s">
        <v>48</v>
      </c>
      <c r="AI171" t="s">
        <v>48</v>
      </c>
      <c r="AL171" t="s">
        <v>48</v>
      </c>
      <c r="AO171" t="s">
        <v>48</v>
      </c>
      <c r="AP171" t="s">
        <v>48</v>
      </c>
      <c r="AQ171" t="s">
        <v>48</v>
      </c>
      <c r="AV171" t="s">
        <v>48</v>
      </c>
      <c r="AW171" t="s">
        <v>48</v>
      </c>
      <c r="AX171" s="2" t="s">
        <v>48</v>
      </c>
      <c r="AY171" s="2" t="s">
        <v>48</v>
      </c>
      <c r="BC171">
        <f>SUM(cna_product_database_catalog_website[[#This Row],[Box Length (cm)]]*cna_product_database_catalog_website[[#This Row],[Box Width (cm)]]*cna_product_database_catalog_website[[#This Row],[Box Height (cm)]]/1000000)</f>
        <v>0</v>
      </c>
      <c r="BD171">
        <f>SUM(cna_product_database_catalog_website[[#This Row],[Box CBM]]*35.3147)</f>
        <v>0</v>
      </c>
      <c r="BE171" t="s">
        <v>48</v>
      </c>
      <c r="BI17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71">
        <f>SUM(cna_product_database_catalog_website[[#This Row],[Carton CFT]]/61024)</f>
        <v>0</v>
      </c>
      <c r="BM171" t="s">
        <v>48</v>
      </c>
      <c r="BN171" t="s">
        <v>48</v>
      </c>
      <c r="BO171" t="s">
        <v>48</v>
      </c>
      <c r="BP171" t="s">
        <v>48</v>
      </c>
      <c r="BQ171" t="s">
        <v>48</v>
      </c>
      <c r="BS171" t="s">
        <v>48</v>
      </c>
      <c r="BT171" t="s">
        <v>48</v>
      </c>
      <c r="BU171" t="s">
        <v>48</v>
      </c>
      <c r="BW171" t="s">
        <v>48</v>
      </c>
      <c r="BX171" t="s">
        <v>48</v>
      </c>
      <c r="BY171" t="s">
        <v>48</v>
      </c>
      <c r="BZ171" t="s">
        <v>48</v>
      </c>
      <c r="CA171" t="s">
        <v>48</v>
      </c>
      <c r="CB171" t="s">
        <v>48</v>
      </c>
      <c r="CC171" t="s">
        <v>48</v>
      </c>
      <c r="CD171" t="s">
        <v>48</v>
      </c>
      <c r="CE171" t="s">
        <v>48</v>
      </c>
      <c r="CF171" t="s">
        <v>48</v>
      </c>
      <c r="CG171" t="s">
        <v>48</v>
      </c>
      <c r="CH171" t="s">
        <v>48</v>
      </c>
      <c r="CI171" t="s">
        <v>48</v>
      </c>
      <c r="CJ171" t="s">
        <v>48</v>
      </c>
    </row>
    <row r="172" spans="1:88" x14ac:dyDescent="0.25">
      <c r="A172" s="4" t="s">
        <v>2106</v>
      </c>
      <c r="B172" s="4" t="s">
        <v>2133</v>
      </c>
      <c r="C172" s="4" t="s">
        <v>1317</v>
      </c>
      <c r="D172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Cabinet&gt;Ribbon &amp; Accessories&gt;I Connector</v>
      </c>
      <c r="E172">
        <v>719</v>
      </c>
      <c r="F172" t="s">
        <v>1907</v>
      </c>
      <c r="G172" s="3">
        <v>1143</v>
      </c>
      <c r="H172" s="8">
        <v>1.5</v>
      </c>
      <c r="I172" t="s">
        <v>1907</v>
      </c>
      <c r="J172" t="s">
        <v>1309</v>
      </c>
      <c r="K172" t="s">
        <v>647</v>
      </c>
      <c r="L172" t="s">
        <v>1124</v>
      </c>
      <c r="M172" s="12" t="str">
        <f>HYPERLINK(cna_product_database_catalog_website[[#This Row],[Spec Sheet Link]], cna_product_database_catalog_website[[#Headers],[Spec Sheet Link]])</f>
        <v>Spec Sheet Link</v>
      </c>
      <c r="N172" t="s">
        <v>47</v>
      </c>
      <c r="O172" s="3">
        <v>1</v>
      </c>
      <c r="P172" s="3">
        <v>1</v>
      </c>
      <c r="Q172" t="s">
        <v>48</v>
      </c>
      <c r="R172" t="s">
        <v>48</v>
      </c>
      <c r="S172" t="s">
        <v>48</v>
      </c>
      <c r="T172" t="s">
        <v>48</v>
      </c>
      <c r="U172" t="s">
        <v>48</v>
      </c>
      <c r="V172" t="s">
        <v>48</v>
      </c>
      <c r="W172" t="s">
        <v>48</v>
      </c>
      <c r="X172" t="s">
        <v>48</v>
      </c>
      <c r="Y172" s="3" t="s">
        <v>48</v>
      </c>
      <c r="Z172" s="3" t="s">
        <v>48</v>
      </c>
      <c r="AA172" s="3" t="s">
        <v>48</v>
      </c>
      <c r="AB172" s="1" t="s">
        <v>48</v>
      </c>
      <c r="AC172" s="1" t="s">
        <v>48</v>
      </c>
      <c r="AD172" t="s">
        <v>48</v>
      </c>
      <c r="AE172"/>
      <c r="AF172" t="s">
        <v>48</v>
      </c>
      <c r="AG172" t="s">
        <v>48</v>
      </c>
      <c r="AH172" t="s">
        <v>48</v>
      </c>
      <c r="AI172" t="s">
        <v>48</v>
      </c>
      <c r="AL172" t="s">
        <v>48</v>
      </c>
      <c r="AO172" t="s">
        <v>48</v>
      </c>
      <c r="AP172" t="s">
        <v>48</v>
      </c>
      <c r="AQ172" t="s">
        <v>48</v>
      </c>
      <c r="AV172" t="s">
        <v>48</v>
      </c>
      <c r="AW172" t="s">
        <v>48</v>
      </c>
      <c r="AX172" s="2" t="s">
        <v>48</v>
      </c>
      <c r="AY172" s="2" t="s">
        <v>48</v>
      </c>
      <c r="BC172">
        <f>SUM(cna_product_database_catalog_website[[#This Row],[Box Length (cm)]]*cna_product_database_catalog_website[[#This Row],[Box Width (cm)]]*cna_product_database_catalog_website[[#This Row],[Box Height (cm)]]/1000000)</f>
        <v>0</v>
      </c>
      <c r="BD172">
        <f>SUM(cna_product_database_catalog_website[[#This Row],[Box CBM]]*35.3147)</f>
        <v>0</v>
      </c>
      <c r="BE172" t="s">
        <v>48</v>
      </c>
      <c r="BI17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72">
        <f>SUM(cna_product_database_catalog_website[[#This Row],[Carton CFT]]/61024)</f>
        <v>0</v>
      </c>
      <c r="BM172" t="s">
        <v>48</v>
      </c>
      <c r="BN172" t="s">
        <v>48</v>
      </c>
      <c r="BO172" t="s">
        <v>48</v>
      </c>
      <c r="BP172" t="s">
        <v>48</v>
      </c>
      <c r="BQ172" t="s">
        <v>48</v>
      </c>
      <c r="BS172" t="s">
        <v>48</v>
      </c>
      <c r="BT172" t="s">
        <v>48</v>
      </c>
      <c r="BU172" t="s">
        <v>48</v>
      </c>
      <c r="BW172" t="s">
        <v>48</v>
      </c>
      <c r="BX172" t="s">
        <v>48</v>
      </c>
      <c r="BY172" t="s">
        <v>48</v>
      </c>
      <c r="BZ172" t="s">
        <v>48</v>
      </c>
      <c r="CA172" t="s">
        <v>48</v>
      </c>
      <c r="CB172" t="s">
        <v>48</v>
      </c>
      <c r="CC172" t="s">
        <v>48</v>
      </c>
      <c r="CD172" t="s">
        <v>48</v>
      </c>
      <c r="CE172" t="s">
        <v>48</v>
      </c>
      <c r="CF172" t="s">
        <v>48</v>
      </c>
      <c r="CG172" t="s">
        <v>48</v>
      </c>
      <c r="CH172" t="s">
        <v>48</v>
      </c>
      <c r="CI172" t="s">
        <v>48</v>
      </c>
      <c r="CJ172" t="s">
        <v>48</v>
      </c>
    </row>
    <row r="173" spans="1:88" x14ac:dyDescent="0.25">
      <c r="A173" s="4" t="s">
        <v>2106</v>
      </c>
      <c r="B173" s="4" t="s">
        <v>2133</v>
      </c>
      <c r="C173" s="4" t="s">
        <v>1318</v>
      </c>
      <c r="D173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Cabinet&gt;Ribbon &amp; Accessories&gt;L Connector</v>
      </c>
      <c r="E173">
        <v>720</v>
      </c>
      <c r="F173" t="s">
        <v>1908</v>
      </c>
      <c r="G173" s="3">
        <v>1142</v>
      </c>
      <c r="H173" s="8">
        <v>1.5</v>
      </c>
      <c r="I173" t="s">
        <v>1908</v>
      </c>
      <c r="J173" t="s">
        <v>1310</v>
      </c>
      <c r="K173" t="s">
        <v>648</v>
      </c>
      <c r="L173" t="s">
        <v>1124</v>
      </c>
      <c r="M173" s="12" t="str">
        <f>HYPERLINK(cna_product_database_catalog_website[[#This Row],[Spec Sheet Link]], cna_product_database_catalog_website[[#Headers],[Spec Sheet Link]])</f>
        <v>Spec Sheet Link</v>
      </c>
      <c r="N173" t="s">
        <v>47</v>
      </c>
      <c r="O173" s="3">
        <v>1</v>
      </c>
      <c r="P173" s="3">
        <v>1</v>
      </c>
      <c r="Q173" t="s">
        <v>48</v>
      </c>
      <c r="R173" t="s">
        <v>48</v>
      </c>
      <c r="S173" t="s">
        <v>48</v>
      </c>
      <c r="T173" t="s">
        <v>48</v>
      </c>
      <c r="U173" t="s">
        <v>48</v>
      </c>
      <c r="V173" t="s">
        <v>48</v>
      </c>
      <c r="W173" t="s">
        <v>48</v>
      </c>
      <c r="X173" t="s">
        <v>48</v>
      </c>
      <c r="Y173" s="3" t="s">
        <v>48</v>
      </c>
      <c r="Z173" s="3" t="s">
        <v>48</v>
      </c>
      <c r="AA173" s="3" t="s">
        <v>48</v>
      </c>
      <c r="AB173" s="1" t="s">
        <v>48</v>
      </c>
      <c r="AC173" s="1" t="s">
        <v>48</v>
      </c>
      <c r="AD173" t="s">
        <v>48</v>
      </c>
      <c r="AE173"/>
      <c r="AF173" t="s">
        <v>48</v>
      </c>
      <c r="AG173" t="s">
        <v>48</v>
      </c>
      <c r="AH173" t="s">
        <v>48</v>
      </c>
      <c r="AI173" t="s">
        <v>48</v>
      </c>
      <c r="AL173" t="s">
        <v>48</v>
      </c>
      <c r="AO173" t="s">
        <v>48</v>
      </c>
      <c r="AP173" t="s">
        <v>48</v>
      </c>
      <c r="AQ173" t="s">
        <v>48</v>
      </c>
      <c r="AV173" t="s">
        <v>48</v>
      </c>
      <c r="AW173" t="s">
        <v>48</v>
      </c>
      <c r="AX173" s="2" t="s">
        <v>48</v>
      </c>
      <c r="AY173" s="2" t="s">
        <v>48</v>
      </c>
      <c r="BC173">
        <f>SUM(cna_product_database_catalog_website[[#This Row],[Box Length (cm)]]*cna_product_database_catalog_website[[#This Row],[Box Width (cm)]]*cna_product_database_catalog_website[[#This Row],[Box Height (cm)]]/1000000)</f>
        <v>0</v>
      </c>
      <c r="BD173">
        <f>SUM(cna_product_database_catalog_website[[#This Row],[Box CBM]]*35.3147)</f>
        <v>0</v>
      </c>
      <c r="BE173" t="s">
        <v>48</v>
      </c>
      <c r="BI17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73">
        <f>SUM(cna_product_database_catalog_website[[#This Row],[Carton CFT]]/61024)</f>
        <v>0</v>
      </c>
      <c r="BM173" t="s">
        <v>48</v>
      </c>
      <c r="BN173" t="s">
        <v>48</v>
      </c>
      <c r="BO173" t="s">
        <v>48</v>
      </c>
      <c r="BP173" t="s">
        <v>48</v>
      </c>
      <c r="BQ173" t="s">
        <v>48</v>
      </c>
      <c r="BS173" t="s">
        <v>48</v>
      </c>
      <c r="BT173" t="s">
        <v>48</v>
      </c>
      <c r="BU173" t="s">
        <v>48</v>
      </c>
      <c r="BW173" t="s">
        <v>48</v>
      </c>
      <c r="BX173" t="s">
        <v>48</v>
      </c>
      <c r="BY173" t="s">
        <v>48</v>
      </c>
      <c r="BZ173" t="s">
        <v>48</v>
      </c>
      <c r="CA173" t="s">
        <v>48</v>
      </c>
      <c r="CB173" t="s">
        <v>48</v>
      </c>
      <c r="CC173" t="s">
        <v>48</v>
      </c>
      <c r="CD173" t="s">
        <v>48</v>
      </c>
      <c r="CE173" t="s">
        <v>48</v>
      </c>
      <c r="CF173" t="s">
        <v>48</v>
      </c>
      <c r="CG173" t="s">
        <v>48</v>
      </c>
      <c r="CH173" t="s">
        <v>48</v>
      </c>
      <c r="CI173" t="s">
        <v>48</v>
      </c>
      <c r="CJ173" t="s">
        <v>48</v>
      </c>
    </row>
    <row r="174" spans="1:88" x14ac:dyDescent="0.25">
      <c r="A174" s="4" t="s">
        <v>2106</v>
      </c>
      <c r="B174" s="4" t="s">
        <v>2133</v>
      </c>
      <c r="C174" s="4" t="s">
        <v>1319</v>
      </c>
      <c r="D174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Cabinet&gt;Ribbon &amp; Accessories&gt;T Connector</v>
      </c>
      <c r="E174">
        <v>721</v>
      </c>
      <c r="F174" t="s">
        <v>1909</v>
      </c>
      <c r="G174" s="3">
        <v>1139</v>
      </c>
      <c r="H174" s="8">
        <v>1.5</v>
      </c>
      <c r="I174" t="s">
        <v>1909</v>
      </c>
      <c r="J174" t="s">
        <v>1311</v>
      </c>
      <c r="K174" t="s">
        <v>649</v>
      </c>
      <c r="L174" t="s">
        <v>1124</v>
      </c>
      <c r="M174" s="12" t="str">
        <f>HYPERLINK(cna_product_database_catalog_website[[#This Row],[Spec Sheet Link]], cna_product_database_catalog_website[[#Headers],[Spec Sheet Link]])</f>
        <v>Spec Sheet Link</v>
      </c>
      <c r="N174" t="s">
        <v>47</v>
      </c>
      <c r="O174" s="3">
        <v>1</v>
      </c>
      <c r="P174" s="3">
        <v>1</v>
      </c>
      <c r="Q174" t="s">
        <v>48</v>
      </c>
      <c r="R174" t="s">
        <v>48</v>
      </c>
      <c r="S174" t="s">
        <v>48</v>
      </c>
      <c r="T174" t="s">
        <v>48</v>
      </c>
      <c r="U174" t="s">
        <v>48</v>
      </c>
      <c r="V174" t="s">
        <v>48</v>
      </c>
      <c r="W174" t="s">
        <v>48</v>
      </c>
      <c r="X174" t="s">
        <v>48</v>
      </c>
      <c r="Y174" s="3" t="s">
        <v>48</v>
      </c>
      <c r="Z174" s="3" t="s">
        <v>48</v>
      </c>
      <c r="AA174" s="3" t="s">
        <v>48</v>
      </c>
      <c r="AB174" s="1" t="s">
        <v>48</v>
      </c>
      <c r="AC174" s="1" t="s">
        <v>48</v>
      </c>
      <c r="AD174" t="s">
        <v>48</v>
      </c>
      <c r="AE174"/>
      <c r="AF174" t="s">
        <v>48</v>
      </c>
      <c r="AG174" t="s">
        <v>48</v>
      </c>
      <c r="AH174" t="s">
        <v>48</v>
      </c>
      <c r="AI174" t="s">
        <v>48</v>
      </c>
      <c r="AL174" t="s">
        <v>48</v>
      </c>
      <c r="AO174" t="s">
        <v>48</v>
      </c>
      <c r="AP174" t="s">
        <v>48</v>
      </c>
      <c r="AQ174" t="s">
        <v>48</v>
      </c>
      <c r="AV174" t="s">
        <v>48</v>
      </c>
      <c r="AW174" t="s">
        <v>48</v>
      </c>
      <c r="AX174" s="2" t="s">
        <v>48</v>
      </c>
      <c r="AY174" s="2" t="s">
        <v>48</v>
      </c>
      <c r="BC174">
        <f>SUM(cna_product_database_catalog_website[[#This Row],[Box Length (cm)]]*cna_product_database_catalog_website[[#This Row],[Box Width (cm)]]*cna_product_database_catalog_website[[#This Row],[Box Height (cm)]]/1000000)</f>
        <v>0</v>
      </c>
      <c r="BD174">
        <f>SUM(cna_product_database_catalog_website[[#This Row],[Box CBM]]*35.3147)</f>
        <v>0</v>
      </c>
      <c r="BE174" t="s">
        <v>48</v>
      </c>
      <c r="BI17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74">
        <f>SUM(cna_product_database_catalog_website[[#This Row],[Carton CFT]]/61024)</f>
        <v>0</v>
      </c>
      <c r="BM174" t="s">
        <v>48</v>
      </c>
      <c r="BN174" t="s">
        <v>48</v>
      </c>
      <c r="BO174" t="s">
        <v>48</v>
      </c>
      <c r="BP174" t="s">
        <v>48</v>
      </c>
      <c r="BQ174" t="s">
        <v>48</v>
      </c>
      <c r="BS174" t="s">
        <v>48</v>
      </c>
      <c r="BT174" t="s">
        <v>48</v>
      </c>
      <c r="BU174" t="s">
        <v>48</v>
      </c>
      <c r="BW174" t="s">
        <v>48</v>
      </c>
      <c r="BX174" t="s">
        <v>48</v>
      </c>
      <c r="BY174" t="s">
        <v>48</v>
      </c>
      <c r="BZ174" t="s">
        <v>48</v>
      </c>
      <c r="CA174" t="s">
        <v>48</v>
      </c>
      <c r="CB174" t="s">
        <v>48</v>
      </c>
      <c r="CC174" t="s">
        <v>48</v>
      </c>
      <c r="CD174" t="s">
        <v>48</v>
      </c>
      <c r="CE174" t="s">
        <v>48</v>
      </c>
      <c r="CF174" t="s">
        <v>48</v>
      </c>
      <c r="CG174" t="s">
        <v>48</v>
      </c>
      <c r="CH174" t="s">
        <v>48</v>
      </c>
      <c r="CI174" t="s">
        <v>48</v>
      </c>
      <c r="CJ174" t="s">
        <v>48</v>
      </c>
    </row>
    <row r="175" spans="1:88" x14ac:dyDescent="0.25">
      <c r="A175" s="4" t="s">
        <v>2106</v>
      </c>
      <c r="B175" s="4" t="s">
        <v>2133</v>
      </c>
      <c r="C175" s="4" t="s">
        <v>1331</v>
      </c>
      <c r="D175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Cabinet&gt;Ribbon &amp; Accessories&gt;COB Ribbon Aluminum Channel - 1M</v>
      </c>
      <c r="E175">
        <v>730</v>
      </c>
      <c r="F175" t="s">
        <v>650</v>
      </c>
      <c r="G175" s="3">
        <v>1153</v>
      </c>
      <c r="H175" s="8">
        <v>4</v>
      </c>
      <c r="I175" t="s">
        <v>650</v>
      </c>
      <c r="J175" t="s">
        <v>1323</v>
      </c>
      <c r="K175" t="s">
        <v>651</v>
      </c>
      <c r="L175" t="s">
        <v>1124</v>
      </c>
      <c r="M175" s="12" t="str">
        <f>HYPERLINK(cna_product_database_catalog_website[[#This Row],[Spec Sheet Link]], cna_product_database_catalog_website[[#Headers],[Spec Sheet Link]])</f>
        <v>Spec Sheet Link</v>
      </c>
      <c r="N175" t="s">
        <v>47</v>
      </c>
      <c r="O175" s="3">
        <v>1</v>
      </c>
      <c r="P175" s="3">
        <v>1</v>
      </c>
      <c r="Q175" t="s">
        <v>48</v>
      </c>
      <c r="R175" t="s">
        <v>48</v>
      </c>
      <c r="S175" t="s">
        <v>48</v>
      </c>
      <c r="T175" t="s">
        <v>48</v>
      </c>
      <c r="U175" t="s">
        <v>48</v>
      </c>
      <c r="V175" t="s">
        <v>48</v>
      </c>
      <c r="W175" t="s">
        <v>48</v>
      </c>
      <c r="X175" t="s">
        <v>48</v>
      </c>
      <c r="Y175" s="3" t="s">
        <v>48</v>
      </c>
      <c r="Z175" s="3" t="s">
        <v>48</v>
      </c>
      <c r="AA175" s="3" t="s">
        <v>48</v>
      </c>
      <c r="AB175" s="1" t="s">
        <v>48</v>
      </c>
      <c r="AC175" s="1" t="s">
        <v>48</v>
      </c>
      <c r="AD175" t="s">
        <v>48</v>
      </c>
      <c r="AE175"/>
      <c r="AF175" t="s">
        <v>48</v>
      </c>
      <c r="AG175" t="s">
        <v>48</v>
      </c>
      <c r="AH175" t="s">
        <v>48</v>
      </c>
      <c r="AI175" t="s">
        <v>48</v>
      </c>
      <c r="AL175" t="s">
        <v>48</v>
      </c>
      <c r="AO175" t="s">
        <v>48</v>
      </c>
      <c r="AP175" t="s">
        <v>48</v>
      </c>
      <c r="AQ175" t="s">
        <v>48</v>
      </c>
      <c r="AV175" t="s">
        <v>48</v>
      </c>
      <c r="AW175" t="s">
        <v>48</v>
      </c>
      <c r="AX175" s="2" t="s">
        <v>48</v>
      </c>
      <c r="AY175" s="2" t="s">
        <v>48</v>
      </c>
      <c r="BC175">
        <f>SUM(cna_product_database_catalog_website[[#This Row],[Box Length (cm)]]*cna_product_database_catalog_website[[#This Row],[Box Width (cm)]]*cna_product_database_catalog_website[[#This Row],[Box Height (cm)]]/1000000)</f>
        <v>0</v>
      </c>
      <c r="BD175">
        <f>SUM(cna_product_database_catalog_website[[#This Row],[Box CBM]]*35.3147)</f>
        <v>0</v>
      </c>
      <c r="BE175" t="s">
        <v>48</v>
      </c>
      <c r="BI17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75">
        <f>SUM(cna_product_database_catalog_website[[#This Row],[Carton CFT]]/61024)</f>
        <v>0</v>
      </c>
      <c r="BM175" t="s">
        <v>48</v>
      </c>
      <c r="BN175" t="s">
        <v>48</v>
      </c>
      <c r="BO175" t="s">
        <v>48</v>
      </c>
      <c r="BP175" t="s">
        <v>48</v>
      </c>
      <c r="BQ175" t="s">
        <v>46</v>
      </c>
      <c r="BS175" t="s">
        <v>48</v>
      </c>
      <c r="BT175" t="s">
        <v>48</v>
      </c>
      <c r="BU175" t="s">
        <v>48</v>
      </c>
      <c r="BW175" t="s">
        <v>48</v>
      </c>
      <c r="BX175" t="s">
        <v>48</v>
      </c>
      <c r="BY175" t="s">
        <v>48</v>
      </c>
      <c r="BZ175" t="s">
        <v>48</v>
      </c>
      <c r="CA175" t="s">
        <v>48</v>
      </c>
      <c r="CB175" t="s">
        <v>48</v>
      </c>
      <c r="CC175" t="s">
        <v>48</v>
      </c>
      <c r="CD175" t="s">
        <v>48</v>
      </c>
      <c r="CE175" t="s">
        <v>48</v>
      </c>
      <c r="CF175" t="s">
        <v>48</v>
      </c>
      <c r="CG175" t="s">
        <v>48</v>
      </c>
      <c r="CH175" t="s">
        <v>48</v>
      </c>
      <c r="CI175" t="s">
        <v>48</v>
      </c>
      <c r="CJ175" t="s">
        <v>48</v>
      </c>
    </row>
    <row r="176" spans="1:88" x14ac:dyDescent="0.25">
      <c r="A176" s="4" t="s">
        <v>2106</v>
      </c>
      <c r="B176" s="4" t="s">
        <v>2133</v>
      </c>
      <c r="C176" s="4" t="s">
        <v>1321</v>
      </c>
      <c r="D176" s="4" t="str">
        <f>cna_product_database_catalog_website[[#This Row],[MainCategory]]&amp;"&gt;"&amp;cna_product_database_catalog_website[[#This Row],[SubCategory1]]&amp;"&gt;"&amp;cna_product_database_catalog_website[[#This Row],[SubCategory2]]</f>
        <v xml:space="preserve">Under Cabinet&gt;Ribbon &amp; Accessories&gt;Surface Aluminum Channel - 1M </v>
      </c>
      <c r="E176">
        <v>740</v>
      </c>
      <c r="F176" t="s">
        <v>652</v>
      </c>
      <c r="G176" s="3">
        <v>994</v>
      </c>
      <c r="H176" s="8">
        <v>9.5</v>
      </c>
      <c r="I176" t="s">
        <v>652</v>
      </c>
      <c r="J176" t="s">
        <v>1327</v>
      </c>
      <c r="K176" t="s">
        <v>653</v>
      </c>
      <c r="L176" t="s">
        <v>1555</v>
      </c>
      <c r="M176" s="12" t="str">
        <f>HYPERLINK(cna_product_database_catalog_website[[#This Row],[Spec Sheet Link]], cna_product_database_catalog_website[[#Headers],[Spec Sheet Link]])</f>
        <v>Spec Sheet Link</v>
      </c>
      <c r="N176" t="s">
        <v>47</v>
      </c>
      <c r="O176" s="3">
        <v>1</v>
      </c>
      <c r="P176" s="3">
        <v>1</v>
      </c>
      <c r="Q176" t="s">
        <v>48</v>
      </c>
      <c r="R176" t="s">
        <v>48</v>
      </c>
      <c r="S176" t="s">
        <v>48</v>
      </c>
      <c r="T176" t="s">
        <v>48</v>
      </c>
      <c r="U176" t="s">
        <v>48</v>
      </c>
      <c r="V176" t="s">
        <v>48</v>
      </c>
      <c r="W176" t="s">
        <v>48</v>
      </c>
      <c r="X176" t="s">
        <v>48</v>
      </c>
      <c r="Y176" s="3" t="s">
        <v>48</v>
      </c>
      <c r="Z176" s="3" t="s">
        <v>48</v>
      </c>
      <c r="AA176" s="3" t="s">
        <v>48</v>
      </c>
      <c r="AB176" s="1" t="s">
        <v>48</v>
      </c>
      <c r="AC176" s="1" t="s">
        <v>48</v>
      </c>
      <c r="AD176" t="s">
        <v>48</v>
      </c>
      <c r="AE176"/>
      <c r="AF176" t="s">
        <v>48</v>
      </c>
      <c r="AG176" t="s">
        <v>48</v>
      </c>
      <c r="AH176" t="s">
        <v>48</v>
      </c>
      <c r="AI176" t="s">
        <v>48</v>
      </c>
      <c r="AL176" t="s">
        <v>48</v>
      </c>
      <c r="AO176" t="s">
        <v>48</v>
      </c>
      <c r="AP176" t="s">
        <v>48</v>
      </c>
      <c r="AQ176" t="s">
        <v>48</v>
      </c>
      <c r="AR176">
        <v>200</v>
      </c>
      <c r="AV176" t="s">
        <v>48</v>
      </c>
      <c r="AW176" t="s">
        <v>48</v>
      </c>
      <c r="AX176" s="2" t="s">
        <v>49</v>
      </c>
      <c r="AY176" s="2" t="s">
        <v>49</v>
      </c>
      <c r="BC176">
        <f>SUM(cna_product_database_catalog_website[[#This Row],[Box Length (cm)]]*cna_product_database_catalog_website[[#This Row],[Box Width (cm)]]*cna_product_database_catalog_website[[#This Row],[Box Height (cm)]]/1000000)</f>
        <v>0</v>
      </c>
      <c r="BD176">
        <f>SUM(cna_product_database_catalog_website[[#This Row],[Box CBM]]*35.3147)</f>
        <v>0</v>
      </c>
      <c r="BE176" t="s">
        <v>48</v>
      </c>
      <c r="BI17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76">
        <f>SUM(cna_product_database_catalog_website[[#This Row],[Carton CFT]]/61024)</f>
        <v>0</v>
      </c>
      <c r="BM176" t="s">
        <v>48</v>
      </c>
      <c r="BN176" t="s">
        <v>48</v>
      </c>
      <c r="BO176" t="s">
        <v>48</v>
      </c>
      <c r="BP176" t="s">
        <v>48</v>
      </c>
      <c r="BQ176" t="s">
        <v>48</v>
      </c>
      <c r="BS176" t="s">
        <v>48</v>
      </c>
      <c r="BT176" t="s">
        <v>48</v>
      </c>
      <c r="BU176" t="s">
        <v>48</v>
      </c>
      <c r="BW176" t="s">
        <v>48</v>
      </c>
      <c r="BX176" t="s">
        <v>48</v>
      </c>
      <c r="BY176" t="s">
        <v>48</v>
      </c>
      <c r="BZ176" t="s">
        <v>48</v>
      </c>
      <c r="CA176" t="s">
        <v>48</v>
      </c>
      <c r="CB176" t="s">
        <v>48</v>
      </c>
      <c r="CC176" t="s">
        <v>48</v>
      </c>
      <c r="CD176" t="s">
        <v>48</v>
      </c>
      <c r="CE176" t="s">
        <v>48</v>
      </c>
      <c r="CF176" t="s">
        <v>48</v>
      </c>
      <c r="CG176" t="s">
        <v>48</v>
      </c>
      <c r="CH176" t="s">
        <v>48</v>
      </c>
      <c r="CI176" t="s">
        <v>48</v>
      </c>
      <c r="CJ176" t="s">
        <v>48</v>
      </c>
    </row>
    <row r="177" spans="1:88" x14ac:dyDescent="0.25">
      <c r="A177" s="4" t="s">
        <v>2106</v>
      </c>
      <c r="B177" s="4" t="s">
        <v>2133</v>
      </c>
      <c r="C177" s="4" t="s">
        <v>1322</v>
      </c>
      <c r="D177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Cabinet&gt;Ribbon &amp; Accessories&gt;Surface Aluminum Channel - End Caps</v>
      </c>
      <c r="E177">
        <v>741</v>
      </c>
      <c r="F177" t="s">
        <v>654</v>
      </c>
      <c r="G177" s="3">
        <v>995</v>
      </c>
      <c r="H177" s="8">
        <v>2</v>
      </c>
      <c r="I177" t="s">
        <v>654</v>
      </c>
      <c r="J177" t="s">
        <v>1322</v>
      </c>
      <c r="K177" t="s">
        <v>655</v>
      </c>
      <c r="L177" t="s">
        <v>1555</v>
      </c>
      <c r="M177" s="12" t="str">
        <f>HYPERLINK(cna_product_database_catalog_website[[#This Row],[Spec Sheet Link]], cna_product_database_catalog_website[[#Headers],[Spec Sheet Link]])</f>
        <v>Spec Sheet Link</v>
      </c>
      <c r="N177" t="s">
        <v>47</v>
      </c>
      <c r="O177" s="3">
        <v>1</v>
      </c>
      <c r="P177" s="3">
        <v>1</v>
      </c>
      <c r="Q177" t="s">
        <v>48</v>
      </c>
      <c r="R177" t="s">
        <v>48</v>
      </c>
      <c r="S177" t="s">
        <v>48</v>
      </c>
      <c r="T177" t="s">
        <v>48</v>
      </c>
      <c r="U177" t="s">
        <v>48</v>
      </c>
      <c r="V177" t="s">
        <v>48</v>
      </c>
      <c r="W177" t="s">
        <v>48</v>
      </c>
      <c r="X177" t="s">
        <v>48</v>
      </c>
      <c r="Y177" s="3" t="s">
        <v>48</v>
      </c>
      <c r="Z177" s="3" t="s">
        <v>48</v>
      </c>
      <c r="AA177" s="3" t="s">
        <v>48</v>
      </c>
      <c r="AB177" s="1" t="s">
        <v>48</v>
      </c>
      <c r="AC177" s="1" t="s">
        <v>48</v>
      </c>
      <c r="AD177" t="s">
        <v>48</v>
      </c>
      <c r="AE177"/>
      <c r="AF177" t="s">
        <v>48</v>
      </c>
      <c r="AG177" t="s">
        <v>48</v>
      </c>
      <c r="AH177" t="s">
        <v>48</v>
      </c>
      <c r="AI177" t="s">
        <v>48</v>
      </c>
      <c r="AL177" t="s">
        <v>48</v>
      </c>
      <c r="AO177" t="s">
        <v>48</v>
      </c>
      <c r="AP177" t="s">
        <v>48</v>
      </c>
      <c r="AQ177" t="s">
        <v>48</v>
      </c>
      <c r="AR177">
        <v>1</v>
      </c>
      <c r="AV177" t="s">
        <v>48</v>
      </c>
      <c r="AW177" t="s">
        <v>48</v>
      </c>
      <c r="AX177" s="2" t="s">
        <v>49</v>
      </c>
      <c r="AY177" s="2" t="s">
        <v>49</v>
      </c>
      <c r="BC177">
        <f>SUM(cna_product_database_catalog_website[[#This Row],[Box Length (cm)]]*cna_product_database_catalog_website[[#This Row],[Box Width (cm)]]*cna_product_database_catalog_website[[#This Row],[Box Height (cm)]]/1000000)</f>
        <v>0</v>
      </c>
      <c r="BD177">
        <f>SUM(cna_product_database_catalog_website[[#This Row],[Box CBM]]*35.3147)</f>
        <v>0</v>
      </c>
      <c r="BE177" t="s">
        <v>48</v>
      </c>
      <c r="BI17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77">
        <f>SUM(cna_product_database_catalog_website[[#This Row],[Carton CFT]]/61024)</f>
        <v>0</v>
      </c>
      <c r="BM177" t="s">
        <v>48</v>
      </c>
      <c r="BN177" t="s">
        <v>48</v>
      </c>
      <c r="BO177" t="s">
        <v>48</v>
      </c>
      <c r="BP177" t="s">
        <v>48</v>
      </c>
      <c r="BQ177" t="s">
        <v>48</v>
      </c>
      <c r="BS177" t="s">
        <v>48</v>
      </c>
      <c r="BT177" t="s">
        <v>48</v>
      </c>
      <c r="BU177" t="s">
        <v>48</v>
      </c>
      <c r="BW177" t="s">
        <v>48</v>
      </c>
      <c r="BX177" t="s">
        <v>48</v>
      </c>
      <c r="BY177" t="s">
        <v>48</v>
      </c>
      <c r="BZ177" t="s">
        <v>48</v>
      </c>
      <c r="CA177" t="s">
        <v>48</v>
      </c>
      <c r="CB177" t="s">
        <v>48</v>
      </c>
      <c r="CC177" t="s">
        <v>48</v>
      </c>
      <c r="CD177" t="s">
        <v>48</v>
      </c>
      <c r="CE177" t="s">
        <v>48</v>
      </c>
      <c r="CF177" t="s">
        <v>48</v>
      </c>
      <c r="CG177" t="s">
        <v>48</v>
      </c>
      <c r="CH177" t="s">
        <v>48</v>
      </c>
      <c r="CI177" t="s">
        <v>48</v>
      </c>
      <c r="CJ177" t="s">
        <v>48</v>
      </c>
    </row>
    <row r="178" spans="1:88" x14ac:dyDescent="0.25">
      <c r="A178" s="4" t="s">
        <v>2106</v>
      </c>
      <c r="B178" s="4" t="s">
        <v>2133</v>
      </c>
      <c r="C178" s="4" t="s">
        <v>1320</v>
      </c>
      <c r="D178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Cabinet&gt;Ribbon &amp; Accessories&gt;Surface Aluminum Channel - Mounting Clips</v>
      </c>
      <c r="E178">
        <v>742</v>
      </c>
      <c r="F178" t="s">
        <v>656</v>
      </c>
      <c r="G178" s="3">
        <v>998</v>
      </c>
      <c r="H178" s="8">
        <v>2</v>
      </c>
      <c r="I178" t="s">
        <v>656</v>
      </c>
      <c r="J178" t="s">
        <v>1320</v>
      </c>
      <c r="K178" t="s">
        <v>657</v>
      </c>
      <c r="L178" t="s">
        <v>1555</v>
      </c>
      <c r="M178" s="12" t="str">
        <f>HYPERLINK(cna_product_database_catalog_website[[#This Row],[Spec Sheet Link]], cna_product_database_catalog_website[[#Headers],[Spec Sheet Link]])</f>
        <v>Spec Sheet Link</v>
      </c>
      <c r="N178" t="s">
        <v>47</v>
      </c>
      <c r="O178" s="3">
        <v>1</v>
      </c>
      <c r="P178" s="3">
        <v>1</v>
      </c>
      <c r="Q178" t="s">
        <v>48</v>
      </c>
      <c r="R178" t="s">
        <v>48</v>
      </c>
      <c r="S178" t="s">
        <v>48</v>
      </c>
      <c r="T178" t="s">
        <v>48</v>
      </c>
      <c r="U178" t="s">
        <v>48</v>
      </c>
      <c r="V178" t="s">
        <v>48</v>
      </c>
      <c r="W178" t="s">
        <v>48</v>
      </c>
      <c r="X178" t="s">
        <v>48</v>
      </c>
      <c r="Y178" s="3" t="s">
        <v>48</v>
      </c>
      <c r="Z178" s="3" t="s">
        <v>48</v>
      </c>
      <c r="AA178" s="3" t="s">
        <v>48</v>
      </c>
      <c r="AB178" s="1" t="s">
        <v>48</v>
      </c>
      <c r="AC178" s="1" t="s">
        <v>48</v>
      </c>
      <c r="AD178" t="s">
        <v>48</v>
      </c>
      <c r="AE178"/>
      <c r="AF178" t="s">
        <v>48</v>
      </c>
      <c r="AG178" t="s">
        <v>48</v>
      </c>
      <c r="AH178" t="s">
        <v>48</v>
      </c>
      <c r="AI178" t="s">
        <v>48</v>
      </c>
      <c r="AL178" t="s">
        <v>48</v>
      </c>
      <c r="AO178" t="s">
        <v>48</v>
      </c>
      <c r="AP178" t="s">
        <v>48</v>
      </c>
      <c r="AQ178" t="s">
        <v>48</v>
      </c>
      <c r="AR178">
        <v>2</v>
      </c>
      <c r="AV178" t="s">
        <v>48</v>
      </c>
      <c r="AW178" t="s">
        <v>48</v>
      </c>
      <c r="AX178" s="2" t="s">
        <v>49</v>
      </c>
      <c r="AY178" s="2" t="s">
        <v>49</v>
      </c>
      <c r="BC178">
        <f>SUM(cna_product_database_catalog_website[[#This Row],[Box Length (cm)]]*cna_product_database_catalog_website[[#This Row],[Box Width (cm)]]*cna_product_database_catalog_website[[#This Row],[Box Height (cm)]]/1000000)</f>
        <v>0</v>
      </c>
      <c r="BD178">
        <f>SUM(cna_product_database_catalog_website[[#This Row],[Box CBM]]*35.3147)</f>
        <v>0</v>
      </c>
      <c r="BE178" t="s">
        <v>48</v>
      </c>
      <c r="BI17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78">
        <f>SUM(cna_product_database_catalog_website[[#This Row],[Carton CFT]]/61024)</f>
        <v>0</v>
      </c>
      <c r="BM178" t="s">
        <v>48</v>
      </c>
      <c r="BN178" t="s">
        <v>48</v>
      </c>
      <c r="BO178" t="s">
        <v>48</v>
      </c>
      <c r="BP178" t="s">
        <v>48</v>
      </c>
      <c r="BQ178" t="s">
        <v>48</v>
      </c>
      <c r="BS178" t="s">
        <v>48</v>
      </c>
      <c r="BT178" t="s">
        <v>48</v>
      </c>
      <c r="BU178" t="s">
        <v>48</v>
      </c>
      <c r="BW178" t="s">
        <v>48</v>
      </c>
      <c r="BX178" t="s">
        <v>48</v>
      </c>
      <c r="BY178" t="s">
        <v>48</v>
      </c>
      <c r="BZ178" t="s">
        <v>48</v>
      </c>
      <c r="CA178" t="s">
        <v>48</v>
      </c>
      <c r="CB178" t="s">
        <v>48</v>
      </c>
      <c r="CC178" t="s">
        <v>48</v>
      </c>
      <c r="CD178" t="s">
        <v>48</v>
      </c>
      <c r="CE178" t="s">
        <v>48</v>
      </c>
      <c r="CF178" t="s">
        <v>48</v>
      </c>
      <c r="CG178" t="s">
        <v>48</v>
      </c>
      <c r="CH178" t="s">
        <v>48</v>
      </c>
      <c r="CI178" t="s">
        <v>48</v>
      </c>
      <c r="CJ178" t="s">
        <v>48</v>
      </c>
    </row>
    <row r="179" spans="1:88" x14ac:dyDescent="0.25">
      <c r="A179" s="4" t="s">
        <v>2106</v>
      </c>
      <c r="B179" s="4" t="s">
        <v>2133</v>
      </c>
      <c r="C179" s="4" t="s">
        <v>1324</v>
      </c>
      <c r="D179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Cabinet&gt;Ribbon &amp; Accessories&gt;Recessed Auminum Channel - 1M</v>
      </c>
      <c r="E179">
        <v>750</v>
      </c>
      <c r="F179" t="s">
        <v>658</v>
      </c>
      <c r="G179" s="3">
        <v>996</v>
      </c>
      <c r="H179" s="8">
        <v>9.5</v>
      </c>
      <c r="I179" t="s">
        <v>658</v>
      </c>
      <c r="J179" t="s">
        <v>1328</v>
      </c>
      <c r="K179" t="s">
        <v>659</v>
      </c>
      <c r="L179" t="s">
        <v>1555</v>
      </c>
      <c r="M179" s="12" t="str">
        <f>HYPERLINK(cna_product_database_catalog_website[[#This Row],[Spec Sheet Link]], cna_product_database_catalog_website[[#Headers],[Spec Sheet Link]])</f>
        <v>Spec Sheet Link</v>
      </c>
      <c r="N179" t="s">
        <v>47</v>
      </c>
      <c r="O179" s="3">
        <v>1</v>
      </c>
      <c r="P179" s="3">
        <v>1</v>
      </c>
      <c r="Q179" t="s">
        <v>48</v>
      </c>
      <c r="R179" t="s">
        <v>48</v>
      </c>
      <c r="S179" t="s">
        <v>48</v>
      </c>
      <c r="T179" t="s">
        <v>48</v>
      </c>
      <c r="U179" t="s">
        <v>48</v>
      </c>
      <c r="V179" t="s">
        <v>48</v>
      </c>
      <c r="W179" t="s">
        <v>48</v>
      </c>
      <c r="X179" t="s">
        <v>48</v>
      </c>
      <c r="Y179" s="3" t="s">
        <v>48</v>
      </c>
      <c r="Z179" s="3" t="s">
        <v>48</v>
      </c>
      <c r="AA179" s="3" t="s">
        <v>48</v>
      </c>
      <c r="AB179" s="1" t="s">
        <v>48</v>
      </c>
      <c r="AC179" s="1" t="s">
        <v>48</v>
      </c>
      <c r="AD179" t="s">
        <v>48</v>
      </c>
      <c r="AE179"/>
      <c r="AF179" t="s">
        <v>48</v>
      </c>
      <c r="AG179" t="s">
        <v>48</v>
      </c>
      <c r="AH179" t="s">
        <v>48</v>
      </c>
      <c r="AI179" t="s">
        <v>48</v>
      </c>
      <c r="AL179" t="s">
        <v>48</v>
      </c>
      <c r="AO179" t="s">
        <v>48</v>
      </c>
      <c r="AP179" t="s">
        <v>48</v>
      </c>
      <c r="AQ179" t="s">
        <v>48</v>
      </c>
      <c r="AR179">
        <v>200</v>
      </c>
      <c r="AV179" t="s">
        <v>48</v>
      </c>
      <c r="AW179" t="s">
        <v>48</v>
      </c>
      <c r="AX179" s="2" t="s">
        <v>49</v>
      </c>
      <c r="AY179" s="2" t="s">
        <v>49</v>
      </c>
      <c r="BC179">
        <f>SUM(cna_product_database_catalog_website[[#This Row],[Box Length (cm)]]*cna_product_database_catalog_website[[#This Row],[Box Width (cm)]]*cna_product_database_catalog_website[[#This Row],[Box Height (cm)]]/1000000)</f>
        <v>0</v>
      </c>
      <c r="BD179">
        <f>SUM(cna_product_database_catalog_website[[#This Row],[Box CBM]]*35.3147)</f>
        <v>0</v>
      </c>
      <c r="BE179" t="s">
        <v>48</v>
      </c>
      <c r="BI17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79">
        <f>SUM(cna_product_database_catalog_website[[#This Row],[Carton CFT]]/61024)</f>
        <v>0</v>
      </c>
      <c r="BM179" t="s">
        <v>48</v>
      </c>
      <c r="BN179" t="s">
        <v>48</v>
      </c>
      <c r="BO179" t="s">
        <v>48</v>
      </c>
      <c r="BP179" t="s">
        <v>48</v>
      </c>
      <c r="BQ179" t="s">
        <v>48</v>
      </c>
      <c r="BS179" t="s">
        <v>48</v>
      </c>
      <c r="BT179" t="s">
        <v>48</v>
      </c>
      <c r="BU179" t="s">
        <v>48</v>
      </c>
      <c r="BW179" t="s">
        <v>48</v>
      </c>
      <c r="BX179" t="s">
        <v>48</v>
      </c>
      <c r="BY179" t="s">
        <v>48</v>
      </c>
      <c r="BZ179" t="s">
        <v>48</v>
      </c>
      <c r="CA179" t="s">
        <v>48</v>
      </c>
      <c r="CB179" t="s">
        <v>48</v>
      </c>
      <c r="CC179" t="s">
        <v>48</v>
      </c>
      <c r="CD179" t="s">
        <v>48</v>
      </c>
      <c r="CE179" t="s">
        <v>48</v>
      </c>
      <c r="CF179" t="s">
        <v>48</v>
      </c>
      <c r="CG179" t="s">
        <v>48</v>
      </c>
      <c r="CH179" t="s">
        <v>48</v>
      </c>
      <c r="CI179" t="s">
        <v>48</v>
      </c>
      <c r="CJ179" t="s">
        <v>48</v>
      </c>
    </row>
    <row r="180" spans="1:88" x14ac:dyDescent="0.25">
      <c r="A180" s="4" t="s">
        <v>2106</v>
      </c>
      <c r="B180" s="4" t="s">
        <v>2133</v>
      </c>
      <c r="C180" s="4" t="s">
        <v>1325</v>
      </c>
      <c r="D180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Cabinet&gt;Ribbon &amp; Accessories&gt;Recessed Auminum Channel - End Caps</v>
      </c>
      <c r="E180">
        <v>751</v>
      </c>
      <c r="F180" t="s">
        <v>660</v>
      </c>
      <c r="G180" s="3">
        <v>997</v>
      </c>
      <c r="H180" s="8">
        <v>2</v>
      </c>
      <c r="I180" t="s">
        <v>660</v>
      </c>
      <c r="J180" t="s">
        <v>1329</v>
      </c>
      <c r="K180" t="s">
        <v>661</v>
      </c>
      <c r="L180" t="s">
        <v>1555</v>
      </c>
      <c r="M180" s="12" t="str">
        <f>HYPERLINK(cna_product_database_catalog_website[[#This Row],[Spec Sheet Link]], cna_product_database_catalog_website[[#Headers],[Spec Sheet Link]])</f>
        <v>Spec Sheet Link</v>
      </c>
      <c r="N180" t="s">
        <v>47</v>
      </c>
      <c r="O180" s="3">
        <v>1</v>
      </c>
      <c r="P180" s="3">
        <v>1</v>
      </c>
      <c r="Q180" t="s">
        <v>48</v>
      </c>
      <c r="R180" t="s">
        <v>48</v>
      </c>
      <c r="S180" t="s">
        <v>48</v>
      </c>
      <c r="T180" t="s">
        <v>48</v>
      </c>
      <c r="U180" t="s">
        <v>48</v>
      </c>
      <c r="V180" t="s">
        <v>48</v>
      </c>
      <c r="W180" t="s">
        <v>48</v>
      </c>
      <c r="X180" t="s">
        <v>48</v>
      </c>
      <c r="Y180" s="3" t="s">
        <v>48</v>
      </c>
      <c r="Z180" s="3" t="s">
        <v>48</v>
      </c>
      <c r="AA180" s="3" t="s">
        <v>48</v>
      </c>
      <c r="AB180" s="1" t="s">
        <v>48</v>
      </c>
      <c r="AC180" s="1" t="s">
        <v>48</v>
      </c>
      <c r="AD180" t="s">
        <v>48</v>
      </c>
      <c r="AE180"/>
      <c r="AF180" t="s">
        <v>48</v>
      </c>
      <c r="AG180" t="s">
        <v>48</v>
      </c>
      <c r="AH180" t="s">
        <v>48</v>
      </c>
      <c r="AI180" t="s">
        <v>48</v>
      </c>
      <c r="AL180" t="s">
        <v>48</v>
      </c>
      <c r="AO180" t="s">
        <v>48</v>
      </c>
      <c r="AP180" t="s">
        <v>48</v>
      </c>
      <c r="AQ180" t="s">
        <v>48</v>
      </c>
      <c r="AR180">
        <v>1</v>
      </c>
      <c r="AV180" t="s">
        <v>48</v>
      </c>
      <c r="AW180" t="s">
        <v>48</v>
      </c>
      <c r="AX180" s="2" t="s">
        <v>49</v>
      </c>
      <c r="AY180" s="2" t="s">
        <v>49</v>
      </c>
      <c r="BC180">
        <f>SUM(cna_product_database_catalog_website[[#This Row],[Box Length (cm)]]*cna_product_database_catalog_website[[#This Row],[Box Width (cm)]]*cna_product_database_catalog_website[[#This Row],[Box Height (cm)]]/1000000)</f>
        <v>0</v>
      </c>
      <c r="BD180">
        <f>SUM(cna_product_database_catalog_website[[#This Row],[Box CBM]]*35.3147)</f>
        <v>0</v>
      </c>
      <c r="BE180" t="s">
        <v>48</v>
      </c>
      <c r="BI18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80">
        <f>SUM(cna_product_database_catalog_website[[#This Row],[Carton CFT]]/61024)</f>
        <v>0</v>
      </c>
      <c r="BM180" t="s">
        <v>48</v>
      </c>
      <c r="BN180" t="s">
        <v>48</v>
      </c>
      <c r="BO180" t="s">
        <v>48</v>
      </c>
      <c r="BP180" t="s">
        <v>48</v>
      </c>
      <c r="BQ180" t="s">
        <v>48</v>
      </c>
      <c r="BS180" t="s">
        <v>48</v>
      </c>
      <c r="BT180" t="s">
        <v>48</v>
      </c>
      <c r="BU180" t="s">
        <v>48</v>
      </c>
      <c r="BW180" t="s">
        <v>48</v>
      </c>
      <c r="BX180" t="s">
        <v>48</v>
      </c>
      <c r="BY180" t="s">
        <v>48</v>
      </c>
      <c r="BZ180" t="s">
        <v>48</v>
      </c>
      <c r="CA180" t="s">
        <v>48</v>
      </c>
      <c r="CB180" t="s">
        <v>48</v>
      </c>
      <c r="CC180" t="s">
        <v>48</v>
      </c>
      <c r="CD180" t="s">
        <v>48</v>
      </c>
      <c r="CE180" t="s">
        <v>48</v>
      </c>
      <c r="CF180" t="s">
        <v>48</v>
      </c>
      <c r="CG180" t="s">
        <v>48</v>
      </c>
      <c r="CH180" t="s">
        <v>48</v>
      </c>
      <c r="CI180" t="s">
        <v>48</v>
      </c>
      <c r="CJ180" t="s">
        <v>48</v>
      </c>
    </row>
    <row r="181" spans="1:88" x14ac:dyDescent="0.25">
      <c r="A181" s="4" t="s">
        <v>2106</v>
      </c>
      <c r="B181" s="4" t="s">
        <v>2133</v>
      </c>
      <c r="C181" s="4" t="s">
        <v>1326</v>
      </c>
      <c r="D181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Cabinet&gt;Ribbon &amp; Accessories&gt;Recessed Auminum Channel - Mounting Clips</v>
      </c>
      <c r="E181">
        <v>752</v>
      </c>
      <c r="F181" t="s">
        <v>662</v>
      </c>
      <c r="G181" s="3">
        <v>999</v>
      </c>
      <c r="H181" s="8">
        <v>3.5</v>
      </c>
      <c r="I181" t="s">
        <v>662</v>
      </c>
      <c r="J181" t="s">
        <v>1330</v>
      </c>
      <c r="K181" t="s">
        <v>663</v>
      </c>
      <c r="L181" t="s">
        <v>1555</v>
      </c>
      <c r="M181" s="12" t="str">
        <f>HYPERLINK(cna_product_database_catalog_website[[#This Row],[Spec Sheet Link]], cna_product_database_catalog_website[[#Headers],[Spec Sheet Link]])</f>
        <v>Spec Sheet Link</v>
      </c>
      <c r="N181" t="s">
        <v>47</v>
      </c>
      <c r="O181" s="3">
        <v>1</v>
      </c>
      <c r="P181" s="3">
        <v>1</v>
      </c>
      <c r="Q181" t="s">
        <v>48</v>
      </c>
      <c r="R181" t="s">
        <v>48</v>
      </c>
      <c r="S181" t="s">
        <v>48</v>
      </c>
      <c r="T181" t="s">
        <v>48</v>
      </c>
      <c r="U181" t="s">
        <v>48</v>
      </c>
      <c r="V181" t="s">
        <v>48</v>
      </c>
      <c r="W181" t="s">
        <v>48</v>
      </c>
      <c r="X181" t="s">
        <v>48</v>
      </c>
      <c r="Y181" s="3" t="s">
        <v>48</v>
      </c>
      <c r="Z181" s="3" t="s">
        <v>48</v>
      </c>
      <c r="AA181" s="3" t="s">
        <v>48</v>
      </c>
      <c r="AB181" s="1" t="s">
        <v>48</v>
      </c>
      <c r="AC181" s="1" t="s">
        <v>48</v>
      </c>
      <c r="AD181" t="s">
        <v>48</v>
      </c>
      <c r="AE181"/>
      <c r="AF181" t="s">
        <v>48</v>
      </c>
      <c r="AG181" t="s">
        <v>48</v>
      </c>
      <c r="AH181" t="s">
        <v>48</v>
      </c>
      <c r="AI181" t="s">
        <v>48</v>
      </c>
      <c r="AL181" t="s">
        <v>48</v>
      </c>
      <c r="AO181" t="s">
        <v>48</v>
      </c>
      <c r="AP181" t="s">
        <v>48</v>
      </c>
      <c r="AQ181" t="s">
        <v>48</v>
      </c>
      <c r="AR181">
        <v>2</v>
      </c>
      <c r="AV181" t="s">
        <v>48</v>
      </c>
      <c r="AW181" t="s">
        <v>48</v>
      </c>
      <c r="AX181" s="2" t="s">
        <v>49</v>
      </c>
      <c r="AY181" s="2" t="s">
        <v>49</v>
      </c>
      <c r="BC181">
        <f>SUM(cna_product_database_catalog_website[[#This Row],[Box Length (cm)]]*cna_product_database_catalog_website[[#This Row],[Box Width (cm)]]*cna_product_database_catalog_website[[#This Row],[Box Height (cm)]]/1000000)</f>
        <v>0</v>
      </c>
      <c r="BD181">
        <f>SUM(cna_product_database_catalog_website[[#This Row],[Box CBM]]*35.3147)</f>
        <v>0</v>
      </c>
      <c r="BE181" t="s">
        <v>48</v>
      </c>
      <c r="BI18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81">
        <f>SUM(cna_product_database_catalog_website[[#This Row],[Carton CFT]]/61024)</f>
        <v>0</v>
      </c>
      <c r="BM181" t="s">
        <v>48</v>
      </c>
      <c r="BN181" t="s">
        <v>48</v>
      </c>
      <c r="BO181" t="s">
        <v>48</v>
      </c>
      <c r="BP181" t="s">
        <v>48</v>
      </c>
      <c r="BQ181" t="s">
        <v>48</v>
      </c>
      <c r="BS181" t="s">
        <v>48</v>
      </c>
      <c r="BT181" t="s">
        <v>48</v>
      </c>
      <c r="BU181" t="s">
        <v>48</v>
      </c>
      <c r="BW181" t="s">
        <v>48</v>
      </c>
      <c r="BX181" t="s">
        <v>48</v>
      </c>
      <c r="BY181" t="s">
        <v>48</v>
      </c>
      <c r="BZ181" t="s">
        <v>48</v>
      </c>
      <c r="CA181" t="s">
        <v>48</v>
      </c>
      <c r="CB181" t="s">
        <v>48</v>
      </c>
      <c r="CC181" t="s">
        <v>48</v>
      </c>
      <c r="CD181" t="s">
        <v>48</v>
      </c>
      <c r="CE181" t="s">
        <v>48</v>
      </c>
      <c r="CF181" t="s">
        <v>48</v>
      </c>
      <c r="CG181" t="s">
        <v>48</v>
      </c>
      <c r="CH181" t="s">
        <v>48</v>
      </c>
      <c r="CI181" t="s">
        <v>48</v>
      </c>
      <c r="CJ181" t="s">
        <v>48</v>
      </c>
    </row>
    <row r="182" spans="1:88" x14ac:dyDescent="0.25">
      <c r="A182" s="4" t="s">
        <v>2106</v>
      </c>
      <c r="B182" s="4" t="s">
        <v>1198</v>
      </c>
      <c r="C182" s="4" t="s">
        <v>2160</v>
      </c>
      <c r="D182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Cabinet&gt;12V LED Drivers&gt;12W Dimmable LED Driver</v>
      </c>
      <c r="E182">
        <v>800</v>
      </c>
      <c r="F182" t="s">
        <v>664</v>
      </c>
      <c r="G182" s="3">
        <v>1060</v>
      </c>
      <c r="H182" s="8">
        <v>16</v>
      </c>
      <c r="I182" t="s">
        <v>664</v>
      </c>
      <c r="J182" t="s">
        <v>1332</v>
      </c>
      <c r="K182" t="s">
        <v>665</v>
      </c>
      <c r="L182" t="s">
        <v>666</v>
      </c>
      <c r="M182" s="12" t="str">
        <f>HYPERLINK(cna_product_database_catalog_website[[#This Row],[Spec Sheet Link]], cna_product_database_catalog_website[[#Headers],[Spec Sheet Link]])</f>
        <v>Spec Sheet Link</v>
      </c>
      <c r="N182" t="s">
        <v>47</v>
      </c>
      <c r="O182" s="3">
        <v>1</v>
      </c>
      <c r="P182" s="3">
        <v>1</v>
      </c>
      <c r="Q182" t="s">
        <v>48</v>
      </c>
      <c r="R182" t="s">
        <v>667</v>
      </c>
      <c r="S182" t="s">
        <v>48</v>
      </c>
      <c r="T182" t="s">
        <v>48</v>
      </c>
      <c r="U182" t="s">
        <v>400</v>
      </c>
      <c r="V182" t="s">
        <v>48</v>
      </c>
      <c r="W182" t="s">
        <v>48</v>
      </c>
      <c r="X182" t="s">
        <v>48</v>
      </c>
      <c r="Y182" s="3" t="s">
        <v>48</v>
      </c>
      <c r="Z182" s="3" t="s">
        <v>48</v>
      </c>
      <c r="AA182" s="3" t="s">
        <v>60</v>
      </c>
      <c r="AB182" s="1" t="s">
        <v>48</v>
      </c>
      <c r="AC182" s="1" t="s">
        <v>48</v>
      </c>
      <c r="AD182" t="s">
        <v>48</v>
      </c>
      <c r="AE182"/>
      <c r="AF182" t="s">
        <v>48</v>
      </c>
      <c r="AG182" t="s">
        <v>48</v>
      </c>
      <c r="AH182" t="s">
        <v>48</v>
      </c>
      <c r="AI182" t="s">
        <v>48</v>
      </c>
      <c r="AL182" t="s">
        <v>48</v>
      </c>
      <c r="AO182" t="s">
        <v>48</v>
      </c>
      <c r="AP182" t="s">
        <v>48</v>
      </c>
      <c r="AQ182" t="s">
        <v>48</v>
      </c>
      <c r="AR182">
        <v>26</v>
      </c>
      <c r="AS182">
        <v>0.06</v>
      </c>
      <c r="AV182" t="s">
        <v>48</v>
      </c>
      <c r="AW182" t="s">
        <v>48</v>
      </c>
      <c r="AX182" s="2" t="s">
        <v>49</v>
      </c>
      <c r="AY182" s="2" t="s">
        <v>49</v>
      </c>
      <c r="BC182">
        <f>SUM(cna_product_database_catalog_website[[#This Row],[Box Length (cm)]]*cna_product_database_catalog_website[[#This Row],[Box Width (cm)]]*cna_product_database_catalog_website[[#This Row],[Box Height (cm)]]/1000000)</f>
        <v>0</v>
      </c>
      <c r="BD182">
        <f>SUM(cna_product_database_catalog_website[[#This Row],[Box CBM]]*35.3147)</f>
        <v>0</v>
      </c>
      <c r="BE182" t="s">
        <v>48</v>
      </c>
      <c r="BI18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82">
        <f>SUM(cna_product_database_catalog_website[[#This Row],[Carton CFT]]/61024)</f>
        <v>0</v>
      </c>
      <c r="BM182" t="s">
        <v>48</v>
      </c>
      <c r="BN182" t="s">
        <v>48</v>
      </c>
      <c r="BO182" t="s">
        <v>48</v>
      </c>
      <c r="BP182" t="s">
        <v>48</v>
      </c>
      <c r="BQ182" t="s">
        <v>48</v>
      </c>
      <c r="BS182" t="s">
        <v>48</v>
      </c>
      <c r="BT182" t="s">
        <v>48</v>
      </c>
      <c r="BU182" t="s">
        <v>48</v>
      </c>
      <c r="BW182" t="s">
        <v>48</v>
      </c>
      <c r="BX182" t="s">
        <v>48</v>
      </c>
      <c r="BY182" t="s">
        <v>48</v>
      </c>
      <c r="BZ182" t="s">
        <v>48</v>
      </c>
      <c r="CA182" t="s">
        <v>48</v>
      </c>
      <c r="CB182" t="s">
        <v>48</v>
      </c>
      <c r="CC182" t="s">
        <v>48</v>
      </c>
      <c r="CD182" t="s">
        <v>48</v>
      </c>
      <c r="CE182" t="s">
        <v>668</v>
      </c>
      <c r="CF182" t="s">
        <v>48</v>
      </c>
      <c r="CG182" t="s">
        <v>667</v>
      </c>
      <c r="CH182" t="s">
        <v>48</v>
      </c>
      <c r="CI182" t="s">
        <v>48</v>
      </c>
      <c r="CJ182" t="s">
        <v>48</v>
      </c>
    </row>
    <row r="183" spans="1:88" x14ac:dyDescent="0.25">
      <c r="A183" s="4" t="s">
        <v>2106</v>
      </c>
      <c r="B183" s="4" t="s">
        <v>1198</v>
      </c>
      <c r="C183" s="4" t="s">
        <v>2161</v>
      </c>
      <c r="D183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Cabinet&gt;12V LED Drivers&gt;18W Dimmable LED Driver</v>
      </c>
      <c r="E183">
        <v>805</v>
      </c>
      <c r="F183" t="s">
        <v>669</v>
      </c>
      <c r="G183" s="3">
        <v>1061</v>
      </c>
      <c r="H183" s="8">
        <v>25</v>
      </c>
      <c r="I183" t="s">
        <v>669</v>
      </c>
      <c r="J183" t="s">
        <v>1333</v>
      </c>
      <c r="K183" t="s">
        <v>670</v>
      </c>
      <c r="L183" t="s">
        <v>671</v>
      </c>
      <c r="M183" s="12" t="str">
        <f>HYPERLINK(cna_product_database_catalog_website[[#This Row],[Spec Sheet Link]], cna_product_database_catalog_website[[#Headers],[Spec Sheet Link]])</f>
        <v>Spec Sheet Link</v>
      </c>
      <c r="N183" t="s">
        <v>47</v>
      </c>
      <c r="O183" s="3">
        <v>1</v>
      </c>
      <c r="P183" s="3">
        <v>1</v>
      </c>
      <c r="Q183" t="s">
        <v>48</v>
      </c>
      <c r="R183" t="s">
        <v>667</v>
      </c>
      <c r="S183" t="s">
        <v>48</v>
      </c>
      <c r="T183" t="s">
        <v>48</v>
      </c>
      <c r="U183" t="s">
        <v>400</v>
      </c>
      <c r="V183" t="s">
        <v>48</v>
      </c>
      <c r="W183" t="s">
        <v>48</v>
      </c>
      <c r="X183" t="s">
        <v>48</v>
      </c>
      <c r="Y183" s="3" t="s">
        <v>48</v>
      </c>
      <c r="Z183" s="3" t="s">
        <v>48</v>
      </c>
      <c r="AA183" s="3" t="s">
        <v>60</v>
      </c>
      <c r="AB183" s="1" t="s">
        <v>48</v>
      </c>
      <c r="AC183" s="1" t="s">
        <v>48</v>
      </c>
      <c r="AD183" t="s">
        <v>48</v>
      </c>
      <c r="AE183"/>
      <c r="AF183" t="s">
        <v>48</v>
      </c>
      <c r="AG183" t="s">
        <v>48</v>
      </c>
      <c r="AH183" t="s">
        <v>48</v>
      </c>
      <c r="AI183" t="s">
        <v>48</v>
      </c>
      <c r="AL183" t="s">
        <v>48</v>
      </c>
      <c r="AO183" t="s">
        <v>48</v>
      </c>
      <c r="AP183" t="s">
        <v>48</v>
      </c>
      <c r="AQ183" t="s">
        <v>48</v>
      </c>
      <c r="AR183">
        <v>270</v>
      </c>
      <c r="AS183">
        <v>0.6</v>
      </c>
      <c r="AV183" t="s">
        <v>48</v>
      </c>
      <c r="AW183" t="s">
        <v>48</v>
      </c>
      <c r="AX183" s="2" t="s">
        <v>49</v>
      </c>
      <c r="AY183" s="2" t="s">
        <v>49</v>
      </c>
      <c r="BC183">
        <f>SUM(cna_product_database_catalog_website[[#This Row],[Box Length (cm)]]*cna_product_database_catalog_website[[#This Row],[Box Width (cm)]]*cna_product_database_catalog_website[[#This Row],[Box Height (cm)]]/1000000)</f>
        <v>0</v>
      </c>
      <c r="BD183">
        <f>SUM(cna_product_database_catalog_website[[#This Row],[Box CBM]]*35.3147)</f>
        <v>0</v>
      </c>
      <c r="BE183" t="s">
        <v>48</v>
      </c>
      <c r="BI18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83">
        <f>SUM(cna_product_database_catalog_website[[#This Row],[Carton CFT]]/61024)</f>
        <v>0</v>
      </c>
      <c r="BM183" t="s">
        <v>48</v>
      </c>
      <c r="BN183" t="s">
        <v>48</v>
      </c>
      <c r="BO183" t="s">
        <v>48</v>
      </c>
      <c r="BP183" t="s">
        <v>48</v>
      </c>
      <c r="BQ183" t="s">
        <v>48</v>
      </c>
      <c r="BS183" t="s">
        <v>48</v>
      </c>
      <c r="BT183" t="s">
        <v>48</v>
      </c>
      <c r="BU183" t="s">
        <v>48</v>
      </c>
      <c r="BW183" t="s">
        <v>48</v>
      </c>
      <c r="BX183" t="s">
        <v>48</v>
      </c>
      <c r="BY183" t="s">
        <v>48</v>
      </c>
      <c r="BZ183" t="s">
        <v>48</v>
      </c>
      <c r="CA183" t="s">
        <v>48</v>
      </c>
      <c r="CB183" t="s">
        <v>48</v>
      </c>
      <c r="CC183" t="s">
        <v>48</v>
      </c>
      <c r="CD183" t="s">
        <v>48</v>
      </c>
      <c r="CE183" t="s">
        <v>668</v>
      </c>
      <c r="CF183" t="s">
        <v>48</v>
      </c>
      <c r="CG183" t="s">
        <v>667</v>
      </c>
      <c r="CH183" t="s">
        <v>48</v>
      </c>
      <c r="CI183" t="s">
        <v>48</v>
      </c>
      <c r="CJ183" t="s">
        <v>48</v>
      </c>
    </row>
    <row r="184" spans="1:88" x14ac:dyDescent="0.25">
      <c r="A184" s="4" t="s">
        <v>2106</v>
      </c>
      <c r="B184" s="4" t="s">
        <v>1198</v>
      </c>
      <c r="C184" s="4" t="s">
        <v>2162</v>
      </c>
      <c r="D184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Cabinet&gt;12V LED Drivers&gt;36W Dimmable LED Driver</v>
      </c>
      <c r="E184">
        <v>810</v>
      </c>
      <c r="F184" t="s">
        <v>672</v>
      </c>
      <c r="G184" s="3">
        <v>1062</v>
      </c>
      <c r="H184" s="8">
        <v>35</v>
      </c>
      <c r="I184" t="s">
        <v>672</v>
      </c>
      <c r="J184" t="s">
        <v>1334</v>
      </c>
      <c r="K184" t="s">
        <v>673</v>
      </c>
      <c r="L184" t="s">
        <v>674</v>
      </c>
      <c r="M184" s="12" t="str">
        <f>HYPERLINK(cna_product_database_catalog_website[[#This Row],[Spec Sheet Link]], cna_product_database_catalog_website[[#Headers],[Spec Sheet Link]])</f>
        <v>Spec Sheet Link</v>
      </c>
      <c r="N184" t="s">
        <v>47</v>
      </c>
      <c r="O184" s="3">
        <v>1</v>
      </c>
      <c r="P184" s="3">
        <v>1</v>
      </c>
      <c r="Q184" t="s">
        <v>48</v>
      </c>
      <c r="R184" t="s">
        <v>667</v>
      </c>
      <c r="S184" t="s">
        <v>48</v>
      </c>
      <c r="T184" t="s">
        <v>48</v>
      </c>
      <c r="U184" t="s">
        <v>400</v>
      </c>
      <c r="V184" t="s">
        <v>48</v>
      </c>
      <c r="W184" t="s">
        <v>48</v>
      </c>
      <c r="X184" t="s">
        <v>48</v>
      </c>
      <c r="Y184" s="3" t="s">
        <v>48</v>
      </c>
      <c r="Z184" s="3" t="s">
        <v>48</v>
      </c>
      <c r="AA184" s="3" t="s">
        <v>60</v>
      </c>
      <c r="AB184" s="1" t="s">
        <v>48</v>
      </c>
      <c r="AC184" s="1" t="s">
        <v>48</v>
      </c>
      <c r="AD184" t="s">
        <v>48</v>
      </c>
      <c r="AE184"/>
      <c r="AF184" t="s">
        <v>48</v>
      </c>
      <c r="AG184" t="s">
        <v>48</v>
      </c>
      <c r="AH184" t="s">
        <v>48</v>
      </c>
      <c r="AI184" t="s">
        <v>48</v>
      </c>
      <c r="AL184" t="s">
        <v>48</v>
      </c>
      <c r="AO184" t="s">
        <v>48</v>
      </c>
      <c r="AP184" t="s">
        <v>48</v>
      </c>
      <c r="AQ184" t="s">
        <v>48</v>
      </c>
      <c r="AR184">
        <v>9</v>
      </c>
      <c r="AS184">
        <v>0.02</v>
      </c>
      <c r="AV184" t="s">
        <v>48</v>
      </c>
      <c r="AW184" t="s">
        <v>48</v>
      </c>
      <c r="AX184" s="2" t="s">
        <v>49</v>
      </c>
      <c r="AY184" s="2" t="s">
        <v>49</v>
      </c>
      <c r="BC184">
        <f>SUM(cna_product_database_catalog_website[[#This Row],[Box Length (cm)]]*cna_product_database_catalog_website[[#This Row],[Box Width (cm)]]*cna_product_database_catalog_website[[#This Row],[Box Height (cm)]]/1000000)</f>
        <v>0</v>
      </c>
      <c r="BD184">
        <f>SUM(cna_product_database_catalog_website[[#This Row],[Box CBM]]*35.3147)</f>
        <v>0</v>
      </c>
      <c r="BE184" t="s">
        <v>48</v>
      </c>
      <c r="BI18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84">
        <f>SUM(cna_product_database_catalog_website[[#This Row],[Carton CFT]]/61024)</f>
        <v>0</v>
      </c>
      <c r="BM184" t="s">
        <v>48</v>
      </c>
      <c r="BN184" t="s">
        <v>48</v>
      </c>
      <c r="BO184" t="s">
        <v>48</v>
      </c>
      <c r="BP184" t="s">
        <v>48</v>
      </c>
      <c r="BQ184" t="s">
        <v>48</v>
      </c>
      <c r="BS184" t="s">
        <v>48</v>
      </c>
      <c r="BT184" t="s">
        <v>48</v>
      </c>
      <c r="BU184" t="s">
        <v>48</v>
      </c>
      <c r="BW184" t="s">
        <v>48</v>
      </c>
      <c r="BX184" t="s">
        <v>48</v>
      </c>
      <c r="BY184" t="s">
        <v>48</v>
      </c>
      <c r="BZ184" t="s">
        <v>48</v>
      </c>
      <c r="CA184" t="s">
        <v>48</v>
      </c>
      <c r="CB184" t="s">
        <v>48</v>
      </c>
      <c r="CC184" t="s">
        <v>48</v>
      </c>
      <c r="CD184" t="s">
        <v>48</v>
      </c>
      <c r="CE184" t="s">
        <v>668</v>
      </c>
      <c r="CF184" t="s">
        <v>48</v>
      </c>
      <c r="CG184" t="s">
        <v>667</v>
      </c>
      <c r="CH184" t="s">
        <v>48</v>
      </c>
      <c r="CI184" t="s">
        <v>48</v>
      </c>
      <c r="CJ184" t="s">
        <v>48</v>
      </c>
    </row>
    <row r="185" spans="1:88" x14ac:dyDescent="0.25">
      <c r="A185" s="4" t="s">
        <v>2106</v>
      </c>
      <c r="B185" s="4" t="s">
        <v>1198</v>
      </c>
      <c r="C185" s="4" t="s">
        <v>2163</v>
      </c>
      <c r="D185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Cabinet&gt;12V LED Drivers&gt;54W Dimmable LED Driver</v>
      </c>
      <c r="E185">
        <v>815</v>
      </c>
      <c r="F185" t="s">
        <v>675</v>
      </c>
      <c r="G185" s="3">
        <v>1063</v>
      </c>
      <c r="H185" s="8">
        <v>45</v>
      </c>
      <c r="I185" t="s">
        <v>675</v>
      </c>
      <c r="J185" t="s">
        <v>1335</v>
      </c>
      <c r="K185" t="s">
        <v>676</v>
      </c>
      <c r="L185" t="s">
        <v>677</v>
      </c>
      <c r="M185" s="12" t="str">
        <f>HYPERLINK(cna_product_database_catalog_website[[#This Row],[Spec Sheet Link]], cna_product_database_catalog_website[[#Headers],[Spec Sheet Link]])</f>
        <v>Spec Sheet Link</v>
      </c>
      <c r="N185" t="s">
        <v>47</v>
      </c>
      <c r="O185" s="3">
        <v>1</v>
      </c>
      <c r="P185" s="3">
        <v>1</v>
      </c>
      <c r="Q185" t="s">
        <v>48</v>
      </c>
      <c r="R185" t="s">
        <v>667</v>
      </c>
      <c r="S185" t="s">
        <v>48</v>
      </c>
      <c r="T185" t="s">
        <v>48</v>
      </c>
      <c r="U185" t="s">
        <v>400</v>
      </c>
      <c r="V185" t="s">
        <v>48</v>
      </c>
      <c r="W185" t="s">
        <v>48</v>
      </c>
      <c r="X185" t="s">
        <v>48</v>
      </c>
      <c r="Y185" s="3" t="s">
        <v>48</v>
      </c>
      <c r="Z185" s="3" t="s">
        <v>48</v>
      </c>
      <c r="AA185" s="3" t="s">
        <v>60</v>
      </c>
      <c r="AB185" s="1" t="s">
        <v>48</v>
      </c>
      <c r="AC185" s="1" t="s">
        <v>48</v>
      </c>
      <c r="AD185" t="s">
        <v>48</v>
      </c>
      <c r="AE185"/>
      <c r="AF185" t="s">
        <v>48</v>
      </c>
      <c r="AG185" t="s">
        <v>48</v>
      </c>
      <c r="AH185" t="s">
        <v>48</v>
      </c>
      <c r="AI185" t="s">
        <v>48</v>
      </c>
      <c r="AL185" t="s">
        <v>48</v>
      </c>
      <c r="AO185" t="s">
        <v>48</v>
      </c>
      <c r="AP185" t="s">
        <v>48</v>
      </c>
      <c r="AQ185" t="s">
        <v>48</v>
      </c>
      <c r="AR185">
        <v>9</v>
      </c>
      <c r="AS185">
        <v>0.02</v>
      </c>
      <c r="AV185" t="s">
        <v>48</v>
      </c>
      <c r="AW185" t="s">
        <v>48</v>
      </c>
      <c r="AX185" s="2" t="s">
        <v>49</v>
      </c>
      <c r="AY185" s="2" t="s">
        <v>49</v>
      </c>
      <c r="BC185">
        <f>SUM(cna_product_database_catalog_website[[#This Row],[Box Length (cm)]]*cna_product_database_catalog_website[[#This Row],[Box Width (cm)]]*cna_product_database_catalog_website[[#This Row],[Box Height (cm)]]/1000000)</f>
        <v>0</v>
      </c>
      <c r="BD185">
        <f>SUM(cna_product_database_catalog_website[[#This Row],[Box CBM]]*35.3147)</f>
        <v>0</v>
      </c>
      <c r="BE185" t="s">
        <v>48</v>
      </c>
      <c r="BI18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85">
        <f>SUM(cna_product_database_catalog_website[[#This Row],[Carton CFT]]/61024)</f>
        <v>0</v>
      </c>
      <c r="BM185" t="s">
        <v>48</v>
      </c>
      <c r="BN185" t="s">
        <v>48</v>
      </c>
      <c r="BO185" t="s">
        <v>48</v>
      </c>
      <c r="BP185" t="s">
        <v>48</v>
      </c>
      <c r="BQ185" t="s">
        <v>48</v>
      </c>
      <c r="BS185" t="s">
        <v>48</v>
      </c>
      <c r="BT185" t="s">
        <v>48</v>
      </c>
      <c r="BU185" t="s">
        <v>48</v>
      </c>
      <c r="BW185" t="s">
        <v>48</v>
      </c>
      <c r="BX185" t="s">
        <v>48</v>
      </c>
      <c r="BY185" t="s">
        <v>48</v>
      </c>
      <c r="BZ185" t="s">
        <v>48</v>
      </c>
      <c r="CA185" t="s">
        <v>48</v>
      </c>
      <c r="CB185" t="s">
        <v>48</v>
      </c>
      <c r="CC185" t="s">
        <v>48</v>
      </c>
      <c r="CD185" t="s">
        <v>48</v>
      </c>
      <c r="CE185" t="s">
        <v>668</v>
      </c>
      <c r="CF185" t="s">
        <v>48</v>
      </c>
      <c r="CG185" t="s">
        <v>667</v>
      </c>
      <c r="CH185" t="s">
        <v>48</v>
      </c>
      <c r="CI185" t="s">
        <v>48</v>
      </c>
      <c r="CJ185" t="s">
        <v>48</v>
      </c>
    </row>
    <row r="186" spans="1:88" x14ac:dyDescent="0.25">
      <c r="A186" s="4" t="s">
        <v>2106</v>
      </c>
      <c r="B186" s="4" t="s">
        <v>1198</v>
      </c>
      <c r="C186" s="4" t="s">
        <v>2164</v>
      </c>
      <c r="D186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Cabinet&gt;12V LED Drivers&gt;84W Dimmable LED Driver</v>
      </c>
      <c r="E186">
        <v>820</v>
      </c>
      <c r="F186" t="s">
        <v>678</v>
      </c>
      <c r="G186" s="3">
        <v>1035</v>
      </c>
      <c r="H186" s="8">
        <v>62</v>
      </c>
      <c r="I186" t="s">
        <v>678</v>
      </c>
      <c r="J186" t="s">
        <v>1336</v>
      </c>
      <c r="K186" t="s">
        <v>679</v>
      </c>
      <c r="L186" t="s">
        <v>680</v>
      </c>
      <c r="M186" s="12" t="str">
        <f>HYPERLINK(cna_product_database_catalog_website[[#This Row],[Spec Sheet Link]], cna_product_database_catalog_website[[#Headers],[Spec Sheet Link]])</f>
        <v>Spec Sheet Link</v>
      </c>
      <c r="N186" t="s">
        <v>47</v>
      </c>
      <c r="O186" s="3">
        <v>1</v>
      </c>
      <c r="P186" s="3">
        <v>1</v>
      </c>
      <c r="Q186" t="s">
        <v>48</v>
      </c>
      <c r="R186" t="s">
        <v>667</v>
      </c>
      <c r="S186" t="s">
        <v>48</v>
      </c>
      <c r="T186" t="s">
        <v>48</v>
      </c>
      <c r="U186" t="s">
        <v>400</v>
      </c>
      <c r="V186" t="s">
        <v>48</v>
      </c>
      <c r="W186" t="s">
        <v>48</v>
      </c>
      <c r="X186" t="s">
        <v>48</v>
      </c>
      <c r="Y186" s="3" t="s">
        <v>48</v>
      </c>
      <c r="Z186" s="3" t="s">
        <v>48</v>
      </c>
      <c r="AA186" s="3" t="s">
        <v>60</v>
      </c>
      <c r="AB186" s="1" t="s">
        <v>48</v>
      </c>
      <c r="AC186" s="1" t="s">
        <v>48</v>
      </c>
      <c r="AD186" t="s">
        <v>48</v>
      </c>
      <c r="AE186"/>
      <c r="AF186" t="s">
        <v>48</v>
      </c>
      <c r="AG186" t="s">
        <v>48</v>
      </c>
      <c r="AH186" t="s">
        <v>48</v>
      </c>
      <c r="AI186" t="s">
        <v>48</v>
      </c>
      <c r="AL186" t="s">
        <v>48</v>
      </c>
      <c r="AO186" t="s">
        <v>48</v>
      </c>
      <c r="AP186" t="s">
        <v>48</v>
      </c>
      <c r="AQ186" t="s">
        <v>48</v>
      </c>
      <c r="AR186">
        <v>8</v>
      </c>
      <c r="AS186">
        <v>0.02</v>
      </c>
      <c r="AV186" t="s">
        <v>48</v>
      </c>
      <c r="AW186" t="s">
        <v>48</v>
      </c>
      <c r="AX186" s="2" t="s">
        <v>49</v>
      </c>
      <c r="AY186" s="2" t="s">
        <v>49</v>
      </c>
      <c r="BC186">
        <f>SUM(cna_product_database_catalog_website[[#This Row],[Box Length (cm)]]*cna_product_database_catalog_website[[#This Row],[Box Width (cm)]]*cna_product_database_catalog_website[[#This Row],[Box Height (cm)]]/1000000)</f>
        <v>0</v>
      </c>
      <c r="BD186">
        <f>SUM(cna_product_database_catalog_website[[#This Row],[Box CBM]]*35.3147)</f>
        <v>0</v>
      </c>
      <c r="BE186" t="s">
        <v>48</v>
      </c>
      <c r="BI18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86">
        <f>SUM(cna_product_database_catalog_website[[#This Row],[Carton CFT]]/61024)</f>
        <v>0</v>
      </c>
      <c r="BM186" t="s">
        <v>48</v>
      </c>
      <c r="BN186" t="s">
        <v>48</v>
      </c>
      <c r="BO186" t="s">
        <v>48</v>
      </c>
      <c r="BP186" t="s">
        <v>48</v>
      </c>
      <c r="BQ186" t="s">
        <v>48</v>
      </c>
      <c r="BS186" t="s">
        <v>48</v>
      </c>
      <c r="BT186" t="s">
        <v>48</v>
      </c>
      <c r="BU186" t="s">
        <v>48</v>
      </c>
      <c r="BW186" t="s">
        <v>48</v>
      </c>
      <c r="BX186" t="s">
        <v>48</v>
      </c>
      <c r="BY186" t="s">
        <v>48</v>
      </c>
      <c r="BZ186" t="s">
        <v>48</v>
      </c>
      <c r="CA186" t="s">
        <v>48</v>
      </c>
      <c r="CB186" t="s">
        <v>48</v>
      </c>
      <c r="CC186" t="s">
        <v>48</v>
      </c>
      <c r="CD186" t="s">
        <v>48</v>
      </c>
      <c r="CE186" t="s">
        <v>681</v>
      </c>
      <c r="CF186" t="s">
        <v>48</v>
      </c>
      <c r="CG186" t="s">
        <v>667</v>
      </c>
      <c r="CH186" t="s">
        <v>48</v>
      </c>
      <c r="CI186" t="s">
        <v>48</v>
      </c>
      <c r="CJ186" t="s">
        <v>48</v>
      </c>
    </row>
    <row r="187" spans="1:88" x14ac:dyDescent="0.25">
      <c r="A187" s="4" t="s">
        <v>2106</v>
      </c>
      <c r="B187" s="4" t="s">
        <v>1198</v>
      </c>
      <c r="C187" s="4" t="s">
        <v>2165</v>
      </c>
      <c r="D187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Cabinet&gt;12V LED Drivers&gt;120W Dimmable LED Driver</v>
      </c>
      <c r="E187">
        <v>825</v>
      </c>
      <c r="F187" t="s">
        <v>1910</v>
      </c>
      <c r="G187" s="3">
        <v>1135</v>
      </c>
      <c r="H187" s="8">
        <v>90</v>
      </c>
      <c r="I187" t="s">
        <v>1910</v>
      </c>
      <c r="J187" t="s">
        <v>1337</v>
      </c>
      <c r="K187" t="s">
        <v>682</v>
      </c>
      <c r="L187" t="s">
        <v>683</v>
      </c>
      <c r="M187" s="12" t="str">
        <f>HYPERLINK(cna_product_database_catalog_website[[#This Row],[Spec Sheet Link]], cna_product_database_catalog_website[[#Headers],[Spec Sheet Link]])</f>
        <v>Spec Sheet Link</v>
      </c>
      <c r="N187" t="s">
        <v>47</v>
      </c>
      <c r="O187" s="3">
        <v>1</v>
      </c>
      <c r="P187" s="3">
        <v>1</v>
      </c>
      <c r="Q187" t="s">
        <v>48</v>
      </c>
      <c r="R187" t="s">
        <v>667</v>
      </c>
      <c r="S187" t="s">
        <v>48</v>
      </c>
      <c r="T187" t="s">
        <v>48</v>
      </c>
      <c r="U187" t="s">
        <v>400</v>
      </c>
      <c r="V187" t="s">
        <v>48</v>
      </c>
      <c r="W187" t="s">
        <v>48</v>
      </c>
      <c r="X187" t="s">
        <v>48</v>
      </c>
      <c r="Y187" s="3" t="s">
        <v>48</v>
      </c>
      <c r="Z187" s="3" t="s">
        <v>48</v>
      </c>
      <c r="AA187" s="3" t="s">
        <v>60</v>
      </c>
      <c r="AB187" s="1" t="s">
        <v>48</v>
      </c>
      <c r="AC187" s="1" t="s">
        <v>48</v>
      </c>
      <c r="AD187" t="s">
        <v>48</v>
      </c>
      <c r="AE187"/>
      <c r="AF187" t="s">
        <v>48</v>
      </c>
      <c r="AG187" t="s">
        <v>48</v>
      </c>
      <c r="AH187" t="s">
        <v>48</v>
      </c>
      <c r="AI187" t="s">
        <v>48</v>
      </c>
      <c r="AL187" t="s">
        <v>48</v>
      </c>
      <c r="AO187" t="s">
        <v>48</v>
      </c>
      <c r="AP187" t="s">
        <v>48</v>
      </c>
      <c r="AQ187" t="s">
        <v>48</v>
      </c>
      <c r="AV187" t="s">
        <v>48</v>
      </c>
      <c r="AW187" t="s">
        <v>48</v>
      </c>
      <c r="AX187" s="2" t="s">
        <v>48</v>
      </c>
      <c r="AY187" s="2" t="s">
        <v>48</v>
      </c>
      <c r="BC187">
        <f>SUM(cna_product_database_catalog_website[[#This Row],[Box Length (cm)]]*cna_product_database_catalog_website[[#This Row],[Box Width (cm)]]*cna_product_database_catalog_website[[#This Row],[Box Height (cm)]]/1000000)</f>
        <v>0</v>
      </c>
      <c r="BD187">
        <f>SUM(cna_product_database_catalog_website[[#This Row],[Box CBM]]*35.3147)</f>
        <v>0</v>
      </c>
      <c r="BE187" t="s">
        <v>48</v>
      </c>
      <c r="BI18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87">
        <f>SUM(cna_product_database_catalog_website[[#This Row],[Carton CFT]]/61024)</f>
        <v>0</v>
      </c>
      <c r="BM187" t="s">
        <v>48</v>
      </c>
      <c r="BN187" t="s">
        <v>48</v>
      </c>
      <c r="BO187" t="s">
        <v>48</v>
      </c>
      <c r="BP187" t="s">
        <v>48</v>
      </c>
      <c r="BQ187" t="s">
        <v>48</v>
      </c>
      <c r="BS187" t="s">
        <v>48</v>
      </c>
      <c r="BT187" t="s">
        <v>48</v>
      </c>
      <c r="BU187" t="s">
        <v>48</v>
      </c>
      <c r="BW187" t="s">
        <v>48</v>
      </c>
      <c r="BX187" t="s">
        <v>48</v>
      </c>
      <c r="BY187" t="s">
        <v>48</v>
      </c>
      <c r="BZ187" t="s">
        <v>48</v>
      </c>
      <c r="CA187" t="s">
        <v>48</v>
      </c>
      <c r="CB187" t="s">
        <v>48</v>
      </c>
      <c r="CC187" t="s">
        <v>48</v>
      </c>
      <c r="CD187" t="s">
        <v>48</v>
      </c>
      <c r="CE187" t="s">
        <v>48</v>
      </c>
      <c r="CF187" t="s">
        <v>48</v>
      </c>
      <c r="CG187" t="s">
        <v>48</v>
      </c>
      <c r="CH187" t="s">
        <v>48</v>
      </c>
      <c r="CI187" t="s">
        <v>48</v>
      </c>
      <c r="CJ187" t="s">
        <v>48</v>
      </c>
    </row>
    <row r="188" spans="1:88" x14ac:dyDescent="0.25">
      <c r="A188" s="4" t="s">
        <v>2106</v>
      </c>
      <c r="B188" s="4" t="s">
        <v>1198</v>
      </c>
      <c r="C188" s="4" t="s">
        <v>2166</v>
      </c>
      <c r="D188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Cabinet&gt;12V LED Drivers&gt;18W Metal JBox Dimmable LED Driver</v>
      </c>
      <c r="E188">
        <v>830</v>
      </c>
      <c r="F188" t="s">
        <v>684</v>
      </c>
      <c r="G188" s="3">
        <v>945</v>
      </c>
      <c r="H188" s="8">
        <v>35</v>
      </c>
      <c r="I188" t="s">
        <v>684</v>
      </c>
      <c r="J188" t="s">
        <v>1338</v>
      </c>
      <c r="K188" t="s">
        <v>685</v>
      </c>
      <c r="L188" t="s">
        <v>686</v>
      </c>
      <c r="M188" s="12" t="str">
        <f>HYPERLINK(cna_product_database_catalog_website[[#This Row],[Spec Sheet Link]], cna_product_database_catalog_website[[#Headers],[Spec Sheet Link]])</f>
        <v>Spec Sheet Link</v>
      </c>
      <c r="N188" t="s">
        <v>47</v>
      </c>
      <c r="O188" s="3">
        <v>1</v>
      </c>
      <c r="P188" s="3">
        <v>1</v>
      </c>
      <c r="Q188" t="s">
        <v>687</v>
      </c>
      <c r="R188" t="s">
        <v>667</v>
      </c>
      <c r="S188" t="s">
        <v>48</v>
      </c>
      <c r="T188" t="s">
        <v>48</v>
      </c>
      <c r="U188" t="s">
        <v>400</v>
      </c>
      <c r="V188" t="s">
        <v>48</v>
      </c>
      <c r="W188" t="s">
        <v>48</v>
      </c>
      <c r="X188" t="s">
        <v>48</v>
      </c>
      <c r="Y188" s="3" t="s">
        <v>48</v>
      </c>
      <c r="Z188" s="3" t="s">
        <v>48</v>
      </c>
      <c r="AA188" s="3" t="s">
        <v>688</v>
      </c>
      <c r="AB188" s="1" t="s">
        <v>48</v>
      </c>
      <c r="AC188" s="1" t="s">
        <v>689</v>
      </c>
      <c r="AD188" t="s">
        <v>48</v>
      </c>
      <c r="AE188"/>
      <c r="AF188" t="s">
        <v>48</v>
      </c>
      <c r="AG188" t="s">
        <v>48</v>
      </c>
      <c r="AH188" t="s">
        <v>48</v>
      </c>
      <c r="AI188" t="s">
        <v>48</v>
      </c>
      <c r="AL188" t="s">
        <v>48</v>
      </c>
      <c r="AO188" t="s">
        <v>48</v>
      </c>
      <c r="AP188" t="s">
        <v>48</v>
      </c>
      <c r="AQ188" t="s">
        <v>48</v>
      </c>
      <c r="AR188">
        <v>39</v>
      </c>
      <c r="AS188">
        <v>0.09</v>
      </c>
      <c r="AV188" t="s">
        <v>48</v>
      </c>
      <c r="AW188" t="s">
        <v>48</v>
      </c>
      <c r="AX188" s="2" t="s">
        <v>49</v>
      </c>
      <c r="AY188" s="2" t="s">
        <v>49</v>
      </c>
      <c r="BC188">
        <f>SUM(cna_product_database_catalog_website[[#This Row],[Box Length (cm)]]*cna_product_database_catalog_website[[#This Row],[Box Width (cm)]]*cna_product_database_catalog_website[[#This Row],[Box Height (cm)]]/1000000)</f>
        <v>0</v>
      </c>
      <c r="BD188">
        <f>SUM(cna_product_database_catalog_website[[#This Row],[Box CBM]]*35.3147)</f>
        <v>0</v>
      </c>
      <c r="BE188" t="s">
        <v>48</v>
      </c>
      <c r="BI18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88">
        <f>SUM(cna_product_database_catalog_website[[#This Row],[Carton CFT]]/61024)</f>
        <v>0</v>
      </c>
      <c r="BM188" t="s">
        <v>48</v>
      </c>
      <c r="BN188" t="s">
        <v>688</v>
      </c>
      <c r="BO188" t="s">
        <v>48</v>
      </c>
      <c r="BP188" t="s">
        <v>48</v>
      </c>
      <c r="BQ188" t="s">
        <v>48</v>
      </c>
      <c r="BS188" t="s">
        <v>48</v>
      </c>
      <c r="BT188" t="s">
        <v>48</v>
      </c>
      <c r="BU188" t="s">
        <v>48</v>
      </c>
      <c r="BW188" t="s">
        <v>48</v>
      </c>
      <c r="BX188" t="s">
        <v>48</v>
      </c>
      <c r="BY188" t="s">
        <v>48</v>
      </c>
      <c r="BZ188" t="s">
        <v>48</v>
      </c>
      <c r="CA188" t="s">
        <v>48</v>
      </c>
      <c r="CB188" t="s">
        <v>48</v>
      </c>
      <c r="CC188" t="s">
        <v>48</v>
      </c>
      <c r="CD188" t="s">
        <v>48</v>
      </c>
      <c r="CE188" t="s">
        <v>690</v>
      </c>
      <c r="CF188" t="s">
        <v>48</v>
      </c>
      <c r="CG188" t="s">
        <v>667</v>
      </c>
      <c r="CH188" t="s">
        <v>691</v>
      </c>
      <c r="CI188" t="s">
        <v>48</v>
      </c>
      <c r="CJ188" t="s">
        <v>48</v>
      </c>
    </row>
    <row r="189" spans="1:88" x14ac:dyDescent="0.25">
      <c r="A189" s="4" t="s">
        <v>2106</v>
      </c>
      <c r="B189" s="4" t="s">
        <v>1198</v>
      </c>
      <c r="C189" s="4" t="s">
        <v>2167</v>
      </c>
      <c r="D189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Cabinet&gt;12V LED Drivers&gt;40W Metal JBox Dimmable LED Driver</v>
      </c>
      <c r="E189">
        <v>835</v>
      </c>
      <c r="F189" t="s">
        <v>692</v>
      </c>
      <c r="G189" s="3">
        <v>946</v>
      </c>
      <c r="H189" s="8">
        <v>45</v>
      </c>
      <c r="I189" t="s">
        <v>692</v>
      </c>
      <c r="J189" t="s">
        <v>1339</v>
      </c>
      <c r="K189" t="s">
        <v>693</v>
      </c>
      <c r="L189" t="s">
        <v>694</v>
      </c>
      <c r="M189" s="12" t="str">
        <f>HYPERLINK(cna_product_database_catalog_website[[#This Row],[Spec Sheet Link]], cna_product_database_catalog_website[[#Headers],[Spec Sheet Link]])</f>
        <v>Spec Sheet Link</v>
      </c>
      <c r="N189" t="s">
        <v>47</v>
      </c>
      <c r="O189" s="3">
        <v>1</v>
      </c>
      <c r="P189" s="3">
        <v>1</v>
      </c>
      <c r="Q189" t="s">
        <v>695</v>
      </c>
      <c r="R189" t="s">
        <v>667</v>
      </c>
      <c r="S189" t="s">
        <v>48</v>
      </c>
      <c r="T189" t="s">
        <v>48</v>
      </c>
      <c r="U189" t="s">
        <v>400</v>
      </c>
      <c r="V189" t="s">
        <v>48</v>
      </c>
      <c r="W189" t="s">
        <v>48</v>
      </c>
      <c r="X189" t="s">
        <v>48</v>
      </c>
      <c r="Y189" s="3" t="s">
        <v>48</v>
      </c>
      <c r="Z189" s="3" t="s">
        <v>48</v>
      </c>
      <c r="AA189" s="3" t="s">
        <v>688</v>
      </c>
      <c r="AB189" s="1" t="s">
        <v>48</v>
      </c>
      <c r="AC189" s="1" t="s">
        <v>689</v>
      </c>
      <c r="AD189" t="s">
        <v>48</v>
      </c>
      <c r="AE189"/>
      <c r="AF189" t="s">
        <v>48</v>
      </c>
      <c r="AG189" t="s">
        <v>48</v>
      </c>
      <c r="AH189" t="s">
        <v>48</v>
      </c>
      <c r="AI189" t="s">
        <v>48</v>
      </c>
      <c r="AL189" t="s">
        <v>48</v>
      </c>
      <c r="AO189" t="s">
        <v>48</v>
      </c>
      <c r="AP189" t="s">
        <v>48</v>
      </c>
      <c r="AQ189" t="s">
        <v>48</v>
      </c>
      <c r="AR189">
        <v>48</v>
      </c>
      <c r="AS189">
        <v>0.11</v>
      </c>
      <c r="AV189" t="s">
        <v>48</v>
      </c>
      <c r="AW189" t="s">
        <v>48</v>
      </c>
      <c r="AX189" s="2" t="s">
        <v>49</v>
      </c>
      <c r="AY189" s="2" t="s">
        <v>49</v>
      </c>
      <c r="BC189">
        <f>SUM(cna_product_database_catalog_website[[#This Row],[Box Length (cm)]]*cna_product_database_catalog_website[[#This Row],[Box Width (cm)]]*cna_product_database_catalog_website[[#This Row],[Box Height (cm)]]/1000000)</f>
        <v>0</v>
      </c>
      <c r="BD189">
        <f>SUM(cna_product_database_catalog_website[[#This Row],[Box CBM]]*35.3147)</f>
        <v>0</v>
      </c>
      <c r="BE189" t="s">
        <v>48</v>
      </c>
      <c r="BI18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89">
        <f>SUM(cna_product_database_catalog_website[[#This Row],[Carton CFT]]/61024)</f>
        <v>0</v>
      </c>
      <c r="BM189" t="s">
        <v>48</v>
      </c>
      <c r="BN189" t="s">
        <v>688</v>
      </c>
      <c r="BO189" t="s">
        <v>48</v>
      </c>
      <c r="BP189" t="s">
        <v>48</v>
      </c>
      <c r="BQ189" t="s">
        <v>48</v>
      </c>
      <c r="BS189" t="s">
        <v>48</v>
      </c>
      <c r="BT189" t="s">
        <v>48</v>
      </c>
      <c r="BU189" t="s">
        <v>48</v>
      </c>
      <c r="BW189" t="s">
        <v>48</v>
      </c>
      <c r="BX189" t="s">
        <v>48</v>
      </c>
      <c r="BY189" t="s">
        <v>48</v>
      </c>
      <c r="BZ189" t="s">
        <v>48</v>
      </c>
      <c r="CA189" t="s">
        <v>48</v>
      </c>
      <c r="CB189" t="s">
        <v>48</v>
      </c>
      <c r="CC189" t="s">
        <v>48</v>
      </c>
      <c r="CD189" t="s">
        <v>48</v>
      </c>
      <c r="CE189" t="s">
        <v>690</v>
      </c>
      <c r="CF189" t="s">
        <v>48</v>
      </c>
      <c r="CG189" t="s">
        <v>667</v>
      </c>
      <c r="CH189" t="s">
        <v>696</v>
      </c>
      <c r="CI189" t="s">
        <v>48</v>
      </c>
      <c r="CJ189" t="s">
        <v>48</v>
      </c>
    </row>
    <row r="190" spans="1:88" x14ac:dyDescent="0.25">
      <c r="A190" s="4" t="s">
        <v>2106</v>
      </c>
      <c r="B190" s="4" t="s">
        <v>1198</v>
      </c>
      <c r="C190" s="4" t="s">
        <v>2168</v>
      </c>
      <c r="D190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Cabinet&gt;12V LED Drivers&gt;100W LED Driver</v>
      </c>
      <c r="E190">
        <v>840</v>
      </c>
      <c r="F190" t="s">
        <v>697</v>
      </c>
      <c r="G190" s="3">
        <v>629</v>
      </c>
      <c r="H190" s="8">
        <v>90</v>
      </c>
      <c r="I190" t="s">
        <v>697</v>
      </c>
      <c r="J190" t="s">
        <v>1340</v>
      </c>
      <c r="K190" t="s">
        <v>698</v>
      </c>
      <c r="M190" s="12" t="str">
        <f>HYPERLINK(cna_product_database_catalog_website[[#This Row],[Spec Sheet Link]], cna_product_database_catalog_website[[#Headers],[Spec Sheet Link]])</f>
        <v>Spec Sheet Link</v>
      </c>
      <c r="N190" t="s">
        <v>47</v>
      </c>
      <c r="O190" s="3">
        <v>1</v>
      </c>
      <c r="P190" s="3">
        <v>1</v>
      </c>
      <c r="Q190" t="s">
        <v>48</v>
      </c>
      <c r="R190" t="s">
        <v>48</v>
      </c>
      <c r="S190" t="s">
        <v>48</v>
      </c>
      <c r="T190" t="s">
        <v>48</v>
      </c>
      <c r="U190" t="s">
        <v>48</v>
      </c>
      <c r="V190" t="s">
        <v>48</v>
      </c>
      <c r="W190" t="s">
        <v>48</v>
      </c>
      <c r="X190" t="s">
        <v>48</v>
      </c>
      <c r="Y190" s="3" t="s">
        <v>48</v>
      </c>
      <c r="Z190" s="3" t="s">
        <v>48</v>
      </c>
      <c r="AA190" s="3" t="s">
        <v>60</v>
      </c>
      <c r="AB190" s="1" t="s">
        <v>48</v>
      </c>
      <c r="AC190" s="1" t="s">
        <v>48</v>
      </c>
      <c r="AD190" t="s">
        <v>48</v>
      </c>
      <c r="AE190"/>
      <c r="AF190" t="s">
        <v>48</v>
      </c>
      <c r="AG190" t="s">
        <v>48</v>
      </c>
      <c r="AH190" t="s">
        <v>48</v>
      </c>
      <c r="AI190" t="s">
        <v>48</v>
      </c>
      <c r="AL190" t="s">
        <v>48</v>
      </c>
      <c r="AO190" t="s">
        <v>48</v>
      </c>
      <c r="AP190" t="s">
        <v>48</v>
      </c>
      <c r="AQ190" t="s">
        <v>48</v>
      </c>
      <c r="AV190" t="s">
        <v>48</v>
      </c>
      <c r="AW190" t="s">
        <v>48</v>
      </c>
      <c r="AX190" s="2" t="s">
        <v>49</v>
      </c>
      <c r="AY190" s="2" t="s">
        <v>49</v>
      </c>
      <c r="BC190">
        <f>SUM(cna_product_database_catalog_website[[#This Row],[Box Length (cm)]]*cna_product_database_catalog_website[[#This Row],[Box Width (cm)]]*cna_product_database_catalog_website[[#This Row],[Box Height (cm)]]/1000000)</f>
        <v>0</v>
      </c>
      <c r="BD190">
        <f>SUM(cna_product_database_catalog_website[[#This Row],[Box CBM]]*35.3147)</f>
        <v>0</v>
      </c>
      <c r="BE190" t="s">
        <v>48</v>
      </c>
      <c r="BI19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90">
        <f>SUM(cna_product_database_catalog_website[[#This Row],[Carton CFT]]/61024)</f>
        <v>0</v>
      </c>
      <c r="BM190" t="s">
        <v>48</v>
      </c>
      <c r="BN190" t="s">
        <v>48</v>
      </c>
      <c r="BO190" t="s">
        <v>48</v>
      </c>
      <c r="BP190" t="s">
        <v>48</v>
      </c>
      <c r="BQ190" t="s">
        <v>48</v>
      </c>
      <c r="BS190" t="s">
        <v>48</v>
      </c>
      <c r="BT190" t="s">
        <v>48</v>
      </c>
      <c r="BU190" t="s">
        <v>48</v>
      </c>
      <c r="BW190" t="s">
        <v>48</v>
      </c>
      <c r="BX190" t="s">
        <v>48</v>
      </c>
      <c r="BY190" t="s">
        <v>48</v>
      </c>
      <c r="BZ190" t="s">
        <v>48</v>
      </c>
      <c r="CA190" t="s">
        <v>48</v>
      </c>
      <c r="CB190" t="s">
        <v>48</v>
      </c>
      <c r="CC190" t="s">
        <v>48</v>
      </c>
      <c r="CD190" t="s">
        <v>48</v>
      </c>
      <c r="CE190" t="s">
        <v>48</v>
      </c>
      <c r="CF190" t="s">
        <v>48</v>
      </c>
      <c r="CG190" t="s">
        <v>48</v>
      </c>
      <c r="CH190" t="s">
        <v>48</v>
      </c>
      <c r="CI190" t="s">
        <v>48</v>
      </c>
      <c r="CJ190" t="s">
        <v>48</v>
      </c>
    </row>
    <row r="191" spans="1:88" x14ac:dyDescent="0.25">
      <c r="A191" s="4" t="s">
        <v>2106</v>
      </c>
      <c r="B191" s="4" t="s">
        <v>1198</v>
      </c>
      <c r="C191" s="4" t="s">
        <v>2169</v>
      </c>
      <c r="D191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Cabinet&gt;12V LED Drivers&gt;102W Metal Chassis LED Driver</v>
      </c>
      <c r="E191">
        <v>845</v>
      </c>
      <c r="F191" t="s">
        <v>699</v>
      </c>
      <c r="G191" s="3">
        <v>467</v>
      </c>
      <c r="H191" s="8">
        <v>60</v>
      </c>
      <c r="I191" t="s">
        <v>699</v>
      </c>
      <c r="J191" t="s">
        <v>1341</v>
      </c>
      <c r="K191" t="s">
        <v>700</v>
      </c>
      <c r="L191" t="s">
        <v>1671</v>
      </c>
      <c r="M191" s="12" t="str">
        <f>HYPERLINK(cna_product_database_catalog_website[[#This Row],[Spec Sheet Link]], cna_product_database_catalog_website[[#Headers],[Spec Sheet Link]])</f>
        <v>Spec Sheet Link</v>
      </c>
      <c r="N191" t="s">
        <v>47</v>
      </c>
      <c r="O191" s="3">
        <v>1</v>
      </c>
      <c r="P191" s="3">
        <v>1</v>
      </c>
      <c r="Q191" t="s">
        <v>48</v>
      </c>
      <c r="R191" t="s">
        <v>48</v>
      </c>
      <c r="S191" t="s">
        <v>48</v>
      </c>
      <c r="T191" t="s">
        <v>48</v>
      </c>
      <c r="U191" t="s">
        <v>400</v>
      </c>
      <c r="V191" t="s">
        <v>48</v>
      </c>
      <c r="W191" t="s">
        <v>48</v>
      </c>
      <c r="X191" t="s">
        <v>48</v>
      </c>
      <c r="Y191" s="3" t="s">
        <v>48</v>
      </c>
      <c r="Z191" s="3" t="s">
        <v>48</v>
      </c>
      <c r="AA191" s="3" t="s">
        <v>96</v>
      </c>
      <c r="AB191" s="1" t="s">
        <v>48</v>
      </c>
      <c r="AC191" s="1" t="s">
        <v>48</v>
      </c>
      <c r="AD191" t="s">
        <v>48</v>
      </c>
      <c r="AE191"/>
      <c r="AF191" t="s">
        <v>48</v>
      </c>
      <c r="AG191" t="s">
        <v>48</v>
      </c>
      <c r="AH191" t="s">
        <v>48</v>
      </c>
      <c r="AI191" t="s">
        <v>48</v>
      </c>
      <c r="AL191" t="s">
        <v>48</v>
      </c>
      <c r="AO191" t="s">
        <v>48</v>
      </c>
      <c r="AP191" t="s">
        <v>48</v>
      </c>
      <c r="AQ191" t="s">
        <v>48</v>
      </c>
      <c r="AR191">
        <v>334</v>
      </c>
      <c r="AV191" t="s">
        <v>48</v>
      </c>
      <c r="AW191" t="s">
        <v>48</v>
      </c>
      <c r="AX191" s="2" t="s">
        <v>49</v>
      </c>
      <c r="AY191" s="2" t="s">
        <v>49</v>
      </c>
      <c r="BC191">
        <f>SUM(cna_product_database_catalog_website[[#This Row],[Box Length (cm)]]*cna_product_database_catalog_website[[#This Row],[Box Width (cm)]]*cna_product_database_catalog_website[[#This Row],[Box Height (cm)]]/1000000)</f>
        <v>0</v>
      </c>
      <c r="BD191">
        <f>SUM(cna_product_database_catalog_website[[#This Row],[Box CBM]]*35.3147)</f>
        <v>0</v>
      </c>
      <c r="BE191" t="s">
        <v>48</v>
      </c>
      <c r="BI19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91">
        <f>SUM(cna_product_database_catalog_website[[#This Row],[Carton CFT]]/61024)</f>
        <v>0</v>
      </c>
      <c r="BM191" t="s">
        <v>48</v>
      </c>
      <c r="BN191" t="s">
        <v>48</v>
      </c>
      <c r="BO191" t="s">
        <v>48</v>
      </c>
      <c r="BP191" t="s">
        <v>48</v>
      </c>
      <c r="BQ191" t="s">
        <v>48</v>
      </c>
      <c r="BS191" t="s">
        <v>48</v>
      </c>
      <c r="BT191" t="s">
        <v>48</v>
      </c>
      <c r="BU191" t="s">
        <v>48</v>
      </c>
      <c r="BW191" t="s">
        <v>48</v>
      </c>
      <c r="BX191" t="s">
        <v>48</v>
      </c>
      <c r="BY191" t="s">
        <v>48</v>
      </c>
      <c r="BZ191" t="s">
        <v>48</v>
      </c>
      <c r="CA191" t="s">
        <v>48</v>
      </c>
      <c r="CB191" t="s">
        <v>48</v>
      </c>
      <c r="CC191" t="s">
        <v>48</v>
      </c>
      <c r="CD191" t="s">
        <v>48</v>
      </c>
      <c r="CE191" t="s">
        <v>701</v>
      </c>
      <c r="CF191" t="s">
        <v>48</v>
      </c>
      <c r="CG191" t="s">
        <v>667</v>
      </c>
      <c r="CH191" t="s">
        <v>48</v>
      </c>
      <c r="CI191" t="s">
        <v>48</v>
      </c>
      <c r="CJ191" t="s">
        <v>48</v>
      </c>
    </row>
    <row r="192" spans="1:88" x14ac:dyDescent="0.25">
      <c r="A192" s="4" t="s">
        <v>2106</v>
      </c>
      <c r="B192" s="4" t="s">
        <v>1198</v>
      </c>
      <c r="C192" s="4" t="s">
        <v>2170</v>
      </c>
      <c r="D192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Cabinet&gt;12V LED Drivers&gt;150W Metal Chassis LED Driver</v>
      </c>
      <c r="E192">
        <v>850</v>
      </c>
      <c r="F192" t="s">
        <v>702</v>
      </c>
      <c r="G192" s="3">
        <v>625</v>
      </c>
      <c r="H192" s="8">
        <v>70</v>
      </c>
      <c r="I192" t="s">
        <v>702</v>
      </c>
      <c r="J192" t="s">
        <v>1342</v>
      </c>
      <c r="K192" t="s">
        <v>703</v>
      </c>
      <c r="L192" t="s">
        <v>46</v>
      </c>
      <c r="M192" s="12"/>
      <c r="N192" t="s">
        <v>47</v>
      </c>
      <c r="O192" s="3">
        <v>1</v>
      </c>
      <c r="P192" s="3">
        <v>1</v>
      </c>
      <c r="Q192" t="s">
        <v>48</v>
      </c>
      <c r="R192" t="s">
        <v>48</v>
      </c>
      <c r="S192" t="s">
        <v>48</v>
      </c>
      <c r="T192" t="s">
        <v>48</v>
      </c>
      <c r="U192" t="s">
        <v>400</v>
      </c>
      <c r="V192" t="s">
        <v>48</v>
      </c>
      <c r="W192" t="s">
        <v>48</v>
      </c>
      <c r="X192" t="s">
        <v>48</v>
      </c>
      <c r="Y192" s="3" t="s">
        <v>48</v>
      </c>
      <c r="Z192" s="3" t="s">
        <v>48</v>
      </c>
      <c r="AA192" s="3" t="s">
        <v>96</v>
      </c>
      <c r="AB192" s="1" t="s">
        <v>48</v>
      </c>
      <c r="AC192" s="1" t="s">
        <v>48</v>
      </c>
      <c r="AD192" t="s">
        <v>48</v>
      </c>
      <c r="AE192"/>
      <c r="AF192" t="s">
        <v>48</v>
      </c>
      <c r="AG192" t="s">
        <v>48</v>
      </c>
      <c r="AH192" t="s">
        <v>48</v>
      </c>
      <c r="AI192" t="s">
        <v>48</v>
      </c>
      <c r="AL192" t="s">
        <v>48</v>
      </c>
      <c r="AO192" t="s">
        <v>48</v>
      </c>
      <c r="AP192" t="s">
        <v>48</v>
      </c>
      <c r="AQ192" t="s">
        <v>48</v>
      </c>
      <c r="AR192">
        <v>347</v>
      </c>
      <c r="AV192" t="s">
        <v>48</v>
      </c>
      <c r="AW192" t="s">
        <v>48</v>
      </c>
      <c r="AX192" s="2" t="s">
        <v>49</v>
      </c>
      <c r="AY192" s="2" t="s">
        <v>49</v>
      </c>
      <c r="BC192">
        <f>SUM(cna_product_database_catalog_website[[#This Row],[Box Length (cm)]]*cna_product_database_catalog_website[[#This Row],[Box Width (cm)]]*cna_product_database_catalog_website[[#This Row],[Box Height (cm)]]/1000000)</f>
        <v>0</v>
      </c>
      <c r="BD192">
        <f>SUM(cna_product_database_catalog_website[[#This Row],[Box CBM]]*35.3147)</f>
        <v>0</v>
      </c>
      <c r="BE192" t="s">
        <v>48</v>
      </c>
      <c r="BI19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92">
        <f>SUM(cna_product_database_catalog_website[[#This Row],[Carton CFT]]/61024)</f>
        <v>0</v>
      </c>
      <c r="BM192" t="s">
        <v>48</v>
      </c>
      <c r="BN192" t="s">
        <v>48</v>
      </c>
      <c r="BO192" t="s">
        <v>48</v>
      </c>
      <c r="BP192" t="s">
        <v>48</v>
      </c>
      <c r="BQ192" t="s">
        <v>48</v>
      </c>
      <c r="BS192" t="s">
        <v>48</v>
      </c>
      <c r="BT192" t="s">
        <v>48</v>
      </c>
      <c r="BU192" t="s">
        <v>48</v>
      </c>
      <c r="BW192" t="s">
        <v>48</v>
      </c>
      <c r="BX192" t="s">
        <v>48</v>
      </c>
      <c r="BY192" t="s">
        <v>48</v>
      </c>
      <c r="BZ192" t="s">
        <v>48</v>
      </c>
      <c r="CA192" t="s">
        <v>48</v>
      </c>
      <c r="CB192" t="s">
        <v>48</v>
      </c>
      <c r="CC192" t="s">
        <v>48</v>
      </c>
      <c r="CD192" t="s">
        <v>48</v>
      </c>
      <c r="CE192" t="s">
        <v>701</v>
      </c>
      <c r="CF192" t="s">
        <v>48</v>
      </c>
      <c r="CG192" t="s">
        <v>667</v>
      </c>
      <c r="CH192" t="s">
        <v>48</v>
      </c>
      <c r="CI192" t="s">
        <v>48</v>
      </c>
      <c r="CJ192" t="s">
        <v>48</v>
      </c>
    </row>
    <row r="193" spans="1:88" x14ac:dyDescent="0.25">
      <c r="A193" s="4" t="s">
        <v>2106</v>
      </c>
      <c r="B193" s="4" t="s">
        <v>1198</v>
      </c>
      <c r="C193" s="4" t="s">
        <v>2171</v>
      </c>
      <c r="D193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Cabinet&gt;12V LED Drivers&gt;36W LED Driver - Plug</v>
      </c>
      <c r="E193">
        <v>855</v>
      </c>
      <c r="F193" t="s">
        <v>704</v>
      </c>
      <c r="G193" s="3">
        <v>619</v>
      </c>
      <c r="H193" s="8">
        <v>30</v>
      </c>
      <c r="I193" t="s">
        <v>704</v>
      </c>
      <c r="J193" t="s">
        <v>1343</v>
      </c>
      <c r="K193" t="s">
        <v>705</v>
      </c>
      <c r="L193" t="s">
        <v>46</v>
      </c>
      <c r="M193" s="12"/>
      <c r="N193" t="s">
        <v>47</v>
      </c>
      <c r="O193" s="3">
        <v>1</v>
      </c>
      <c r="P193" s="3">
        <v>1</v>
      </c>
      <c r="Q193" t="s">
        <v>706</v>
      </c>
      <c r="R193" t="s">
        <v>48</v>
      </c>
      <c r="S193" t="s">
        <v>48</v>
      </c>
      <c r="T193" t="s">
        <v>48</v>
      </c>
      <c r="U193" t="s">
        <v>400</v>
      </c>
      <c r="V193" t="s">
        <v>48</v>
      </c>
      <c r="W193" t="s">
        <v>48</v>
      </c>
      <c r="X193" t="s">
        <v>48</v>
      </c>
      <c r="Y193" s="3" t="s">
        <v>48</v>
      </c>
      <c r="Z193" s="3" t="s">
        <v>48</v>
      </c>
      <c r="AA193" s="3" t="s">
        <v>96</v>
      </c>
      <c r="AB193" s="1" t="s">
        <v>48</v>
      </c>
      <c r="AC193" s="1" t="s">
        <v>48</v>
      </c>
      <c r="AD193" t="s">
        <v>48</v>
      </c>
      <c r="AE193"/>
      <c r="AF193" t="s">
        <v>48</v>
      </c>
      <c r="AG193" t="s">
        <v>48</v>
      </c>
      <c r="AH193" t="s">
        <v>48</v>
      </c>
      <c r="AI193" t="s">
        <v>48</v>
      </c>
      <c r="AL193" t="s">
        <v>48</v>
      </c>
      <c r="AO193" t="s">
        <v>48</v>
      </c>
      <c r="AP193" t="s">
        <v>48</v>
      </c>
      <c r="AQ193" t="s">
        <v>48</v>
      </c>
      <c r="AV193" t="s">
        <v>48</v>
      </c>
      <c r="AW193" t="s">
        <v>48</v>
      </c>
      <c r="AX193" s="2" t="s">
        <v>49</v>
      </c>
      <c r="AY193" s="2" t="s">
        <v>49</v>
      </c>
      <c r="BC193">
        <f>SUM(cna_product_database_catalog_website[[#This Row],[Box Length (cm)]]*cna_product_database_catalog_website[[#This Row],[Box Width (cm)]]*cna_product_database_catalog_website[[#This Row],[Box Height (cm)]]/1000000)</f>
        <v>0</v>
      </c>
      <c r="BD193">
        <f>SUM(cna_product_database_catalog_website[[#This Row],[Box CBM]]*35.3147)</f>
        <v>0</v>
      </c>
      <c r="BE193" t="s">
        <v>48</v>
      </c>
      <c r="BI19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93">
        <f>SUM(cna_product_database_catalog_website[[#This Row],[Carton CFT]]/61024)</f>
        <v>0</v>
      </c>
      <c r="BM193" t="s">
        <v>48</v>
      </c>
      <c r="BN193" t="s">
        <v>48</v>
      </c>
      <c r="BO193" t="s">
        <v>48</v>
      </c>
      <c r="BP193" t="s">
        <v>48</v>
      </c>
      <c r="BQ193" t="s">
        <v>48</v>
      </c>
      <c r="BS193" t="s">
        <v>48</v>
      </c>
      <c r="BT193" t="s">
        <v>48</v>
      </c>
      <c r="BU193" t="s">
        <v>48</v>
      </c>
      <c r="BW193" t="s">
        <v>48</v>
      </c>
      <c r="BX193" t="s">
        <v>48</v>
      </c>
      <c r="BY193" t="s">
        <v>48</v>
      </c>
      <c r="BZ193" t="s">
        <v>48</v>
      </c>
      <c r="CA193" t="s">
        <v>48</v>
      </c>
      <c r="CB193" t="s">
        <v>48</v>
      </c>
      <c r="CC193" t="s">
        <v>48</v>
      </c>
      <c r="CD193" t="s">
        <v>48</v>
      </c>
      <c r="CE193" t="s">
        <v>53</v>
      </c>
      <c r="CF193" t="s">
        <v>48</v>
      </c>
      <c r="CG193" t="s">
        <v>667</v>
      </c>
      <c r="CH193" t="s">
        <v>48</v>
      </c>
      <c r="CI193" t="s">
        <v>48</v>
      </c>
      <c r="CJ193" t="s">
        <v>48</v>
      </c>
    </row>
    <row r="194" spans="1:88" x14ac:dyDescent="0.25">
      <c r="A194" s="4" t="s">
        <v>2106</v>
      </c>
      <c r="B194" s="4" t="s">
        <v>1198</v>
      </c>
      <c r="C194" s="4" t="s">
        <v>2172</v>
      </c>
      <c r="D194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Cabinet&gt;12V LED Drivers&gt;72W LED Driver - Plug</v>
      </c>
      <c r="E194">
        <v>860</v>
      </c>
      <c r="F194" t="s">
        <v>707</v>
      </c>
      <c r="G194" s="3">
        <v>620</v>
      </c>
      <c r="H194" s="8">
        <v>50</v>
      </c>
      <c r="I194" t="s">
        <v>707</v>
      </c>
      <c r="J194" t="s">
        <v>1344</v>
      </c>
      <c r="K194" t="s">
        <v>708</v>
      </c>
      <c r="L194" t="s">
        <v>1928</v>
      </c>
      <c r="M194" s="12" t="str">
        <f>HYPERLINK(cna_product_database_catalog_website[[#This Row],[Spec Sheet Link]], cna_product_database_catalog_website[[#Headers],[Spec Sheet Link]])</f>
        <v>Spec Sheet Link</v>
      </c>
      <c r="N194" t="s">
        <v>47</v>
      </c>
      <c r="O194" s="3">
        <v>1</v>
      </c>
      <c r="P194" s="3">
        <v>1</v>
      </c>
      <c r="Q194" t="s">
        <v>709</v>
      </c>
      <c r="R194" t="s">
        <v>48</v>
      </c>
      <c r="S194" t="s">
        <v>48</v>
      </c>
      <c r="T194" t="s">
        <v>48</v>
      </c>
      <c r="U194" t="s">
        <v>400</v>
      </c>
      <c r="V194" t="s">
        <v>48</v>
      </c>
      <c r="W194" t="s">
        <v>48</v>
      </c>
      <c r="X194" t="s">
        <v>48</v>
      </c>
      <c r="Y194" s="3" t="s">
        <v>48</v>
      </c>
      <c r="Z194" s="3" t="s">
        <v>48</v>
      </c>
      <c r="AA194" s="3" t="s">
        <v>96</v>
      </c>
      <c r="AB194" s="1" t="s">
        <v>48</v>
      </c>
      <c r="AC194" s="1" t="s">
        <v>48</v>
      </c>
      <c r="AD194" t="s">
        <v>48</v>
      </c>
      <c r="AE194"/>
      <c r="AF194" t="s">
        <v>48</v>
      </c>
      <c r="AG194" t="s">
        <v>48</v>
      </c>
      <c r="AH194" t="s">
        <v>48</v>
      </c>
      <c r="AI194" t="s">
        <v>48</v>
      </c>
      <c r="AL194" t="s">
        <v>48</v>
      </c>
      <c r="AO194" t="s">
        <v>48</v>
      </c>
      <c r="AP194" t="s">
        <v>48</v>
      </c>
      <c r="AQ194" t="s">
        <v>48</v>
      </c>
      <c r="AR194">
        <v>435</v>
      </c>
      <c r="AV194" t="s">
        <v>48</v>
      </c>
      <c r="AW194" t="s">
        <v>48</v>
      </c>
      <c r="AX194" s="2" t="s">
        <v>49</v>
      </c>
      <c r="AY194" s="2" t="s">
        <v>49</v>
      </c>
      <c r="BC194">
        <f>SUM(cna_product_database_catalog_website[[#This Row],[Box Length (cm)]]*cna_product_database_catalog_website[[#This Row],[Box Width (cm)]]*cna_product_database_catalog_website[[#This Row],[Box Height (cm)]]/1000000)</f>
        <v>0</v>
      </c>
      <c r="BD194">
        <f>SUM(cna_product_database_catalog_website[[#This Row],[Box CBM]]*35.3147)</f>
        <v>0</v>
      </c>
      <c r="BE194" t="s">
        <v>48</v>
      </c>
      <c r="BI19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94">
        <f>SUM(cna_product_database_catalog_website[[#This Row],[Carton CFT]]/61024)</f>
        <v>0</v>
      </c>
      <c r="BM194" t="s">
        <v>48</v>
      </c>
      <c r="BN194" t="s">
        <v>48</v>
      </c>
      <c r="BO194" t="s">
        <v>48</v>
      </c>
      <c r="BP194" t="s">
        <v>48</v>
      </c>
      <c r="BQ194" t="s">
        <v>48</v>
      </c>
      <c r="BS194" t="s">
        <v>48</v>
      </c>
      <c r="BT194" t="s">
        <v>48</v>
      </c>
      <c r="BU194" t="s">
        <v>48</v>
      </c>
      <c r="BW194" t="s">
        <v>48</v>
      </c>
      <c r="BX194" t="s">
        <v>48</v>
      </c>
      <c r="BY194" t="s">
        <v>48</v>
      </c>
      <c r="BZ194" t="s">
        <v>48</v>
      </c>
      <c r="CA194" t="s">
        <v>48</v>
      </c>
      <c r="CB194" t="s">
        <v>48</v>
      </c>
      <c r="CC194" t="s">
        <v>48</v>
      </c>
      <c r="CD194" t="s">
        <v>48</v>
      </c>
      <c r="CE194" t="s">
        <v>701</v>
      </c>
      <c r="CF194" t="s">
        <v>48</v>
      </c>
      <c r="CG194" t="s">
        <v>667</v>
      </c>
      <c r="CH194" t="s">
        <v>48</v>
      </c>
      <c r="CI194" t="s">
        <v>48</v>
      </c>
      <c r="CJ194" t="s">
        <v>48</v>
      </c>
    </row>
    <row r="195" spans="1:88" x14ac:dyDescent="0.25">
      <c r="A195" s="4" t="s">
        <v>2106</v>
      </c>
      <c r="B195" s="4" t="s">
        <v>1199</v>
      </c>
      <c r="C195" s="4" t="s">
        <v>2173</v>
      </c>
      <c r="D195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Cabinet&gt;24V LED Drivers&gt;38.4W Dimmable LED Driver</v>
      </c>
      <c r="E195">
        <v>880</v>
      </c>
      <c r="F195" t="s">
        <v>1911</v>
      </c>
      <c r="G195" s="3">
        <v>1148</v>
      </c>
      <c r="H195" s="8">
        <v>35</v>
      </c>
      <c r="I195" t="s">
        <v>1911</v>
      </c>
      <c r="J195" t="s">
        <v>1345</v>
      </c>
      <c r="K195" t="s">
        <v>710</v>
      </c>
      <c r="L195" t="s">
        <v>711</v>
      </c>
      <c r="M195" s="12" t="str">
        <f>HYPERLINK(cna_product_database_catalog_website[[#This Row],[Spec Sheet Link]], cna_product_database_catalog_website[[#Headers],[Spec Sheet Link]])</f>
        <v>Spec Sheet Link</v>
      </c>
      <c r="N195" t="s">
        <v>47</v>
      </c>
      <c r="O195" s="3">
        <v>1</v>
      </c>
      <c r="P195" s="3">
        <v>1</v>
      </c>
      <c r="Q195" t="s">
        <v>48</v>
      </c>
      <c r="R195" t="s">
        <v>712</v>
      </c>
      <c r="S195" t="s">
        <v>48</v>
      </c>
      <c r="T195" t="s">
        <v>48</v>
      </c>
      <c r="U195" t="s">
        <v>400</v>
      </c>
      <c r="V195" t="s">
        <v>48</v>
      </c>
      <c r="W195" t="s">
        <v>48</v>
      </c>
      <c r="X195" t="s">
        <v>48</v>
      </c>
      <c r="Y195" s="3" t="s">
        <v>48</v>
      </c>
      <c r="Z195" s="3" t="s">
        <v>48</v>
      </c>
      <c r="AA195" s="3" t="s">
        <v>60</v>
      </c>
      <c r="AB195" s="1" t="s">
        <v>48</v>
      </c>
      <c r="AC195" s="1" t="s">
        <v>48</v>
      </c>
      <c r="AD195" t="s">
        <v>48</v>
      </c>
      <c r="AE195"/>
      <c r="AF195" t="s">
        <v>48</v>
      </c>
      <c r="AG195" t="s">
        <v>48</v>
      </c>
      <c r="AH195" t="s">
        <v>48</v>
      </c>
      <c r="AI195" t="s">
        <v>48</v>
      </c>
      <c r="AL195" t="s">
        <v>48</v>
      </c>
      <c r="AO195" t="s">
        <v>48</v>
      </c>
      <c r="AP195" t="s">
        <v>48</v>
      </c>
      <c r="AQ195" t="s">
        <v>48</v>
      </c>
      <c r="AV195" t="s">
        <v>48</v>
      </c>
      <c r="AW195" t="s">
        <v>48</v>
      </c>
      <c r="AX195" s="2" t="s">
        <v>48</v>
      </c>
      <c r="AY195" s="2" t="s">
        <v>48</v>
      </c>
      <c r="BC195">
        <f>SUM(cna_product_database_catalog_website[[#This Row],[Box Length (cm)]]*cna_product_database_catalog_website[[#This Row],[Box Width (cm)]]*cna_product_database_catalog_website[[#This Row],[Box Height (cm)]]/1000000)</f>
        <v>0</v>
      </c>
      <c r="BD195">
        <f>SUM(cna_product_database_catalog_website[[#This Row],[Box CBM]]*35.3147)</f>
        <v>0</v>
      </c>
      <c r="BE195" t="s">
        <v>48</v>
      </c>
      <c r="BI19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95">
        <f>SUM(cna_product_database_catalog_website[[#This Row],[Carton CFT]]/61024)</f>
        <v>0</v>
      </c>
      <c r="BM195" t="s">
        <v>48</v>
      </c>
      <c r="BN195" t="s">
        <v>48</v>
      </c>
      <c r="BO195" t="s">
        <v>48</v>
      </c>
      <c r="BP195" t="s">
        <v>48</v>
      </c>
      <c r="BQ195" t="s">
        <v>48</v>
      </c>
      <c r="BS195" t="s">
        <v>48</v>
      </c>
      <c r="BT195" t="s">
        <v>48</v>
      </c>
      <c r="BU195" t="s">
        <v>48</v>
      </c>
      <c r="BW195" t="s">
        <v>48</v>
      </c>
      <c r="BX195" t="s">
        <v>48</v>
      </c>
      <c r="BY195" t="s">
        <v>48</v>
      </c>
      <c r="BZ195" t="s">
        <v>48</v>
      </c>
      <c r="CA195" t="s">
        <v>48</v>
      </c>
      <c r="CB195" t="s">
        <v>48</v>
      </c>
      <c r="CC195" t="s">
        <v>48</v>
      </c>
      <c r="CD195" t="s">
        <v>48</v>
      </c>
      <c r="CE195" t="s">
        <v>48</v>
      </c>
      <c r="CF195" t="s">
        <v>48</v>
      </c>
      <c r="CG195" t="s">
        <v>48</v>
      </c>
      <c r="CH195" t="s">
        <v>48</v>
      </c>
      <c r="CI195" t="s">
        <v>48</v>
      </c>
      <c r="CJ195" t="s">
        <v>48</v>
      </c>
    </row>
    <row r="196" spans="1:88" x14ac:dyDescent="0.25">
      <c r="A196" s="4" t="s">
        <v>2106</v>
      </c>
      <c r="B196" s="4" t="s">
        <v>1199</v>
      </c>
      <c r="C196" s="4" t="s">
        <v>2174</v>
      </c>
      <c r="D196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Cabinet&gt;24V LED Drivers&gt; 60W Dimmable LED Driver</v>
      </c>
      <c r="E196">
        <v>885</v>
      </c>
      <c r="F196" t="s">
        <v>1912</v>
      </c>
      <c r="G196" s="3">
        <v>1149</v>
      </c>
      <c r="H196" s="8">
        <v>45</v>
      </c>
      <c r="I196" t="s">
        <v>1912</v>
      </c>
      <c r="J196" t="s">
        <v>1346</v>
      </c>
      <c r="K196" t="s">
        <v>713</v>
      </c>
      <c r="L196" t="s">
        <v>714</v>
      </c>
      <c r="M196" s="12" t="str">
        <f>HYPERLINK(cna_product_database_catalog_website[[#This Row],[Spec Sheet Link]], cna_product_database_catalog_website[[#Headers],[Spec Sheet Link]])</f>
        <v>Spec Sheet Link</v>
      </c>
      <c r="N196" t="s">
        <v>47</v>
      </c>
      <c r="O196" s="3">
        <v>1</v>
      </c>
      <c r="P196" s="3">
        <v>1</v>
      </c>
      <c r="Q196" t="s">
        <v>48</v>
      </c>
      <c r="R196" t="s">
        <v>712</v>
      </c>
      <c r="S196" t="s">
        <v>48</v>
      </c>
      <c r="T196" t="s">
        <v>48</v>
      </c>
      <c r="U196" t="s">
        <v>400</v>
      </c>
      <c r="V196" t="s">
        <v>48</v>
      </c>
      <c r="W196" t="s">
        <v>48</v>
      </c>
      <c r="X196" t="s">
        <v>48</v>
      </c>
      <c r="Y196" s="3" t="s">
        <v>48</v>
      </c>
      <c r="Z196" s="3" t="s">
        <v>48</v>
      </c>
      <c r="AA196" s="3" t="s">
        <v>60</v>
      </c>
      <c r="AB196" s="1" t="s">
        <v>48</v>
      </c>
      <c r="AC196" s="1" t="s">
        <v>48</v>
      </c>
      <c r="AD196" t="s">
        <v>48</v>
      </c>
      <c r="AE196"/>
      <c r="AF196" t="s">
        <v>48</v>
      </c>
      <c r="AG196" t="s">
        <v>48</v>
      </c>
      <c r="AH196" t="s">
        <v>48</v>
      </c>
      <c r="AI196" t="s">
        <v>48</v>
      </c>
      <c r="AL196" t="s">
        <v>48</v>
      </c>
      <c r="AO196" t="s">
        <v>48</v>
      </c>
      <c r="AP196" t="s">
        <v>48</v>
      </c>
      <c r="AQ196" t="s">
        <v>48</v>
      </c>
      <c r="AV196" t="s">
        <v>48</v>
      </c>
      <c r="AW196" t="s">
        <v>48</v>
      </c>
      <c r="AX196" s="2" t="s">
        <v>48</v>
      </c>
      <c r="AY196" s="2" t="s">
        <v>48</v>
      </c>
      <c r="BC196">
        <f>SUM(cna_product_database_catalog_website[[#This Row],[Box Length (cm)]]*cna_product_database_catalog_website[[#This Row],[Box Width (cm)]]*cna_product_database_catalog_website[[#This Row],[Box Height (cm)]]/1000000)</f>
        <v>0</v>
      </c>
      <c r="BD196">
        <f>SUM(cna_product_database_catalog_website[[#This Row],[Box CBM]]*35.3147)</f>
        <v>0</v>
      </c>
      <c r="BE196" t="s">
        <v>48</v>
      </c>
      <c r="BI19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96">
        <f>SUM(cna_product_database_catalog_website[[#This Row],[Carton CFT]]/61024)</f>
        <v>0</v>
      </c>
      <c r="BM196" t="s">
        <v>48</v>
      </c>
      <c r="BN196" t="s">
        <v>48</v>
      </c>
      <c r="BO196" t="s">
        <v>48</v>
      </c>
      <c r="BP196" t="s">
        <v>48</v>
      </c>
      <c r="BQ196" t="s">
        <v>48</v>
      </c>
      <c r="BS196" t="s">
        <v>48</v>
      </c>
      <c r="BT196" t="s">
        <v>48</v>
      </c>
      <c r="BU196" t="s">
        <v>48</v>
      </c>
      <c r="BW196" t="s">
        <v>48</v>
      </c>
      <c r="BX196" t="s">
        <v>48</v>
      </c>
      <c r="BY196" t="s">
        <v>48</v>
      </c>
      <c r="BZ196" t="s">
        <v>48</v>
      </c>
      <c r="CA196" t="s">
        <v>48</v>
      </c>
      <c r="CB196" t="s">
        <v>48</v>
      </c>
      <c r="CC196" t="s">
        <v>48</v>
      </c>
      <c r="CD196" t="s">
        <v>48</v>
      </c>
      <c r="CE196" t="s">
        <v>48</v>
      </c>
      <c r="CF196" t="s">
        <v>48</v>
      </c>
      <c r="CG196" t="s">
        <v>48</v>
      </c>
      <c r="CH196" t="s">
        <v>48</v>
      </c>
      <c r="CI196" t="s">
        <v>48</v>
      </c>
      <c r="CJ196" t="s">
        <v>48</v>
      </c>
    </row>
    <row r="197" spans="1:88" x14ac:dyDescent="0.25">
      <c r="A197" s="4" t="s">
        <v>2106</v>
      </c>
      <c r="B197" s="4" t="s">
        <v>1199</v>
      </c>
      <c r="C197" s="4" t="s">
        <v>2175</v>
      </c>
      <c r="D197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Cabinet&gt;24V LED Drivers&gt;79W Dimmable LED Driver</v>
      </c>
      <c r="E197">
        <v>890</v>
      </c>
      <c r="F197" t="s">
        <v>1913</v>
      </c>
      <c r="G197" s="3">
        <v>1150</v>
      </c>
      <c r="H197" s="8">
        <v>55</v>
      </c>
      <c r="I197" t="s">
        <v>1913</v>
      </c>
      <c r="J197" t="s">
        <v>1347</v>
      </c>
      <c r="K197" t="s">
        <v>715</v>
      </c>
      <c r="L197" t="s">
        <v>716</v>
      </c>
      <c r="M197" s="12" t="str">
        <f>HYPERLINK(cna_product_database_catalog_website[[#This Row],[Spec Sheet Link]], cna_product_database_catalog_website[[#Headers],[Spec Sheet Link]])</f>
        <v>Spec Sheet Link</v>
      </c>
      <c r="N197" t="s">
        <v>47</v>
      </c>
      <c r="O197" s="3">
        <v>1</v>
      </c>
      <c r="P197" s="3">
        <v>1</v>
      </c>
      <c r="Q197" t="s">
        <v>48</v>
      </c>
      <c r="R197" t="s">
        <v>712</v>
      </c>
      <c r="S197" t="s">
        <v>48</v>
      </c>
      <c r="T197" t="s">
        <v>48</v>
      </c>
      <c r="U197" t="s">
        <v>400</v>
      </c>
      <c r="V197" t="s">
        <v>48</v>
      </c>
      <c r="W197" t="s">
        <v>48</v>
      </c>
      <c r="X197" t="s">
        <v>48</v>
      </c>
      <c r="Y197" s="3" t="s">
        <v>48</v>
      </c>
      <c r="Z197" s="3" t="s">
        <v>48</v>
      </c>
      <c r="AA197" s="3" t="s">
        <v>60</v>
      </c>
      <c r="AB197" s="1" t="s">
        <v>48</v>
      </c>
      <c r="AC197" s="1" t="s">
        <v>48</v>
      </c>
      <c r="AD197" t="s">
        <v>48</v>
      </c>
      <c r="AE197"/>
      <c r="AF197" t="s">
        <v>48</v>
      </c>
      <c r="AG197" t="s">
        <v>48</v>
      </c>
      <c r="AH197" t="s">
        <v>48</v>
      </c>
      <c r="AI197" t="s">
        <v>48</v>
      </c>
      <c r="AL197" t="s">
        <v>48</v>
      </c>
      <c r="AO197" t="s">
        <v>48</v>
      </c>
      <c r="AP197" t="s">
        <v>48</v>
      </c>
      <c r="AQ197" t="s">
        <v>48</v>
      </c>
      <c r="AV197" t="s">
        <v>48</v>
      </c>
      <c r="AW197" t="s">
        <v>48</v>
      </c>
      <c r="AX197" s="2" t="s">
        <v>48</v>
      </c>
      <c r="AY197" s="2" t="s">
        <v>48</v>
      </c>
      <c r="BC197">
        <f>SUM(cna_product_database_catalog_website[[#This Row],[Box Length (cm)]]*cna_product_database_catalog_website[[#This Row],[Box Width (cm)]]*cna_product_database_catalog_website[[#This Row],[Box Height (cm)]]/1000000)</f>
        <v>0</v>
      </c>
      <c r="BD197">
        <f>SUM(cna_product_database_catalog_website[[#This Row],[Box CBM]]*35.3147)</f>
        <v>0</v>
      </c>
      <c r="BE197" t="s">
        <v>48</v>
      </c>
      <c r="BI19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97">
        <f>SUM(cna_product_database_catalog_website[[#This Row],[Carton CFT]]/61024)</f>
        <v>0</v>
      </c>
      <c r="BM197" t="s">
        <v>48</v>
      </c>
      <c r="BN197" t="s">
        <v>48</v>
      </c>
      <c r="BO197" t="s">
        <v>48</v>
      </c>
      <c r="BP197" t="s">
        <v>48</v>
      </c>
      <c r="BQ197" t="s">
        <v>48</v>
      </c>
      <c r="BS197" t="s">
        <v>48</v>
      </c>
      <c r="BT197" t="s">
        <v>48</v>
      </c>
      <c r="BU197" t="s">
        <v>48</v>
      </c>
      <c r="BW197" t="s">
        <v>48</v>
      </c>
      <c r="BX197" t="s">
        <v>48</v>
      </c>
      <c r="BY197" t="s">
        <v>48</v>
      </c>
      <c r="BZ197" t="s">
        <v>48</v>
      </c>
      <c r="CA197" t="s">
        <v>48</v>
      </c>
      <c r="CB197" t="s">
        <v>48</v>
      </c>
      <c r="CC197" t="s">
        <v>48</v>
      </c>
      <c r="CD197" t="s">
        <v>48</v>
      </c>
      <c r="CE197" t="s">
        <v>48</v>
      </c>
      <c r="CF197" t="s">
        <v>48</v>
      </c>
      <c r="CG197" t="s">
        <v>48</v>
      </c>
      <c r="CH197" t="s">
        <v>48</v>
      </c>
      <c r="CI197" t="s">
        <v>48</v>
      </c>
      <c r="CJ197" t="s">
        <v>48</v>
      </c>
    </row>
    <row r="198" spans="1:88" x14ac:dyDescent="0.25">
      <c r="A198" s="4" t="s">
        <v>2106</v>
      </c>
      <c r="B198" s="4" t="s">
        <v>1199</v>
      </c>
      <c r="C198" s="4" t="s">
        <v>2176</v>
      </c>
      <c r="D198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Cabinet&gt;24V LED Drivers&gt;100.8W Dimmable LED Driver</v>
      </c>
      <c r="E198">
        <v>895</v>
      </c>
      <c r="F198" t="s">
        <v>1914</v>
      </c>
      <c r="G198" s="3">
        <v>1151</v>
      </c>
      <c r="H198" s="8">
        <v>65</v>
      </c>
      <c r="I198" t="s">
        <v>1914</v>
      </c>
      <c r="J198" t="s">
        <v>1348</v>
      </c>
      <c r="K198" t="s">
        <v>717</v>
      </c>
      <c r="L198" t="s">
        <v>718</v>
      </c>
      <c r="M198" s="12" t="str">
        <f>HYPERLINK(cna_product_database_catalog_website[[#This Row],[Spec Sheet Link]], cna_product_database_catalog_website[[#Headers],[Spec Sheet Link]])</f>
        <v>Spec Sheet Link</v>
      </c>
      <c r="N198" t="s">
        <v>47</v>
      </c>
      <c r="O198" s="3">
        <v>1</v>
      </c>
      <c r="P198" s="3">
        <v>1</v>
      </c>
      <c r="Q198" t="s">
        <v>48</v>
      </c>
      <c r="R198" t="s">
        <v>712</v>
      </c>
      <c r="S198" t="s">
        <v>48</v>
      </c>
      <c r="T198" t="s">
        <v>48</v>
      </c>
      <c r="U198" t="s">
        <v>400</v>
      </c>
      <c r="V198" t="s">
        <v>48</v>
      </c>
      <c r="W198" t="s">
        <v>48</v>
      </c>
      <c r="X198" t="s">
        <v>48</v>
      </c>
      <c r="Y198" s="3" t="s">
        <v>48</v>
      </c>
      <c r="Z198" s="3" t="s">
        <v>48</v>
      </c>
      <c r="AA198" s="3" t="s">
        <v>60</v>
      </c>
      <c r="AB198" s="1" t="s">
        <v>48</v>
      </c>
      <c r="AC198" s="1" t="s">
        <v>48</v>
      </c>
      <c r="AD198" t="s">
        <v>48</v>
      </c>
      <c r="AE198"/>
      <c r="AF198" t="s">
        <v>48</v>
      </c>
      <c r="AG198" t="s">
        <v>48</v>
      </c>
      <c r="AH198" t="s">
        <v>48</v>
      </c>
      <c r="AI198" t="s">
        <v>48</v>
      </c>
      <c r="AL198" t="s">
        <v>48</v>
      </c>
      <c r="AO198" t="s">
        <v>48</v>
      </c>
      <c r="AP198" t="s">
        <v>48</v>
      </c>
      <c r="AQ198" t="s">
        <v>48</v>
      </c>
      <c r="AV198" t="s">
        <v>48</v>
      </c>
      <c r="AW198" t="s">
        <v>48</v>
      </c>
      <c r="AX198" s="2" t="s">
        <v>48</v>
      </c>
      <c r="AY198" s="2" t="s">
        <v>48</v>
      </c>
      <c r="BC198">
        <f>SUM(cna_product_database_catalog_website[[#This Row],[Box Length (cm)]]*cna_product_database_catalog_website[[#This Row],[Box Width (cm)]]*cna_product_database_catalog_website[[#This Row],[Box Height (cm)]]/1000000)</f>
        <v>0</v>
      </c>
      <c r="BD198">
        <f>SUM(cna_product_database_catalog_website[[#This Row],[Box CBM]]*35.3147)</f>
        <v>0</v>
      </c>
      <c r="BE198" t="s">
        <v>48</v>
      </c>
      <c r="BI19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98">
        <f>SUM(cna_product_database_catalog_website[[#This Row],[Carton CFT]]/61024)</f>
        <v>0</v>
      </c>
      <c r="BM198" t="s">
        <v>48</v>
      </c>
      <c r="BN198" t="s">
        <v>48</v>
      </c>
      <c r="BO198" t="s">
        <v>48</v>
      </c>
      <c r="BP198" t="s">
        <v>48</v>
      </c>
      <c r="BQ198" t="s">
        <v>48</v>
      </c>
      <c r="BS198" t="s">
        <v>48</v>
      </c>
      <c r="BT198" t="s">
        <v>48</v>
      </c>
      <c r="BU198" t="s">
        <v>48</v>
      </c>
      <c r="BW198" t="s">
        <v>48</v>
      </c>
      <c r="BX198" t="s">
        <v>48</v>
      </c>
      <c r="BY198" t="s">
        <v>48</v>
      </c>
      <c r="BZ198" t="s">
        <v>48</v>
      </c>
      <c r="CA198" t="s">
        <v>48</v>
      </c>
      <c r="CB198" t="s">
        <v>48</v>
      </c>
      <c r="CC198" t="s">
        <v>48</v>
      </c>
      <c r="CD198" t="s">
        <v>48</v>
      </c>
      <c r="CE198" t="s">
        <v>48</v>
      </c>
      <c r="CF198" t="s">
        <v>48</v>
      </c>
      <c r="CG198" t="s">
        <v>48</v>
      </c>
      <c r="CH198" t="s">
        <v>48</v>
      </c>
      <c r="CI198" t="s">
        <v>48</v>
      </c>
      <c r="CJ198" t="s">
        <v>48</v>
      </c>
    </row>
    <row r="199" spans="1:88" x14ac:dyDescent="0.25">
      <c r="A199" s="4" t="s">
        <v>2106</v>
      </c>
      <c r="B199" s="4" t="s">
        <v>1199</v>
      </c>
      <c r="C199" s="4" t="s">
        <v>2177</v>
      </c>
      <c r="D199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Cabinet&gt;24V LED Drivers&gt;150W Dimmable LED Driver</v>
      </c>
      <c r="E199">
        <v>900</v>
      </c>
      <c r="F199" t="s">
        <v>1915</v>
      </c>
      <c r="G199" s="3">
        <v>1152</v>
      </c>
      <c r="H199" s="8">
        <v>95</v>
      </c>
      <c r="I199" t="s">
        <v>1915</v>
      </c>
      <c r="J199" t="s">
        <v>1349</v>
      </c>
      <c r="K199" t="s">
        <v>719</v>
      </c>
      <c r="L199" t="s">
        <v>720</v>
      </c>
      <c r="M199" s="12" t="str">
        <f>HYPERLINK(cna_product_database_catalog_website[[#This Row],[Spec Sheet Link]], cna_product_database_catalog_website[[#Headers],[Spec Sheet Link]])</f>
        <v>Spec Sheet Link</v>
      </c>
      <c r="N199" t="s">
        <v>47</v>
      </c>
      <c r="O199" s="3">
        <v>1</v>
      </c>
      <c r="P199" s="3">
        <v>1</v>
      </c>
      <c r="Q199" t="s">
        <v>48</v>
      </c>
      <c r="R199" t="s">
        <v>712</v>
      </c>
      <c r="S199" t="s">
        <v>48</v>
      </c>
      <c r="T199" t="s">
        <v>48</v>
      </c>
      <c r="U199" t="s">
        <v>400</v>
      </c>
      <c r="V199" t="s">
        <v>48</v>
      </c>
      <c r="W199" t="s">
        <v>48</v>
      </c>
      <c r="X199" t="s">
        <v>48</v>
      </c>
      <c r="Y199" s="3" t="s">
        <v>48</v>
      </c>
      <c r="Z199" s="3" t="s">
        <v>48</v>
      </c>
      <c r="AA199" s="3" t="s">
        <v>60</v>
      </c>
      <c r="AB199" s="1" t="s">
        <v>48</v>
      </c>
      <c r="AC199" s="1" t="s">
        <v>48</v>
      </c>
      <c r="AD199" t="s">
        <v>48</v>
      </c>
      <c r="AE199"/>
      <c r="AF199" t="s">
        <v>48</v>
      </c>
      <c r="AG199" t="s">
        <v>721</v>
      </c>
      <c r="AH199" t="s">
        <v>722</v>
      </c>
      <c r="AI199" t="s">
        <v>722</v>
      </c>
      <c r="AN199" t="s">
        <v>722</v>
      </c>
      <c r="AO199" t="s">
        <v>48</v>
      </c>
      <c r="AP199" t="s">
        <v>48</v>
      </c>
      <c r="AQ199" t="s">
        <v>48</v>
      </c>
      <c r="AV199" t="s">
        <v>48</v>
      </c>
      <c r="AW199" t="s">
        <v>48</v>
      </c>
      <c r="AX199" s="2" t="s">
        <v>48</v>
      </c>
      <c r="AY199" s="2" t="s">
        <v>48</v>
      </c>
      <c r="BC199">
        <f>SUM(cna_product_database_catalog_website[[#This Row],[Box Length (cm)]]*cna_product_database_catalog_website[[#This Row],[Box Width (cm)]]*cna_product_database_catalog_website[[#This Row],[Box Height (cm)]]/1000000)</f>
        <v>0</v>
      </c>
      <c r="BD199">
        <f>SUM(cna_product_database_catalog_website[[#This Row],[Box CBM]]*35.3147)</f>
        <v>0</v>
      </c>
      <c r="BE199" t="s">
        <v>48</v>
      </c>
      <c r="BI19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199">
        <f>SUM(cna_product_database_catalog_website[[#This Row],[Carton CFT]]/61024)</f>
        <v>0</v>
      </c>
      <c r="BM199" t="s">
        <v>48</v>
      </c>
      <c r="BN199" t="s">
        <v>48</v>
      </c>
      <c r="BO199" t="s">
        <v>48</v>
      </c>
      <c r="BP199" t="s">
        <v>48</v>
      </c>
      <c r="BQ199" t="s">
        <v>48</v>
      </c>
      <c r="BS199" t="s">
        <v>48</v>
      </c>
      <c r="BT199" t="s">
        <v>48</v>
      </c>
      <c r="BU199" t="s">
        <v>48</v>
      </c>
      <c r="BW199" t="s">
        <v>48</v>
      </c>
      <c r="BX199" t="s">
        <v>48</v>
      </c>
      <c r="BY199" t="s">
        <v>48</v>
      </c>
      <c r="BZ199" t="s">
        <v>48</v>
      </c>
      <c r="CA199" t="s">
        <v>48</v>
      </c>
      <c r="CB199" t="s">
        <v>48</v>
      </c>
      <c r="CC199" t="s">
        <v>48</v>
      </c>
      <c r="CD199" t="s">
        <v>48</v>
      </c>
      <c r="CE199" t="s">
        <v>48</v>
      </c>
      <c r="CF199" t="s">
        <v>48</v>
      </c>
      <c r="CG199" t="s">
        <v>48</v>
      </c>
      <c r="CH199" t="s">
        <v>48</v>
      </c>
      <c r="CI199" t="s">
        <v>48</v>
      </c>
      <c r="CJ199" t="s">
        <v>48</v>
      </c>
    </row>
    <row r="200" spans="1:88" x14ac:dyDescent="0.25">
      <c r="A200" s="4" t="s">
        <v>2106</v>
      </c>
      <c r="B200" s="4" t="s">
        <v>1199</v>
      </c>
      <c r="C200" s="4" t="s">
        <v>2178</v>
      </c>
      <c r="D200" s="4" t="str">
        <f>cna_product_database_catalog_website[[#This Row],[MainCategory]]&amp;"&gt;"&amp;cna_product_database_catalog_website[[#This Row],[SubCategory1]]&amp;"&gt;"&amp;cna_product_database_catalog_website[[#This Row],[SubCategory2]]</f>
        <v>Under Cabinet&gt;24V LED Drivers&gt;108W LED Driver</v>
      </c>
      <c r="E200">
        <v>905</v>
      </c>
      <c r="F200" t="s">
        <v>1916</v>
      </c>
      <c r="G200" s="3">
        <v>1103</v>
      </c>
      <c r="H200" s="8">
        <v>60</v>
      </c>
      <c r="I200" t="s">
        <v>1916</v>
      </c>
      <c r="J200" t="s">
        <v>1350</v>
      </c>
      <c r="K200" t="s">
        <v>723</v>
      </c>
      <c r="L200" t="s">
        <v>724</v>
      </c>
      <c r="M200" s="12" t="str">
        <f>HYPERLINK(cna_product_database_catalog_website[[#This Row],[Spec Sheet Link]], cna_product_database_catalog_website[[#Headers],[Spec Sheet Link]])</f>
        <v>Spec Sheet Link</v>
      </c>
      <c r="N200" t="s">
        <v>47</v>
      </c>
      <c r="O200" s="3">
        <v>1</v>
      </c>
      <c r="P200" s="3">
        <v>1</v>
      </c>
      <c r="Q200" t="s">
        <v>48</v>
      </c>
      <c r="R200" t="s">
        <v>712</v>
      </c>
      <c r="S200" t="s">
        <v>48</v>
      </c>
      <c r="T200" t="s">
        <v>48</v>
      </c>
      <c r="U200" t="s">
        <v>48</v>
      </c>
      <c r="V200" t="s">
        <v>48</v>
      </c>
      <c r="W200" t="s">
        <v>48</v>
      </c>
      <c r="X200" t="s">
        <v>48</v>
      </c>
      <c r="Y200" s="3" t="s">
        <v>48</v>
      </c>
      <c r="Z200" s="3" t="s">
        <v>48</v>
      </c>
      <c r="AA200" s="3" t="s">
        <v>96</v>
      </c>
      <c r="AB200" s="1" t="s">
        <v>48</v>
      </c>
      <c r="AC200" s="1" t="s">
        <v>48</v>
      </c>
      <c r="AD200" t="s">
        <v>48</v>
      </c>
      <c r="AE200"/>
      <c r="AF200" t="s">
        <v>48</v>
      </c>
      <c r="AG200" t="s">
        <v>48</v>
      </c>
      <c r="AH200" t="s">
        <v>48</v>
      </c>
      <c r="AI200" t="s">
        <v>48</v>
      </c>
      <c r="AL200" t="s">
        <v>48</v>
      </c>
      <c r="AO200" t="s">
        <v>48</v>
      </c>
      <c r="AP200" t="s">
        <v>48</v>
      </c>
      <c r="AQ200" t="s">
        <v>48</v>
      </c>
      <c r="AV200" t="s">
        <v>48</v>
      </c>
      <c r="AW200" t="s">
        <v>48</v>
      </c>
      <c r="AX200" s="2" t="s">
        <v>48</v>
      </c>
      <c r="AY200" s="2" t="s">
        <v>48</v>
      </c>
      <c r="BC200">
        <f>SUM(cna_product_database_catalog_website[[#This Row],[Box Length (cm)]]*cna_product_database_catalog_website[[#This Row],[Box Width (cm)]]*cna_product_database_catalog_website[[#This Row],[Box Height (cm)]]/1000000)</f>
        <v>0</v>
      </c>
      <c r="BD200">
        <f>SUM(cna_product_database_catalog_website[[#This Row],[Box CBM]]*35.3147)</f>
        <v>0</v>
      </c>
      <c r="BE200" t="s">
        <v>48</v>
      </c>
      <c r="BI20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00">
        <f>SUM(cna_product_database_catalog_website[[#This Row],[Carton CFT]]/61024)</f>
        <v>0</v>
      </c>
      <c r="BM200" t="s">
        <v>48</v>
      </c>
      <c r="BN200" t="s">
        <v>48</v>
      </c>
      <c r="BO200" t="s">
        <v>48</v>
      </c>
      <c r="BP200" t="s">
        <v>48</v>
      </c>
      <c r="BQ200" t="s">
        <v>48</v>
      </c>
      <c r="BS200" t="s">
        <v>48</v>
      </c>
      <c r="BT200" t="s">
        <v>48</v>
      </c>
      <c r="BU200" t="s">
        <v>48</v>
      </c>
      <c r="BW200" t="s">
        <v>48</v>
      </c>
      <c r="BX200" t="s">
        <v>48</v>
      </c>
      <c r="BY200" t="s">
        <v>48</v>
      </c>
      <c r="BZ200" t="s">
        <v>48</v>
      </c>
      <c r="CA200" t="s">
        <v>48</v>
      </c>
      <c r="CB200" t="s">
        <v>48</v>
      </c>
      <c r="CC200" t="s">
        <v>48</v>
      </c>
      <c r="CD200" t="s">
        <v>48</v>
      </c>
      <c r="CE200" t="s">
        <v>48</v>
      </c>
      <c r="CF200" t="s">
        <v>48</v>
      </c>
      <c r="CG200" t="s">
        <v>48</v>
      </c>
      <c r="CH200" t="s">
        <v>48</v>
      </c>
      <c r="CI200" t="s">
        <v>48</v>
      </c>
      <c r="CJ200" t="s">
        <v>48</v>
      </c>
    </row>
    <row r="201" spans="1:88" x14ac:dyDescent="0.25">
      <c r="A201" s="4" t="s">
        <v>1196</v>
      </c>
      <c r="B201" s="4" t="s">
        <v>2157</v>
      </c>
      <c r="C201" s="4" t="s">
        <v>1355</v>
      </c>
      <c r="D201" s="4" t="str">
        <f>cna_product_database_catalog_website[[#This Row],[MainCategory]]&amp;"&gt;"&amp;cna_product_database_catalog_website[[#This Row],[SubCategory1]]&amp;"&gt;"&amp;cna_product_database_catalog_website[[#This Row],[SubCategory2]]</f>
        <v>Step Lights&gt;Mini Step Lights&gt;Mini Step Light 12V</v>
      </c>
      <c r="E201">
        <v>910</v>
      </c>
      <c r="F201" t="s">
        <v>628</v>
      </c>
      <c r="G201" s="3">
        <v>1129</v>
      </c>
      <c r="H201" s="8">
        <v>12</v>
      </c>
      <c r="I201" t="s">
        <v>628</v>
      </c>
      <c r="J201" t="s">
        <v>1351</v>
      </c>
      <c r="K201" t="s">
        <v>629</v>
      </c>
      <c r="L201" t="s">
        <v>1127</v>
      </c>
      <c r="M201" s="12" t="str">
        <f>HYPERLINK(cna_product_database_catalog_website[[#This Row],[Spec Sheet Link]], cna_product_database_catalog_website[[#Headers],[Spec Sheet Link]])</f>
        <v>Spec Sheet Link</v>
      </c>
      <c r="N201" t="s">
        <v>47</v>
      </c>
      <c r="O201" s="3">
        <v>1</v>
      </c>
      <c r="P201" s="3">
        <v>1</v>
      </c>
      <c r="Q201" t="s">
        <v>1526</v>
      </c>
      <c r="R201" t="s">
        <v>667</v>
      </c>
      <c r="S201" t="s">
        <v>1642</v>
      </c>
      <c r="T201" t="s">
        <v>544</v>
      </c>
      <c r="U201" t="s">
        <v>419</v>
      </c>
      <c r="V201" t="s">
        <v>1645</v>
      </c>
      <c r="W201" t="s">
        <v>420</v>
      </c>
      <c r="X201" t="s">
        <v>78</v>
      </c>
      <c r="Y201" s="5" t="s">
        <v>1651</v>
      </c>
      <c r="Z201" s="3">
        <v>80</v>
      </c>
      <c r="AA201" s="3" t="s">
        <v>60</v>
      </c>
      <c r="AB201" s="1" t="s">
        <v>1139</v>
      </c>
      <c r="AC201" s="1" t="s">
        <v>48</v>
      </c>
      <c r="AD201" t="s">
        <v>450</v>
      </c>
      <c r="AE201"/>
      <c r="AF201" t="s">
        <v>48</v>
      </c>
      <c r="AG201" t="s">
        <v>48</v>
      </c>
      <c r="AH201" t="s">
        <v>48</v>
      </c>
      <c r="AI201" t="s">
        <v>48</v>
      </c>
      <c r="AL201" t="s">
        <v>48</v>
      </c>
      <c r="AN201" t="s">
        <v>62</v>
      </c>
      <c r="AO201" t="s">
        <v>48</v>
      </c>
      <c r="AP201" t="s">
        <v>191</v>
      </c>
      <c r="AQ201" t="s">
        <v>48</v>
      </c>
      <c r="AR201">
        <v>49</v>
      </c>
      <c r="AV201" t="s">
        <v>1672</v>
      </c>
      <c r="AW201" t="s">
        <v>403</v>
      </c>
      <c r="AX201" s="2">
        <v>210</v>
      </c>
      <c r="AY201" s="2">
        <v>210</v>
      </c>
      <c r="BC201">
        <f>SUM(cna_product_database_catalog_website[[#This Row],[Box Length (cm)]]*cna_product_database_catalog_website[[#This Row],[Box Width (cm)]]*cna_product_database_catalog_website[[#This Row],[Box Height (cm)]]/1000000)</f>
        <v>0</v>
      </c>
      <c r="BD201">
        <f>SUM(cna_product_database_catalog_website[[#This Row],[Box CBM]]*35.3147)</f>
        <v>0</v>
      </c>
      <c r="BE201" t="s">
        <v>48</v>
      </c>
      <c r="BI20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01">
        <f>SUM(cna_product_database_catalog_website[[#This Row],[Carton CFT]]/61024)</f>
        <v>0</v>
      </c>
      <c r="BM201" t="s">
        <v>48</v>
      </c>
      <c r="BN201" t="s">
        <v>48</v>
      </c>
      <c r="BO201" t="s">
        <v>48</v>
      </c>
      <c r="BP201" t="s">
        <v>48</v>
      </c>
      <c r="BQ201" t="s">
        <v>48</v>
      </c>
      <c r="BS201" t="s">
        <v>48</v>
      </c>
      <c r="BT201" t="s">
        <v>48</v>
      </c>
      <c r="BU201" t="s">
        <v>48</v>
      </c>
      <c r="BW201" t="s">
        <v>48</v>
      </c>
      <c r="BX201" t="s">
        <v>48</v>
      </c>
      <c r="BY201" t="s">
        <v>48</v>
      </c>
      <c r="BZ201" t="s">
        <v>48</v>
      </c>
      <c r="CA201" t="s">
        <v>48</v>
      </c>
      <c r="CB201" t="s">
        <v>48</v>
      </c>
      <c r="CC201" t="s">
        <v>48</v>
      </c>
      <c r="CD201" t="s">
        <v>48</v>
      </c>
      <c r="CE201" t="s">
        <v>48</v>
      </c>
      <c r="CF201" t="s">
        <v>48</v>
      </c>
      <c r="CG201" t="s">
        <v>48</v>
      </c>
      <c r="CH201" t="s">
        <v>48</v>
      </c>
      <c r="CI201" t="s">
        <v>48</v>
      </c>
      <c r="CJ201" t="s">
        <v>48</v>
      </c>
    </row>
    <row r="202" spans="1:88" x14ac:dyDescent="0.25">
      <c r="A202" s="4" t="s">
        <v>1196</v>
      </c>
      <c r="B202" s="4" t="s">
        <v>1196</v>
      </c>
      <c r="C202" s="4" t="s">
        <v>2136</v>
      </c>
      <c r="D202" s="4" t="str">
        <f>cna_product_database_catalog_website[[#This Row],[MainCategory]]&amp;"&gt;"&amp;cna_product_database_catalog_website[[#This Row],[SubCategory1]]&amp;"&gt;"&amp;cna_product_database_catalog_website[[#This Row],[SubCategory2]]</f>
        <v>Step Lights&gt;Step Lights&gt;120V Step Light - Black</v>
      </c>
      <c r="E202">
        <v>915</v>
      </c>
      <c r="F202" t="s">
        <v>725</v>
      </c>
      <c r="G202" s="3">
        <v>1004</v>
      </c>
      <c r="H202" s="8">
        <v>22</v>
      </c>
      <c r="I202" t="s">
        <v>725</v>
      </c>
      <c r="J202" t="s">
        <v>1352</v>
      </c>
      <c r="K202" t="s">
        <v>726</v>
      </c>
      <c r="L202" t="s">
        <v>1927</v>
      </c>
      <c r="M202" s="12" t="str">
        <f>HYPERLINK(cna_product_database_catalog_website[[#This Row],[Spec Sheet Link]], cna_product_database_catalog_website[[#Headers],[Spec Sheet Link]])</f>
        <v>Spec Sheet Link</v>
      </c>
      <c r="N202" t="s">
        <v>47</v>
      </c>
      <c r="O202" s="3">
        <v>1</v>
      </c>
      <c r="P202" s="3">
        <v>1</v>
      </c>
      <c r="Q202" t="s">
        <v>727</v>
      </c>
      <c r="R202" t="s">
        <v>53</v>
      </c>
      <c r="S202" t="s">
        <v>48</v>
      </c>
      <c r="T202" t="s">
        <v>48</v>
      </c>
      <c r="U202" t="s">
        <v>48</v>
      </c>
      <c r="V202" t="s">
        <v>48</v>
      </c>
      <c r="W202" t="s">
        <v>48</v>
      </c>
      <c r="X202" t="s">
        <v>48</v>
      </c>
      <c r="Y202" s="3" t="s">
        <v>48</v>
      </c>
      <c r="Z202" s="3" t="s">
        <v>48</v>
      </c>
      <c r="AA202" s="3" t="s">
        <v>60</v>
      </c>
      <c r="AB202" s="1" t="s">
        <v>48</v>
      </c>
      <c r="AC202" s="1" t="s">
        <v>48</v>
      </c>
      <c r="AD202" t="s">
        <v>48</v>
      </c>
      <c r="AE202"/>
      <c r="AF202" t="s">
        <v>48</v>
      </c>
      <c r="AG202" t="s">
        <v>48</v>
      </c>
      <c r="AH202" t="s">
        <v>48</v>
      </c>
      <c r="AI202" t="s">
        <v>48</v>
      </c>
      <c r="AL202" t="s">
        <v>48</v>
      </c>
      <c r="AO202" t="s">
        <v>48</v>
      </c>
      <c r="AP202" t="s">
        <v>48</v>
      </c>
      <c r="AQ202" t="s">
        <v>48</v>
      </c>
      <c r="AR202">
        <v>256</v>
      </c>
      <c r="AV202" t="s">
        <v>48</v>
      </c>
      <c r="AW202" t="s">
        <v>403</v>
      </c>
      <c r="AX202" s="2" t="s">
        <v>49</v>
      </c>
      <c r="AY202" s="2" t="s">
        <v>365</v>
      </c>
      <c r="BC202">
        <f>SUM(cna_product_database_catalog_website[[#This Row],[Box Length (cm)]]*cna_product_database_catalog_website[[#This Row],[Box Width (cm)]]*cna_product_database_catalog_website[[#This Row],[Box Height (cm)]]/1000000)</f>
        <v>0</v>
      </c>
      <c r="BD202">
        <f>SUM(cna_product_database_catalog_website[[#This Row],[Box CBM]]*35.3147)</f>
        <v>0</v>
      </c>
      <c r="BE202" t="s">
        <v>48</v>
      </c>
      <c r="BI20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02">
        <f>SUM(cna_product_database_catalog_website[[#This Row],[Carton CFT]]/61024)</f>
        <v>0</v>
      </c>
      <c r="BM202" t="s">
        <v>48</v>
      </c>
      <c r="BN202" t="s">
        <v>48</v>
      </c>
      <c r="BO202" t="s">
        <v>48</v>
      </c>
      <c r="BP202" t="s">
        <v>48</v>
      </c>
      <c r="BQ202" t="s">
        <v>48</v>
      </c>
      <c r="BS202" t="s">
        <v>48</v>
      </c>
      <c r="BT202" t="s">
        <v>48</v>
      </c>
      <c r="BU202" t="s">
        <v>48</v>
      </c>
      <c r="BW202" t="s">
        <v>48</v>
      </c>
      <c r="BX202" t="s">
        <v>48</v>
      </c>
      <c r="BY202" t="s">
        <v>48</v>
      </c>
      <c r="BZ202" t="s">
        <v>48</v>
      </c>
      <c r="CA202" t="s">
        <v>48</v>
      </c>
      <c r="CB202" t="s">
        <v>48</v>
      </c>
      <c r="CC202" t="s">
        <v>48</v>
      </c>
      <c r="CD202" t="s">
        <v>48</v>
      </c>
      <c r="CE202" t="s">
        <v>48</v>
      </c>
      <c r="CF202" t="s">
        <v>48</v>
      </c>
      <c r="CG202" t="s">
        <v>48</v>
      </c>
      <c r="CH202" t="s">
        <v>48</v>
      </c>
      <c r="CI202" t="s">
        <v>48</v>
      </c>
      <c r="CJ202" t="s">
        <v>48</v>
      </c>
    </row>
    <row r="203" spans="1:88" x14ac:dyDescent="0.25">
      <c r="A203" s="4" t="s">
        <v>1196</v>
      </c>
      <c r="B203" s="4" t="s">
        <v>1196</v>
      </c>
      <c r="C203" s="4" t="s">
        <v>2137</v>
      </c>
      <c r="D203" s="4" t="str">
        <f>cna_product_database_catalog_website[[#This Row],[MainCategory]]&amp;"&gt;"&amp;cna_product_database_catalog_website[[#This Row],[SubCategory1]]&amp;"&gt;"&amp;cna_product_database_catalog_website[[#This Row],[SubCategory2]]</f>
        <v>Step Lights&gt;Step Lights&gt;120V Step Light - Brushed Nickel</v>
      </c>
      <c r="E203">
        <v>916</v>
      </c>
      <c r="F203" t="s">
        <v>728</v>
      </c>
      <c r="G203" s="3">
        <v>1005</v>
      </c>
      <c r="H203" s="8">
        <v>22</v>
      </c>
      <c r="I203" t="s">
        <v>728</v>
      </c>
      <c r="J203" t="s">
        <v>1353</v>
      </c>
      <c r="K203" t="s">
        <v>729</v>
      </c>
      <c r="L203" t="s">
        <v>1927</v>
      </c>
      <c r="M203" s="12" t="str">
        <f>HYPERLINK(cna_product_database_catalog_website[[#This Row],[Spec Sheet Link]], cna_product_database_catalog_website[[#Headers],[Spec Sheet Link]])</f>
        <v>Spec Sheet Link</v>
      </c>
      <c r="N203" t="s">
        <v>47</v>
      </c>
      <c r="O203" s="3">
        <v>1</v>
      </c>
      <c r="P203" s="3">
        <v>1</v>
      </c>
      <c r="Q203" t="s">
        <v>727</v>
      </c>
      <c r="R203" t="s">
        <v>53</v>
      </c>
      <c r="S203" t="s">
        <v>48</v>
      </c>
      <c r="T203" t="s">
        <v>48</v>
      </c>
      <c r="U203" t="s">
        <v>48</v>
      </c>
      <c r="V203" t="s">
        <v>48</v>
      </c>
      <c r="W203" t="s">
        <v>48</v>
      </c>
      <c r="X203" t="s">
        <v>48</v>
      </c>
      <c r="Y203" s="3" t="s">
        <v>48</v>
      </c>
      <c r="Z203" s="3" t="s">
        <v>48</v>
      </c>
      <c r="AA203" s="3" t="s">
        <v>60</v>
      </c>
      <c r="AB203" s="1" t="s">
        <v>48</v>
      </c>
      <c r="AC203" s="1" t="s">
        <v>48</v>
      </c>
      <c r="AD203" t="s">
        <v>48</v>
      </c>
      <c r="AE203"/>
      <c r="AF203" t="s">
        <v>48</v>
      </c>
      <c r="AG203" t="s">
        <v>48</v>
      </c>
      <c r="AH203" t="s">
        <v>48</v>
      </c>
      <c r="AI203" t="s">
        <v>48</v>
      </c>
      <c r="AL203" t="s">
        <v>48</v>
      </c>
      <c r="AO203" t="s">
        <v>48</v>
      </c>
      <c r="AP203" t="s">
        <v>48</v>
      </c>
      <c r="AQ203" t="s">
        <v>48</v>
      </c>
      <c r="AR203">
        <v>256</v>
      </c>
      <c r="AV203" t="s">
        <v>48</v>
      </c>
      <c r="AW203" t="s">
        <v>403</v>
      </c>
      <c r="AX203" s="2" t="s">
        <v>49</v>
      </c>
      <c r="AY203" s="2" t="s">
        <v>365</v>
      </c>
      <c r="BC203">
        <f>SUM(cna_product_database_catalog_website[[#This Row],[Box Length (cm)]]*cna_product_database_catalog_website[[#This Row],[Box Width (cm)]]*cna_product_database_catalog_website[[#This Row],[Box Height (cm)]]/1000000)</f>
        <v>0</v>
      </c>
      <c r="BD203">
        <f>SUM(cna_product_database_catalog_website[[#This Row],[Box CBM]]*35.3147)</f>
        <v>0</v>
      </c>
      <c r="BE203" t="s">
        <v>48</v>
      </c>
      <c r="BI20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03">
        <f>SUM(cna_product_database_catalog_website[[#This Row],[Carton CFT]]/61024)</f>
        <v>0</v>
      </c>
      <c r="BM203" t="s">
        <v>48</v>
      </c>
      <c r="BN203" t="s">
        <v>48</v>
      </c>
      <c r="BO203" t="s">
        <v>48</v>
      </c>
      <c r="BP203" t="s">
        <v>48</v>
      </c>
      <c r="BQ203" t="s">
        <v>48</v>
      </c>
      <c r="BS203" t="s">
        <v>48</v>
      </c>
      <c r="BT203" t="s">
        <v>48</v>
      </c>
      <c r="BU203" t="s">
        <v>48</v>
      </c>
      <c r="BW203" t="s">
        <v>48</v>
      </c>
      <c r="BX203" t="s">
        <v>48</v>
      </c>
      <c r="BY203" t="s">
        <v>48</v>
      </c>
      <c r="BZ203" t="s">
        <v>48</v>
      </c>
      <c r="CA203" t="s">
        <v>48</v>
      </c>
      <c r="CB203" t="s">
        <v>48</v>
      </c>
      <c r="CC203" t="s">
        <v>48</v>
      </c>
      <c r="CD203" t="s">
        <v>48</v>
      </c>
      <c r="CE203" t="s">
        <v>48</v>
      </c>
      <c r="CF203" t="s">
        <v>48</v>
      </c>
      <c r="CG203" t="s">
        <v>48</v>
      </c>
      <c r="CH203" t="s">
        <v>48</v>
      </c>
      <c r="CI203" t="s">
        <v>48</v>
      </c>
      <c r="CJ203" t="s">
        <v>48</v>
      </c>
    </row>
    <row r="204" spans="1:88" x14ac:dyDescent="0.25">
      <c r="A204" s="4" t="s">
        <v>1196</v>
      </c>
      <c r="B204" s="4" t="s">
        <v>1196</v>
      </c>
      <c r="C204" s="4" t="s">
        <v>2138</v>
      </c>
      <c r="D204" s="4" t="str">
        <f>cna_product_database_catalog_website[[#This Row],[MainCategory]]&amp;"&gt;"&amp;cna_product_database_catalog_website[[#This Row],[SubCategory1]]&amp;"&gt;"&amp;cna_product_database_catalog_website[[#This Row],[SubCategory2]]</f>
        <v>Step Lights&gt;Step Lights&gt;120V Step Light - White</v>
      </c>
      <c r="E204">
        <v>917</v>
      </c>
      <c r="F204" t="s">
        <v>730</v>
      </c>
      <c r="G204" s="3">
        <v>1003</v>
      </c>
      <c r="H204" s="8">
        <v>22</v>
      </c>
      <c r="I204" t="s">
        <v>730</v>
      </c>
      <c r="J204" t="s">
        <v>1354</v>
      </c>
      <c r="K204" t="s">
        <v>731</v>
      </c>
      <c r="L204" t="s">
        <v>1927</v>
      </c>
      <c r="M204" s="12" t="str">
        <f>HYPERLINK(cna_product_database_catalog_website[[#This Row],[Spec Sheet Link]], cna_product_database_catalog_website[[#Headers],[Spec Sheet Link]])</f>
        <v>Spec Sheet Link</v>
      </c>
      <c r="N204" t="s">
        <v>47</v>
      </c>
      <c r="O204" s="3">
        <v>1</v>
      </c>
      <c r="P204" s="3">
        <v>1</v>
      </c>
      <c r="Q204" t="s">
        <v>727</v>
      </c>
      <c r="R204" t="s">
        <v>53</v>
      </c>
      <c r="S204" t="s">
        <v>48</v>
      </c>
      <c r="T204" t="s">
        <v>48</v>
      </c>
      <c r="U204" t="s">
        <v>48</v>
      </c>
      <c r="V204" t="s">
        <v>48</v>
      </c>
      <c r="W204" t="s">
        <v>48</v>
      </c>
      <c r="X204" t="s">
        <v>48</v>
      </c>
      <c r="Y204" s="3" t="s">
        <v>48</v>
      </c>
      <c r="Z204" s="3" t="s">
        <v>48</v>
      </c>
      <c r="AA204" s="3" t="s">
        <v>60</v>
      </c>
      <c r="AB204" s="1" t="s">
        <v>48</v>
      </c>
      <c r="AC204" s="1" t="s">
        <v>48</v>
      </c>
      <c r="AD204" t="s">
        <v>48</v>
      </c>
      <c r="AE204"/>
      <c r="AF204" t="s">
        <v>48</v>
      </c>
      <c r="AG204" t="s">
        <v>48</v>
      </c>
      <c r="AH204" t="s">
        <v>48</v>
      </c>
      <c r="AI204" t="s">
        <v>48</v>
      </c>
      <c r="AL204" t="s">
        <v>48</v>
      </c>
      <c r="AO204" t="s">
        <v>48</v>
      </c>
      <c r="AP204" t="s">
        <v>48</v>
      </c>
      <c r="AQ204" t="s">
        <v>48</v>
      </c>
      <c r="AR204">
        <v>256</v>
      </c>
      <c r="AV204" t="s">
        <v>48</v>
      </c>
      <c r="AW204" t="s">
        <v>403</v>
      </c>
      <c r="AX204" s="2" t="s">
        <v>49</v>
      </c>
      <c r="AY204" s="2" t="s">
        <v>365</v>
      </c>
      <c r="BC204">
        <f>SUM(cna_product_database_catalog_website[[#This Row],[Box Length (cm)]]*cna_product_database_catalog_website[[#This Row],[Box Width (cm)]]*cna_product_database_catalog_website[[#This Row],[Box Height (cm)]]/1000000)</f>
        <v>0</v>
      </c>
      <c r="BD204">
        <f>SUM(cna_product_database_catalog_website[[#This Row],[Box CBM]]*35.3147)</f>
        <v>0</v>
      </c>
      <c r="BE204" t="s">
        <v>48</v>
      </c>
      <c r="BI20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04">
        <f>SUM(cna_product_database_catalog_website[[#This Row],[Carton CFT]]/61024)</f>
        <v>0</v>
      </c>
      <c r="BM204" t="s">
        <v>48</v>
      </c>
      <c r="BN204" t="s">
        <v>48</v>
      </c>
      <c r="BO204" t="s">
        <v>48</v>
      </c>
      <c r="BP204" t="s">
        <v>48</v>
      </c>
      <c r="BQ204" t="s">
        <v>48</v>
      </c>
      <c r="BS204" t="s">
        <v>48</v>
      </c>
      <c r="BT204" t="s">
        <v>48</v>
      </c>
      <c r="BU204" t="s">
        <v>48</v>
      </c>
      <c r="BW204" t="s">
        <v>48</v>
      </c>
      <c r="BX204" t="s">
        <v>48</v>
      </c>
      <c r="BY204" t="s">
        <v>48</v>
      </c>
      <c r="BZ204" t="s">
        <v>48</v>
      </c>
      <c r="CA204" t="s">
        <v>48</v>
      </c>
      <c r="CB204" t="s">
        <v>48</v>
      </c>
      <c r="CC204" t="s">
        <v>48</v>
      </c>
      <c r="CD204" t="s">
        <v>48</v>
      </c>
      <c r="CE204" t="s">
        <v>48</v>
      </c>
      <c r="CF204" t="s">
        <v>48</v>
      </c>
      <c r="CG204" t="s">
        <v>48</v>
      </c>
      <c r="CH204" t="s">
        <v>48</v>
      </c>
      <c r="CI204" t="s">
        <v>48</v>
      </c>
      <c r="CJ204" t="s">
        <v>48</v>
      </c>
    </row>
    <row r="205" spans="1:88" x14ac:dyDescent="0.25">
      <c r="A205" s="4" t="s">
        <v>1195</v>
      </c>
      <c r="B205" s="4" t="s">
        <v>2139</v>
      </c>
      <c r="C205" s="4" t="s">
        <v>2139</v>
      </c>
      <c r="D205" s="4" t="str">
        <f>cna_product_database_catalog_website[[#This Row],[MainCategory]]&amp;"&gt;"&amp;cna_product_database_catalog_website[[#This Row],[SubCategory1]]&amp;"&gt;"&amp;cna_product_database_catalog_website[[#This Row],[SubCategory2]]</f>
        <v>String Lights&gt;S14 String Lights&gt;S14 String Lights</v>
      </c>
      <c r="E205">
        <v>930</v>
      </c>
      <c r="F205" t="s">
        <v>1289</v>
      </c>
      <c r="G205" s="3">
        <v>1122</v>
      </c>
      <c r="H205" s="8">
        <v>32</v>
      </c>
      <c r="I205" t="s">
        <v>1289</v>
      </c>
      <c r="J205" t="s">
        <v>1290</v>
      </c>
      <c r="K205" t="s">
        <v>594</v>
      </c>
      <c r="L205" t="s">
        <v>595</v>
      </c>
      <c r="M205" s="12" t="str">
        <f>HYPERLINK(cna_product_database_catalog_website[[#This Row],[Spec Sheet Link]], cna_product_database_catalog_website[[#Headers],[Spec Sheet Link]])</f>
        <v>Spec Sheet Link</v>
      </c>
      <c r="N205" t="s">
        <v>47</v>
      </c>
      <c r="O205" s="3">
        <v>1</v>
      </c>
      <c r="P205" s="3">
        <v>1</v>
      </c>
      <c r="Q205" t="s">
        <v>370</v>
      </c>
      <c r="R205" t="s">
        <v>596</v>
      </c>
      <c r="S205" t="s">
        <v>86</v>
      </c>
      <c r="T205" t="s">
        <v>1046</v>
      </c>
      <c r="U205" t="s">
        <v>87</v>
      </c>
      <c r="V205" t="s">
        <v>48</v>
      </c>
      <c r="W205" t="s">
        <v>597</v>
      </c>
      <c r="X205" t="s">
        <v>70</v>
      </c>
      <c r="Y205" s="3" t="s">
        <v>48</v>
      </c>
      <c r="Z205" s="3" t="s">
        <v>1006</v>
      </c>
      <c r="AA205" s="3" t="s">
        <v>96</v>
      </c>
      <c r="AB205" s="1" t="s">
        <v>1139</v>
      </c>
      <c r="AC205" s="1" t="s">
        <v>1999</v>
      </c>
      <c r="AD205" t="s">
        <v>450</v>
      </c>
      <c r="AE205"/>
      <c r="AF205" t="s">
        <v>1161</v>
      </c>
      <c r="AG205" t="s">
        <v>1996</v>
      </c>
      <c r="AH205" t="s">
        <v>1997</v>
      </c>
      <c r="AI205" t="s">
        <v>598</v>
      </c>
      <c r="AK205" t="s">
        <v>1995</v>
      </c>
      <c r="AN205" t="s">
        <v>1993</v>
      </c>
      <c r="AO205" t="s">
        <v>48</v>
      </c>
      <c r="AP205" t="s">
        <v>1994</v>
      </c>
      <c r="AQ205" t="s">
        <v>48</v>
      </c>
      <c r="AR205">
        <v>1915</v>
      </c>
      <c r="AS205">
        <v>4.22</v>
      </c>
      <c r="AV205" t="s">
        <v>48</v>
      </c>
      <c r="AW205" t="s">
        <v>1044</v>
      </c>
      <c r="AX205" s="2">
        <v>8</v>
      </c>
      <c r="AY205" s="2">
        <v>8</v>
      </c>
      <c r="AZ205">
        <v>28</v>
      </c>
      <c r="BA205">
        <v>17</v>
      </c>
      <c r="BB205">
        <v>20</v>
      </c>
      <c r="BC205">
        <f>SUM(cna_product_database_catalog_website[[#This Row],[Box Length (cm)]]*cna_product_database_catalog_website[[#This Row],[Box Width (cm)]]*cna_product_database_catalog_website[[#This Row],[Box Height (cm)]]/1000000)</f>
        <v>9.5200000000000007E-3</v>
      </c>
      <c r="BD205">
        <f>SUM(cna_product_database_catalog_website[[#This Row],[Box CBM]]*35.3147)</f>
        <v>0.33619594400000002</v>
      </c>
      <c r="BE205" t="s">
        <v>48</v>
      </c>
      <c r="BI20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05">
        <f>SUM(cna_product_database_catalog_website[[#This Row],[Carton CFT]]/61024)</f>
        <v>0</v>
      </c>
      <c r="BM205" t="s">
        <v>48</v>
      </c>
      <c r="BN205"/>
      <c r="BO205" t="s">
        <v>48</v>
      </c>
      <c r="BP205" t="s">
        <v>48</v>
      </c>
      <c r="BQ205" t="s">
        <v>48</v>
      </c>
      <c r="BS205" t="s">
        <v>48</v>
      </c>
      <c r="BT205" t="s">
        <v>48</v>
      </c>
      <c r="BU205" t="s">
        <v>48</v>
      </c>
      <c r="BW205" t="s">
        <v>48</v>
      </c>
      <c r="BX205" t="s">
        <v>48</v>
      </c>
      <c r="BY205" t="s">
        <v>48</v>
      </c>
      <c r="BZ205" t="s">
        <v>48</v>
      </c>
      <c r="CA205" t="s">
        <v>48</v>
      </c>
      <c r="CB205" t="s">
        <v>48</v>
      </c>
      <c r="CC205" t="s">
        <v>48</v>
      </c>
      <c r="CD205" t="s">
        <v>48</v>
      </c>
      <c r="CE205" t="s">
        <v>48</v>
      </c>
      <c r="CF205" t="s">
        <v>48</v>
      </c>
      <c r="CG205" t="s">
        <v>48</v>
      </c>
      <c r="CH205" t="s">
        <v>48</v>
      </c>
      <c r="CI205" t="s">
        <v>1998</v>
      </c>
      <c r="CJ205" t="s">
        <v>48</v>
      </c>
    </row>
    <row r="206" spans="1:88" s="4" customFormat="1" x14ac:dyDescent="0.25">
      <c r="A206" s="4" t="s">
        <v>2140</v>
      </c>
      <c r="B206" s="4" t="s">
        <v>2158</v>
      </c>
      <c r="C206" s="4" t="s">
        <v>1734</v>
      </c>
      <c r="D206" s="4" t="str">
        <f>cna_product_database_catalog_website[[#This Row],[MainCategory]]&amp;"&gt;"&amp;cna_product_database_catalog_website[[#This Row],[SubCategory1]]&amp;"&gt;"&amp;cna_product_database_catalog_website[[#This Row],[SubCategory2]]</f>
        <v>PL &amp; PLC&gt;PL 13W 2-PIN &gt;PL 13W 2-PIN Replacement 4CCT</v>
      </c>
      <c r="E206" s="4">
        <v>940</v>
      </c>
      <c r="F206" s="4" t="s">
        <v>1268</v>
      </c>
      <c r="G206" s="5">
        <v>1214</v>
      </c>
      <c r="H206" s="9">
        <v>8.5</v>
      </c>
      <c r="I206" s="4" t="s">
        <v>1268</v>
      </c>
      <c r="J206" s="4" t="s">
        <v>1286</v>
      </c>
      <c r="K206" s="4" t="s">
        <v>557</v>
      </c>
      <c r="L206" s="4" t="s">
        <v>558</v>
      </c>
      <c r="M206" s="12" t="str">
        <f>HYPERLINK(cna_product_database_catalog_website[[#This Row],[Spec Sheet Link]], cna_product_database_catalog_website[[#Headers],[Spec Sheet Link]])</f>
        <v>Spec Sheet Link</v>
      </c>
      <c r="N206" s="4" t="s">
        <v>47</v>
      </c>
      <c r="O206" s="5">
        <v>1</v>
      </c>
      <c r="P206" s="5">
        <v>1</v>
      </c>
      <c r="Q206" s="4" t="s">
        <v>110</v>
      </c>
      <c r="R206" s="4" t="s">
        <v>559</v>
      </c>
      <c r="S206" s="4" t="s">
        <v>560</v>
      </c>
      <c r="T206" s="4" t="s">
        <v>1142</v>
      </c>
      <c r="U206" s="4" t="s">
        <v>419</v>
      </c>
      <c r="V206" s="4" t="s">
        <v>1556</v>
      </c>
      <c r="W206" s="4" t="s">
        <v>561</v>
      </c>
      <c r="X206" s="4" t="s">
        <v>1106</v>
      </c>
      <c r="Y206" s="5" t="s">
        <v>1012</v>
      </c>
      <c r="Z206" s="5" t="s">
        <v>1006</v>
      </c>
      <c r="AA206" s="5" t="s">
        <v>96</v>
      </c>
      <c r="AB206" s="6" t="s">
        <v>1009</v>
      </c>
      <c r="AC206" s="6" t="s">
        <v>1140</v>
      </c>
      <c r="AD206" s="4" t="s">
        <v>1510</v>
      </c>
      <c r="AF206" s="4" t="s">
        <v>48</v>
      </c>
      <c r="AG206" s="4" t="s">
        <v>1146</v>
      </c>
      <c r="AH206" s="4" t="s">
        <v>1148</v>
      </c>
      <c r="AJ206" s="4" t="s">
        <v>61</v>
      </c>
      <c r="AK206" s="4" t="s">
        <v>62</v>
      </c>
      <c r="AM206" s="4" t="s">
        <v>1147</v>
      </c>
      <c r="AN206" s="4" t="s">
        <v>214</v>
      </c>
      <c r="AO206" s="4" t="s">
        <v>48</v>
      </c>
      <c r="AP206" s="4" t="s">
        <v>48</v>
      </c>
      <c r="AQ206" s="4" t="s">
        <v>48</v>
      </c>
      <c r="AV206" s="4" t="s">
        <v>48</v>
      </c>
      <c r="AW206" s="4" t="s">
        <v>403</v>
      </c>
      <c r="AX206" s="7">
        <v>24</v>
      </c>
      <c r="AY206" s="7">
        <v>24</v>
      </c>
      <c r="BC206" s="4">
        <f>SUM(cna_product_database_catalog_website[[#This Row],[Box Length (cm)]]*cna_product_database_catalog_website[[#This Row],[Box Width (cm)]]*cna_product_database_catalog_website[[#This Row],[Box Height (cm)]]/1000000)</f>
        <v>0</v>
      </c>
      <c r="BD206" s="4">
        <f>SUM(cna_product_database_catalog_website[[#This Row],[Box CBM]]*35.3147)</f>
        <v>0</v>
      </c>
      <c r="BE206" s="4" t="s">
        <v>48</v>
      </c>
      <c r="BI206" s="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06" s="4">
        <f>SUM(cna_product_database_catalog_website[[#This Row],[Carton CFT]]/61024)</f>
        <v>0</v>
      </c>
      <c r="BM206" s="4" t="s">
        <v>48</v>
      </c>
      <c r="BO206" s="4" t="s">
        <v>48</v>
      </c>
      <c r="BP206" s="4" t="s">
        <v>48</v>
      </c>
      <c r="BQ206" s="4" t="s">
        <v>48</v>
      </c>
      <c r="BS206" s="4" t="s">
        <v>48</v>
      </c>
      <c r="BT206" s="4" t="s">
        <v>1501</v>
      </c>
      <c r="BU206" s="4" t="s">
        <v>48</v>
      </c>
      <c r="BW206" s="4" t="s">
        <v>48</v>
      </c>
      <c r="BX206" s="4" t="s">
        <v>48</v>
      </c>
      <c r="BY206" s="4" t="s">
        <v>48</v>
      </c>
      <c r="BZ206" s="4" t="s">
        <v>48</v>
      </c>
      <c r="CA206" s="4" t="s">
        <v>48</v>
      </c>
      <c r="CB206" s="4" t="s">
        <v>48</v>
      </c>
      <c r="CC206" s="4" t="s">
        <v>48</v>
      </c>
      <c r="CD206" s="4" t="s">
        <v>48</v>
      </c>
      <c r="CE206" s="4" t="s">
        <v>48</v>
      </c>
      <c r="CF206" s="4" t="s">
        <v>48</v>
      </c>
      <c r="CG206" s="4" t="s">
        <v>48</v>
      </c>
      <c r="CH206" s="4" t="s">
        <v>48</v>
      </c>
      <c r="CI206" s="4" t="s">
        <v>48</v>
      </c>
      <c r="CJ206" t="s">
        <v>1515</v>
      </c>
    </row>
    <row r="207" spans="1:88" s="4" customFormat="1" x14ac:dyDescent="0.25">
      <c r="A207" s="4" t="s">
        <v>2140</v>
      </c>
      <c r="B207" s="4" t="s">
        <v>2141</v>
      </c>
      <c r="C207" s="4" t="s">
        <v>1735</v>
      </c>
      <c r="D207" s="4" t="str">
        <f>cna_product_database_catalog_website[[#This Row],[MainCategory]]&amp;"&gt;"&amp;cna_product_database_catalog_website[[#This Row],[SubCategory1]]&amp;"&gt;"&amp;cna_product_database_catalog_website[[#This Row],[SubCategory2]]</f>
        <v>PL &amp; PLC&gt;PLC 13W 4-PIN &gt;PLC 13W 4-PIN Replacement 5CCT</v>
      </c>
      <c r="E207" s="4">
        <v>945</v>
      </c>
      <c r="F207" s="4" t="s">
        <v>1504</v>
      </c>
      <c r="G207" s="5">
        <v>168</v>
      </c>
      <c r="H207" s="9">
        <v>13.5</v>
      </c>
      <c r="I207" s="4" t="s">
        <v>1504</v>
      </c>
      <c r="J207" s="4" t="s">
        <v>1505</v>
      </c>
      <c r="K207" s="4" t="s">
        <v>1502</v>
      </c>
      <c r="L207" s="4" t="s">
        <v>1503</v>
      </c>
      <c r="M207" s="12" t="str">
        <f>HYPERLINK(cna_product_database_catalog_website[[#This Row],[Spec Sheet Link]], cna_product_database_catalog_website[[#Headers],[Spec Sheet Link]])</f>
        <v>Spec Sheet Link</v>
      </c>
      <c r="N207" s="4" t="s">
        <v>47</v>
      </c>
      <c r="O207" s="5">
        <v>1</v>
      </c>
      <c r="P207" s="5">
        <v>1</v>
      </c>
      <c r="Q207" s="4" t="s">
        <v>351</v>
      </c>
      <c r="R207" s="4" t="s">
        <v>1165</v>
      </c>
      <c r="S207" t="s">
        <v>1506</v>
      </c>
      <c r="T207" s="4" t="s">
        <v>1507</v>
      </c>
      <c r="U207" s="4" t="s">
        <v>419</v>
      </c>
      <c r="V207" s="4" t="s">
        <v>1557</v>
      </c>
      <c r="W207" s="4" t="s">
        <v>1151</v>
      </c>
      <c r="X207" s="4" t="s">
        <v>244</v>
      </c>
      <c r="Y207" s="5" t="s">
        <v>1508</v>
      </c>
      <c r="Z207" s="5" t="s">
        <v>1006</v>
      </c>
      <c r="AA207" s="5" t="s">
        <v>96</v>
      </c>
      <c r="AB207" s="6" t="s">
        <v>1509</v>
      </c>
      <c r="AC207" s="6"/>
      <c r="AD207" s="4" t="s">
        <v>1510</v>
      </c>
      <c r="AG207" s="4" t="s">
        <v>1511</v>
      </c>
      <c r="AH207" s="4" t="s">
        <v>180</v>
      </c>
      <c r="AI207" s="4" t="s">
        <v>1512</v>
      </c>
      <c r="AJ207" s="4" t="s">
        <v>75</v>
      </c>
      <c r="AK207" s="4" t="s">
        <v>76</v>
      </c>
      <c r="AL207" s="4" t="s">
        <v>1512</v>
      </c>
      <c r="AN207" t="s">
        <v>180</v>
      </c>
      <c r="AW207" t="s">
        <v>633</v>
      </c>
      <c r="AX207" s="7">
        <v>50</v>
      </c>
      <c r="AY207" s="7">
        <v>50</v>
      </c>
      <c r="BC207" s="4">
        <f>SUM(cna_product_database_catalog_website[[#This Row],[Box Length (cm)]]*cna_product_database_catalog_website[[#This Row],[Box Width (cm)]]*cna_product_database_catalog_website[[#This Row],[Box Height (cm)]]/1000000)</f>
        <v>0</v>
      </c>
      <c r="BD207" s="4">
        <f>SUM(cna_product_database_catalog_website[[#This Row],[Box CBM]]*35.3147)</f>
        <v>0</v>
      </c>
      <c r="BI207" s="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07" s="4">
        <f>SUM(cna_product_database_catalog_website[[#This Row],[Carton CFT]]/61024)</f>
        <v>0</v>
      </c>
      <c r="BP207" s="4" t="s">
        <v>1513</v>
      </c>
      <c r="BT207" s="4" t="s">
        <v>1501</v>
      </c>
      <c r="CJ207" t="s">
        <v>1515</v>
      </c>
    </row>
    <row r="208" spans="1:88" x14ac:dyDescent="0.25">
      <c r="A208" s="4" t="s">
        <v>2140</v>
      </c>
      <c r="B208" s="4" t="s">
        <v>2141</v>
      </c>
      <c r="C208" s="4" t="s">
        <v>1736</v>
      </c>
      <c r="D208" s="4" t="str">
        <f>cna_product_database_catalog_website[[#This Row],[MainCategory]]&amp;"&gt;"&amp;cna_product_database_catalog_website[[#This Row],[SubCategory1]]&amp;"&gt;"&amp;cna_product_database_catalog_website[[#This Row],[SubCategory2]]</f>
        <v>PL &amp; PLC&gt;PLC 13W 4-PIN &gt;PLC 13W 4-PIN Replacement 30K</v>
      </c>
      <c r="E208">
        <v>946</v>
      </c>
      <c r="F208" t="s">
        <v>562</v>
      </c>
      <c r="G208" s="3">
        <v>1023</v>
      </c>
      <c r="H208" s="8">
        <v>10.5</v>
      </c>
      <c r="I208" t="s">
        <v>562</v>
      </c>
      <c r="J208" t="s">
        <v>1285</v>
      </c>
      <c r="K208" t="s">
        <v>563</v>
      </c>
      <c r="L208" t="s">
        <v>564</v>
      </c>
      <c r="M208" s="12" t="str">
        <f>HYPERLINK(cna_product_database_catalog_website[[#This Row],[Spec Sheet Link]], cna_product_database_catalog_website[[#Headers],[Spec Sheet Link]])</f>
        <v>Spec Sheet Link</v>
      </c>
      <c r="N208" t="s">
        <v>47</v>
      </c>
      <c r="O208" s="3">
        <v>1</v>
      </c>
      <c r="P208" s="3">
        <v>1</v>
      </c>
      <c r="Q208" t="s">
        <v>351</v>
      </c>
      <c r="R208" t="s">
        <v>559</v>
      </c>
      <c r="S208" t="s">
        <v>407</v>
      </c>
      <c r="T208" t="s">
        <v>1143</v>
      </c>
      <c r="U208" t="s">
        <v>565</v>
      </c>
      <c r="V208" t="s">
        <v>1558</v>
      </c>
      <c r="W208" t="s">
        <v>1151</v>
      </c>
      <c r="X208" t="s">
        <v>78</v>
      </c>
      <c r="Y208" s="3" t="s">
        <v>1015</v>
      </c>
      <c r="Z208" s="3" t="s">
        <v>1006</v>
      </c>
      <c r="AA208" s="3" t="s">
        <v>96</v>
      </c>
      <c r="AB208" s="6" t="s">
        <v>1009</v>
      </c>
      <c r="AC208" s="1" t="s">
        <v>240</v>
      </c>
      <c r="AD208" t="s">
        <v>1141</v>
      </c>
      <c r="AE208"/>
      <c r="AF208" t="s">
        <v>48</v>
      </c>
      <c r="AG208" t="s">
        <v>163</v>
      </c>
      <c r="AH208" t="s">
        <v>164</v>
      </c>
      <c r="AJ208" t="s">
        <v>379</v>
      </c>
      <c r="AK208" t="s">
        <v>566</v>
      </c>
      <c r="AM208" t="s">
        <v>379</v>
      </c>
      <c r="AN208" t="s">
        <v>566</v>
      </c>
      <c r="AR208">
        <v>360</v>
      </c>
      <c r="AS208">
        <v>0.79</v>
      </c>
      <c r="AV208" t="s">
        <v>48</v>
      </c>
      <c r="AW208" t="s">
        <v>633</v>
      </c>
      <c r="AX208" s="2" t="s">
        <v>229</v>
      </c>
      <c r="AY208" s="2" t="s">
        <v>169</v>
      </c>
      <c r="BC208">
        <f>SUM(cna_product_database_catalog_website[[#This Row],[Box Length (cm)]]*cna_product_database_catalog_website[[#This Row],[Box Width (cm)]]*cna_product_database_catalog_website[[#This Row],[Box Height (cm)]]/1000000)</f>
        <v>0</v>
      </c>
      <c r="BD208">
        <f>SUM(cna_product_database_catalog_website[[#This Row],[Box CBM]]*35.3147)</f>
        <v>0</v>
      </c>
      <c r="BE208" t="s">
        <v>48</v>
      </c>
      <c r="BI20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08">
        <f>SUM(cna_product_database_catalog_website[[#This Row],[Carton CFT]]/61024)</f>
        <v>0</v>
      </c>
      <c r="BM208" t="s">
        <v>48</v>
      </c>
      <c r="BN208"/>
      <c r="BO208" t="s">
        <v>48</v>
      </c>
      <c r="BP208" t="s">
        <v>1514</v>
      </c>
      <c r="BQ208" t="s">
        <v>48</v>
      </c>
      <c r="BS208" t="s">
        <v>48</v>
      </c>
      <c r="BT208" t="s">
        <v>1501</v>
      </c>
      <c r="BU208" t="s">
        <v>48</v>
      </c>
      <c r="BW208" t="s">
        <v>48</v>
      </c>
      <c r="BX208" t="s">
        <v>48</v>
      </c>
      <c r="BY208" t="s">
        <v>48</v>
      </c>
      <c r="BZ208" t="s">
        <v>48</v>
      </c>
      <c r="CA208" t="s">
        <v>48</v>
      </c>
      <c r="CB208" t="s">
        <v>48</v>
      </c>
      <c r="CC208" t="s">
        <v>48</v>
      </c>
      <c r="CD208" t="s">
        <v>48</v>
      </c>
      <c r="CE208" t="s">
        <v>48</v>
      </c>
      <c r="CF208" t="s">
        <v>48</v>
      </c>
      <c r="CG208" t="s">
        <v>48</v>
      </c>
      <c r="CH208" t="s">
        <v>48</v>
      </c>
      <c r="CI208" t="s">
        <v>48</v>
      </c>
      <c r="CJ208" t="s">
        <v>1515</v>
      </c>
    </row>
    <row r="209" spans="1:88" x14ac:dyDescent="0.25">
      <c r="A209" s="4" t="s">
        <v>2140</v>
      </c>
      <c r="B209" s="4" t="s">
        <v>2141</v>
      </c>
      <c r="C209" s="4" t="s">
        <v>1737</v>
      </c>
      <c r="D209" s="4" t="str">
        <f>cna_product_database_catalog_website[[#This Row],[MainCategory]]&amp;"&gt;"&amp;cna_product_database_catalog_website[[#This Row],[SubCategory1]]&amp;"&gt;"&amp;cna_product_database_catalog_website[[#This Row],[SubCategory2]]</f>
        <v>PL &amp; PLC&gt;PLC 13W 4-PIN &gt;PLC 13W 4-PIN Replacement 40K</v>
      </c>
      <c r="E209">
        <v>947</v>
      </c>
      <c r="F209" t="s">
        <v>567</v>
      </c>
      <c r="G209" s="3">
        <v>916</v>
      </c>
      <c r="H209" s="8">
        <v>12.5</v>
      </c>
      <c r="I209" t="s">
        <v>567</v>
      </c>
      <c r="J209" t="s">
        <v>1284</v>
      </c>
      <c r="K209" t="s">
        <v>563</v>
      </c>
      <c r="L209" t="s">
        <v>564</v>
      </c>
      <c r="M209" s="12" t="str">
        <f>HYPERLINK(cna_product_database_catalog_website[[#This Row],[Spec Sheet Link]], cna_product_database_catalog_website[[#Headers],[Spec Sheet Link]])</f>
        <v>Spec Sheet Link</v>
      </c>
      <c r="N209" t="s">
        <v>47</v>
      </c>
      <c r="O209" s="3">
        <v>1</v>
      </c>
      <c r="P209" s="3">
        <v>1</v>
      </c>
      <c r="Q209" t="s">
        <v>351</v>
      </c>
      <c r="R209" t="s">
        <v>559</v>
      </c>
      <c r="S209" t="s">
        <v>407</v>
      </c>
      <c r="T209" t="s">
        <v>1143</v>
      </c>
      <c r="U209" t="s">
        <v>565</v>
      </c>
      <c r="V209" t="s">
        <v>1558</v>
      </c>
      <c r="W209" t="s">
        <v>1151</v>
      </c>
      <c r="X209" t="s">
        <v>58</v>
      </c>
      <c r="Y209" s="3" t="s">
        <v>1015</v>
      </c>
      <c r="Z209" s="3" t="s">
        <v>1006</v>
      </c>
      <c r="AA209" s="3" t="s">
        <v>96</v>
      </c>
      <c r="AB209" s="1" t="s">
        <v>1009</v>
      </c>
      <c r="AC209" s="1" t="s">
        <v>240</v>
      </c>
      <c r="AD209" t="s">
        <v>1141</v>
      </c>
      <c r="AE209"/>
      <c r="AF209" t="s">
        <v>48</v>
      </c>
      <c r="AG209" t="s">
        <v>163</v>
      </c>
      <c r="AH209" t="s">
        <v>164</v>
      </c>
      <c r="AJ209" t="s">
        <v>379</v>
      </c>
      <c r="AK209" t="s">
        <v>566</v>
      </c>
      <c r="AM209" t="s">
        <v>379</v>
      </c>
      <c r="AN209" t="s">
        <v>566</v>
      </c>
      <c r="AR209">
        <v>400</v>
      </c>
      <c r="AS209">
        <v>0.88</v>
      </c>
      <c r="AV209" t="s">
        <v>48</v>
      </c>
      <c r="AW209" t="s">
        <v>633</v>
      </c>
      <c r="AX209" s="2" t="s">
        <v>229</v>
      </c>
      <c r="AY209" s="2" t="s">
        <v>169</v>
      </c>
      <c r="BC209">
        <f>SUM(cna_product_database_catalog_website[[#This Row],[Box Length (cm)]]*cna_product_database_catalog_website[[#This Row],[Box Width (cm)]]*cna_product_database_catalog_website[[#This Row],[Box Height (cm)]]/1000000)</f>
        <v>0</v>
      </c>
      <c r="BD209">
        <f>SUM(cna_product_database_catalog_website[[#This Row],[Box CBM]]*35.3147)</f>
        <v>0</v>
      </c>
      <c r="BE209" t="s">
        <v>48</v>
      </c>
      <c r="BI20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09">
        <f>SUM(cna_product_database_catalog_website[[#This Row],[Carton CFT]]/61024)</f>
        <v>0</v>
      </c>
      <c r="BM209" t="s">
        <v>48</v>
      </c>
      <c r="BN209"/>
      <c r="BO209" t="s">
        <v>48</v>
      </c>
      <c r="BP209" t="s">
        <v>48</v>
      </c>
      <c r="BQ209" t="s">
        <v>48</v>
      </c>
      <c r="BS209" t="s">
        <v>48</v>
      </c>
      <c r="BT209" t="s">
        <v>1501</v>
      </c>
      <c r="BU209" t="s">
        <v>48</v>
      </c>
      <c r="BW209" t="s">
        <v>48</v>
      </c>
      <c r="BX209" t="s">
        <v>48</v>
      </c>
      <c r="BY209" t="s">
        <v>48</v>
      </c>
      <c r="BZ209" t="s">
        <v>48</v>
      </c>
      <c r="CA209" t="s">
        <v>48</v>
      </c>
      <c r="CB209" t="s">
        <v>48</v>
      </c>
      <c r="CC209" t="s">
        <v>48</v>
      </c>
      <c r="CD209" t="s">
        <v>48</v>
      </c>
      <c r="CE209" t="s">
        <v>48</v>
      </c>
      <c r="CF209" t="s">
        <v>48</v>
      </c>
      <c r="CG209" t="s">
        <v>48</v>
      </c>
      <c r="CH209" t="s">
        <v>48</v>
      </c>
      <c r="CI209" t="s">
        <v>48</v>
      </c>
      <c r="CJ209" t="s">
        <v>1515</v>
      </c>
    </row>
    <row r="210" spans="1:88" s="4" customFormat="1" x14ac:dyDescent="0.25">
      <c r="A210" s="4" t="s">
        <v>2140</v>
      </c>
      <c r="B210" s="4" t="s">
        <v>2142</v>
      </c>
      <c r="C210" s="4" t="s">
        <v>1738</v>
      </c>
      <c r="D210" s="4" t="str">
        <f>cna_product_database_catalog_website[[#This Row],[MainCategory]]&amp;"&gt;"&amp;cna_product_database_catalog_website[[#This Row],[SubCategory1]]&amp;"&gt;"&amp;cna_product_database_catalog_website[[#This Row],[SubCategory2]]</f>
        <v>PL &amp; PLC&gt;PLC 26W 32W 42W 4-PIN &gt;PLC 26W 32W 42W 4-PIN Replacement 40K</v>
      </c>
      <c r="E210" s="4">
        <v>950</v>
      </c>
      <c r="F210" s="4" t="s">
        <v>1269</v>
      </c>
      <c r="G210" s="5">
        <v>1215</v>
      </c>
      <c r="H210" s="9">
        <v>15.5</v>
      </c>
      <c r="I210" s="4" t="s">
        <v>1269</v>
      </c>
      <c r="J210" s="4" t="s">
        <v>1287</v>
      </c>
      <c r="K210" s="4" t="s">
        <v>568</v>
      </c>
      <c r="L210" s="4" t="s">
        <v>569</v>
      </c>
      <c r="M210" s="12" t="str">
        <f>HYPERLINK(cna_product_database_catalog_website[[#This Row],[Spec Sheet Link]], cna_product_database_catalog_website[[#Headers],[Spec Sheet Link]])</f>
        <v>Spec Sheet Link</v>
      </c>
      <c r="N210" s="4" t="s">
        <v>47</v>
      </c>
      <c r="O210" s="5">
        <v>1</v>
      </c>
      <c r="P210" s="5">
        <v>1</v>
      </c>
      <c r="Q210" s="4" t="s">
        <v>239</v>
      </c>
      <c r="R210" s="4" t="s">
        <v>559</v>
      </c>
      <c r="S210" s="4" t="s">
        <v>570</v>
      </c>
      <c r="T210" s="4" t="s">
        <v>1144</v>
      </c>
      <c r="U210" s="4" t="s">
        <v>419</v>
      </c>
      <c r="V210" t="s">
        <v>1559</v>
      </c>
      <c r="W210" s="4" t="s">
        <v>571</v>
      </c>
      <c r="X210" s="4" t="s">
        <v>58</v>
      </c>
      <c r="Y210" s="5" t="s">
        <v>1015</v>
      </c>
      <c r="Z210" s="5" t="s">
        <v>1006</v>
      </c>
      <c r="AA210" s="5" t="s">
        <v>96</v>
      </c>
      <c r="AB210" s="6" t="s">
        <v>1009</v>
      </c>
      <c r="AC210" s="6" t="s">
        <v>1140</v>
      </c>
      <c r="AD210" s="4" t="s">
        <v>1141</v>
      </c>
      <c r="AF210" s="4" t="s">
        <v>48</v>
      </c>
      <c r="AG210" s="4" t="s">
        <v>1149</v>
      </c>
      <c r="AH210" s="4" t="s">
        <v>1150</v>
      </c>
      <c r="AJ210" s="4" t="s">
        <v>380</v>
      </c>
      <c r="AK210" s="4" t="s">
        <v>76</v>
      </c>
      <c r="AM210" s="4" t="s">
        <v>380</v>
      </c>
      <c r="AN210" s="4" t="s">
        <v>76</v>
      </c>
      <c r="AQ210" s="4" t="s">
        <v>48</v>
      </c>
      <c r="AV210" s="4" t="s">
        <v>48</v>
      </c>
      <c r="AW210" s="4" t="s">
        <v>403</v>
      </c>
      <c r="AX210" s="7" t="s">
        <v>48</v>
      </c>
      <c r="AY210" s="7" t="s">
        <v>48</v>
      </c>
      <c r="BC210" s="4">
        <f>SUM(cna_product_database_catalog_website[[#This Row],[Box Length (cm)]]*cna_product_database_catalog_website[[#This Row],[Box Width (cm)]]*cna_product_database_catalog_website[[#This Row],[Box Height (cm)]]/1000000)</f>
        <v>0</v>
      </c>
      <c r="BD210" s="4">
        <f>SUM(cna_product_database_catalog_website[[#This Row],[Box CBM]]*35.3147)</f>
        <v>0</v>
      </c>
      <c r="BE210" s="4" t="s">
        <v>48</v>
      </c>
      <c r="BI210" s="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10" s="4">
        <f>SUM(cna_product_database_catalog_website[[#This Row],[Carton CFT]]/61024)</f>
        <v>0</v>
      </c>
      <c r="BM210" s="4" t="s">
        <v>48</v>
      </c>
      <c r="BO210" s="4" t="s">
        <v>48</v>
      </c>
      <c r="BP210" s="4" t="s">
        <v>48</v>
      </c>
      <c r="BQ210" s="4" t="s">
        <v>48</v>
      </c>
      <c r="BS210" s="4" t="s">
        <v>48</v>
      </c>
      <c r="BT210" t="s">
        <v>1501</v>
      </c>
      <c r="BU210" s="4" t="s">
        <v>48</v>
      </c>
      <c r="BW210" s="4" t="s">
        <v>48</v>
      </c>
      <c r="BX210" s="4" t="s">
        <v>48</v>
      </c>
      <c r="BY210" s="4" t="s">
        <v>48</v>
      </c>
      <c r="BZ210" s="4" t="s">
        <v>48</v>
      </c>
      <c r="CA210" s="4" t="s">
        <v>48</v>
      </c>
      <c r="CB210" s="4" t="s">
        <v>48</v>
      </c>
      <c r="CC210" s="4" t="s">
        <v>48</v>
      </c>
      <c r="CD210" s="4" t="s">
        <v>48</v>
      </c>
      <c r="CE210" s="4" t="s">
        <v>48</v>
      </c>
      <c r="CF210" s="4" t="s">
        <v>48</v>
      </c>
      <c r="CG210" s="4" t="s">
        <v>48</v>
      </c>
      <c r="CH210" s="4" t="s">
        <v>48</v>
      </c>
      <c r="CI210" s="4" t="s">
        <v>48</v>
      </c>
      <c r="CJ210" t="s">
        <v>1515</v>
      </c>
    </row>
    <row r="211" spans="1:88" x14ac:dyDescent="0.25">
      <c r="A211" s="4" t="s">
        <v>2140</v>
      </c>
      <c r="B211" s="4" t="s">
        <v>2159</v>
      </c>
      <c r="C211" s="4" t="s">
        <v>1739</v>
      </c>
      <c r="D211" s="4" t="str">
        <f>cna_product_database_catalog_website[[#This Row],[MainCategory]]&amp;"&gt;"&amp;cna_product_database_catalog_website[[#This Row],[SubCategory1]]&amp;"&gt;"&amp;cna_product_database_catalog_website[[#This Row],[SubCategory2]]</f>
        <v>PL &amp; PLC&gt;PLC 26W 32W 42W 4-PIN&gt;PLC 26W 32W 42W 4-PIN Replacement 30K</v>
      </c>
      <c r="E211">
        <v>951</v>
      </c>
      <c r="F211" t="s">
        <v>572</v>
      </c>
      <c r="G211" s="3">
        <v>917</v>
      </c>
      <c r="H211" s="8">
        <v>12.5</v>
      </c>
      <c r="I211" t="s">
        <v>572</v>
      </c>
      <c r="J211" t="s">
        <v>1288</v>
      </c>
      <c r="K211" t="s">
        <v>573</v>
      </c>
      <c r="L211" t="s">
        <v>574</v>
      </c>
      <c r="M211" s="12" t="str">
        <f>HYPERLINK(cna_product_database_catalog_website[[#This Row],[Spec Sheet Link]], cna_product_database_catalog_website[[#Headers],[Spec Sheet Link]])</f>
        <v>Spec Sheet Link</v>
      </c>
      <c r="N211" t="s">
        <v>47</v>
      </c>
      <c r="O211" s="3">
        <v>1</v>
      </c>
      <c r="P211" s="3">
        <v>1</v>
      </c>
      <c r="Q211" t="s">
        <v>575</v>
      </c>
      <c r="R211" t="s">
        <v>559</v>
      </c>
      <c r="S211" t="s">
        <v>576</v>
      </c>
      <c r="T211" t="s">
        <v>1145</v>
      </c>
      <c r="U211" t="s">
        <v>565</v>
      </c>
      <c r="V211" t="s">
        <v>1559</v>
      </c>
      <c r="W211" t="s">
        <v>1152</v>
      </c>
      <c r="X211" t="s">
        <v>78</v>
      </c>
      <c r="Y211" s="3" t="s">
        <v>1015</v>
      </c>
      <c r="Z211" s="3" t="s">
        <v>1006</v>
      </c>
      <c r="AA211" s="3" t="s">
        <v>96</v>
      </c>
      <c r="AB211" s="1" t="s">
        <v>1009</v>
      </c>
      <c r="AC211" s="1" t="s">
        <v>240</v>
      </c>
      <c r="AD211" t="s">
        <v>1141</v>
      </c>
      <c r="AE211"/>
      <c r="AF211" t="s">
        <v>48</v>
      </c>
      <c r="AG211" t="s">
        <v>577</v>
      </c>
      <c r="AH211" t="s">
        <v>578</v>
      </c>
      <c r="AJ211" t="s">
        <v>379</v>
      </c>
      <c r="AK211" t="s">
        <v>566</v>
      </c>
      <c r="AN211" t="s">
        <v>578</v>
      </c>
      <c r="AR211">
        <v>487</v>
      </c>
      <c r="AS211">
        <v>1.07</v>
      </c>
      <c r="AV211" t="s">
        <v>48</v>
      </c>
      <c r="AW211" t="s">
        <v>633</v>
      </c>
      <c r="AX211" s="2" t="s">
        <v>229</v>
      </c>
      <c r="AY211" s="2" t="s">
        <v>169</v>
      </c>
      <c r="BC211">
        <f>SUM(cna_product_database_catalog_website[[#This Row],[Box Length (cm)]]*cna_product_database_catalog_website[[#This Row],[Box Width (cm)]]*cna_product_database_catalog_website[[#This Row],[Box Height (cm)]]/1000000)</f>
        <v>0</v>
      </c>
      <c r="BD211">
        <f>SUM(cna_product_database_catalog_website[[#This Row],[Box CBM]]*35.3147)</f>
        <v>0</v>
      </c>
      <c r="BE211" t="s">
        <v>48</v>
      </c>
      <c r="BI21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11">
        <f>SUM(cna_product_database_catalog_website[[#This Row],[Carton CFT]]/61024)</f>
        <v>0</v>
      </c>
      <c r="BM211" t="s">
        <v>48</v>
      </c>
      <c r="BN211"/>
      <c r="BO211" t="s">
        <v>48</v>
      </c>
      <c r="BP211" t="s">
        <v>48</v>
      </c>
      <c r="BQ211" t="s">
        <v>48</v>
      </c>
      <c r="BS211" t="s">
        <v>48</v>
      </c>
      <c r="BT211" t="s">
        <v>1501</v>
      </c>
      <c r="BU211" t="s">
        <v>48</v>
      </c>
      <c r="BW211" t="s">
        <v>48</v>
      </c>
      <c r="BX211" t="s">
        <v>48</v>
      </c>
      <c r="BY211" t="s">
        <v>48</v>
      </c>
      <c r="BZ211" t="s">
        <v>48</v>
      </c>
      <c r="CA211" t="s">
        <v>48</v>
      </c>
      <c r="CB211" t="s">
        <v>48</v>
      </c>
      <c r="CC211" t="s">
        <v>48</v>
      </c>
      <c r="CD211" t="s">
        <v>48</v>
      </c>
      <c r="CE211" t="s">
        <v>48</v>
      </c>
      <c r="CF211" t="s">
        <v>48</v>
      </c>
      <c r="CG211" t="s">
        <v>48</v>
      </c>
      <c r="CH211" t="s">
        <v>48</v>
      </c>
      <c r="CI211" t="s">
        <v>48</v>
      </c>
      <c r="CJ211" t="s">
        <v>1515</v>
      </c>
    </row>
    <row r="212" spans="1:88" x14ac:dyDescent="0.25">
      <c r="A212" s="4" t="s">
        <v>2143</v>
      </c>
      <c r="B212" s="4" t="s">
        <v>2147</v>
      </c>
      <c r="C212" s="4" t="s">
        <v>1743</v>
      </c>
      <c r="D212" s="4" t="str">
        <f>cna_product_database_catalog_website[[#This Row],[MainCategory]]&amp;"&gt;"&amp;cna_product_database_catalog_website[[#This Row],[SubCategory1]]&amp;"&gt;"&amp;cna_product_database_catalog_website[[#This Row],[SubCategory2]]</f>
        <v>Tubes&gt;T8 Hybrid (Type A &amp; Type B)&gt;T8 Hybrid 40K</v>
      </c>
      <c r="E212">
        <v>970</v>
      </c>
      <c r="F212" t="s">
        <v>1898</v>
      </c>
      <c r="G212" s="3">
        <v>1014</v>
      </c>
      <c r="H212" s="8">
        <v>7.5</v>
      </c>
      <c r="I212" t="s">
        <v>1898</v>
      </c>
      <c r="J212" t="s">
        <v>581</v>
      </c>
      <c r="K212" t="s">
        <v>582</v>
      </c>
      <c r="L212" t="s">
        <v>1163</v>
      </c>
      <c r="M212" s="12" t="str">
        <f>HYPERLINK(cna_product_database_catalog_website[[#This Row],[Spec Sheet Link]], cna_product_database_catalog_website[[#Headers],[Spec Sheet Link]])</f>
        <v>Spec Sheet Link</v>
      </c>
      <c r="N212" t="s">
        <v>47</v>
      </c>
      <c r="O212" s="3">
        <v>1</v>
      </c>
      <c r="P212" s="3">
        <v>1</v>
      </c>
      <c r="Q212" t="s">
        <v>253</v>
      </c>
      <c r="R212" t="s">
        <v>1165</v>
      </c>
      <c r="S212" t="s">
        <v>1154</v>
      </c>
      <c r="T212" t="s">
        <v>1166</v>
      </c>
      <c r="U212" t="s">
        <v>419</v>
      </c>
      <c r="V212" t="s">
        <v>48</v>
      </c>
      <c r="W212" t="s">
        <v>1167</v>
      </c>
      <c r="X212" t="s">
        <v>58</v>
      </c>
      <c r="Y212" s="3" t="s">
        <v>1016</v>
      </c>
      <c r="Z212" s="3" t="s">
        <v>1006</v>
      </c>
      <c r="AA212" s="3" t="s">
        <v>96</v>
      </c>
      <c r="AB212" s="1" t="s">
        <v>48</v>
      </c>
      <c r="AC212" s="1" t="s">
        <v>48</v>
      </c>
      <c r="AD212" t="s">
        <v>1168</v>
      </c>
      <c r="AE212"/>
      <c r="AF212" t="s">
        <v>584</v>
      </c>
      <c r="AG212" t="s">
        <v>48</v>
      </c>
      <c r="AH212" t="s">
        <v>48</v>
      </c>
      <c r="AI212" t="s">
        <v>48</v>
      </c>
      <c r="AL212" t="s">
        <v>48</v>
      </c>
      <c r="AO212" t="s">
        <v>48</v>
      </c>
      <c r="AP212" t="s">
        <v>48</v>
      </c>
      <c r="AQ212" t="s">
        <v>48</v>
      </c>
      <c r="AR212">
        <v>250</v>
      </c>
      <c r="AV212" t="s">
        <v>48</v>
      </c>
      <c r="AW212" t="s">
        <v>403</v>
      </c>
      <c r="AX212" s="2" t="s">
        <v>80</v>
      </c>
      <c r="AY212" s="2" t="s">
        <v>80</v>
      </c>
      <c r="BC212">
        <f>SUM(cna_product_database_catalog_website[[#This Row],[Box Length (cm)]]*cna_product_database_catalog_website[[#This Row],[Box Width (cm)]]*cna_product_database_catalog_website[[#This Row],[Box Height (cm)]]/1000000)</f>
        <v>0</v>
      </c>
      <c r="BD212">
        <f>SUM(cna_product_database_catalog_website[[#This Row],[Box CBM]]*35.3147)</f>
        <v>0</v>
      </c>
      <c r="BE212" t="s">
        <v>48</v>
      </c>
      <c r="BI21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12">
        <f>SUM(cna_product_database_catalog_website[[#This Row],[Carton CFT]]/61024)</f>
        <v>0</v>
      </c>
      <c r="BM212" t="s">
        <v>48</v>
      </c>
      <c r="BN212"/>
      <c r="BO212" t="s">
        <v>48</v>
      </c>
      <c r="BP212" t="s">
        <v>48</v>
      </c>
      <c r="BQ212" t="s">
        <v>48</v>
      </c>
      <c r="BS212" t="s">
        <v>48</v>
      </c>
      <c r="BT212" t="s">
        <v>585</v>
      </c>
      <c r="BU212" t="s">
        <v>48</v>
      </c>
      <c r="BW212" t="s">
        <v>48</v>
      </c>
      <c r="BX212" t="s">
        <v>48</v>
      </c>
      <c r="BY212" t="s">
        <v>48</v>
      </c>
      <c r="BZ212" t="s">
        <v>48</v>
      </c>
      <c r="CA212" t="s">
        <v>48</v>
      </c>
      <c r="CB212" t="s">
        <v>48</v>
      </c>
      <c r="CC212" t="s">
        <v>48</v>
      </c>
      <c r="CD212" t="s">
        <v>48</v>
      </c>
      <c r="CE212" t="s">
        <v>48</v>
      </c>
      <c r="CF212" t="s">
        <v>48</v>
      </c>
      <c r="CG212" t="s">
        <v>48</v>
      </c>
      <c r="CH212" t="s">
        <v>48</v>
      </c>
      <c r="CI212" t="s">
        <v>48</v>
      </c>
      <c r="CJ212" t="s">
        <v>1169</v>
      </c>
    </row>
    <row r="213" spans="1:88" x14ac:dyDescent="0.25">
      <c r="A213" s="4" t="s">
        <v>2143</v>
      </c>
      <c r="B213" s="4" t="s">
        <v>2147</v>
      </c>
      <c r="C213" s="4" t="s">
        <v>1744</v>
      </c>
      <c r="D213" s="4" t="str">
        <f>cna_product_database_catalog_website[[#This Row],[MainCategory]]&amp;"&gt;"&amp;cna_product_database_catalog_website[[#This Row],[SubCategory1]]&amp;"&gt;"&amp;cna_product_database_catalog_website[[#This Row],[SubCategory2]]</f>
        <v>Tubes&gt;T8 Hybrid (Type A &amp; Type B)&gt;T8 Hybrid 50K</v>
      </c>
      <c r="E213">
        <v>971</v>
      </c>
      <c r="F213" t="s">
        <v>1899</v>
      </c>
      <c r="G213" s="3">
        <v>1015</v>
      </c>
      <c r="H213" s="8">
        <v>7.5</v>
      </c>
      <c r="I213" t="s">
        <v>1899</v>
      </c>
      <c r="J213" t="s">
        <v>583</v>
      </c>
      <c r="K213" t="s">
        <v>582</v>
      </c>
      <c r="L213" t="s">
        <v>1164</v>
      </c>
      <c r="M213" s="12" t="str">
        <f>HYPERLINK(cna_product_database_catalog_website[[#This Row],[Spec Sheet Link]], cna_product_database_catalog_website[[#Headers],[Spec Sheet Link]])</f>
        <v>Spec Sheet Link</v>
      </c>
      <c r="N213" t="s">
        <v>47</v>
      </c>
      <c r="O213" s="3">
        <v>1</v>
      </c>
      <c r="P213" s="3">
        <v>1</v>
      </c>
      <c r="Q213" t="s">
        <v>253</v>
      </c>
      <c r="R213" t="s">
        <v>1165</v>
      </c>
      <c r="S213" t="s">
        <v>1154</v>
      </c>
      <c r="T213" t="s">
        <v>1166</v>
      </c>
      <c r="U213" t="s">
        <v>419</v>
      </c>
      <c r="V213" t="s">
        <v>48</v>
      </c>
      <c r="W213" t="s">
        <v>1167</v>
      </c>
      <c r="X213" t="s">
        <v>803</v>
      </c>
      <c r="Y213" s="3" t="s">
        <v>1016</v>
      </c>
      <c r="Z213" s="3" t="s">
        <v>1006</v>
      </c>
      <c r="AA213" s="3" t="s">
        <v>96</v>
      </c>
      <c r="AB213" s="1" t="s">
        <v>48</v>
      </c>
      <c r="AC213" s="1" t="s">
        <v>48</v>
      </c>
      <c r="AD213" t="s">
        <v>1168</v>
      </c>
      <c r="AE213"/>
      <c r="AF213" t="s">
        <v>584</v>
      </c>
      <c r="AG213" t="s">
        <v>48</v>
      </c>
      <c r="AH213" t="s">
        <v>48</v>
      </c>
      <c r="AI213" t="s">
        <v>48</v>
      </c>
      <c r="AL213" t="s">
        <v>48</v>
      </c>
      <c r="AO213" t="s">
        <v>48</v>
      </c>
      <c r="AP213" t="s">
        <v>48</v>
      </c>
      <c r="AQ213" t="s">
        <v>48</v>
      </c>
      <c r="AR213">
        <v>250</v>
      </c>
      <c r="AV213" t="s">
        <v>48</v>
      </c>
      <c r="AW213" t="s">
        <v>403</v>
      </c>
      <c r="AX213" s="2" t="s">
        <v>80</v>
      </c>
      <c r="AY213" s="2" t="s">
        <v>80</v>
      </c>
      <c r="BC213">
        <f>SUM(cna_product_database_catalog_website[[#This Row],[Box Length (cm)]]*cna_product_database_catalog_website[[#This Row],[Box Width (cm)]]*cna_product_database_catalog_website[[#This Row],[Box Height (cm)]]/1000000)</f>
        <v>0</v>
      </c>
      <c r="BD213">
        <f>SUM(cna_product_database_catalog_website[[#This Row],[Box CBM]]*35.3147)</f>
        <v>0</v>
      </c>
      <c r="BE213" t="s">
        <v>48</v>
      </c>
      <c r="BI21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13">
        <f>SUM(cna_product_database_catalog_website[[#This Row],[Carton CFT]]/61024)</f>
        <v>0</v>
      </c>
      <c r="BM213" t="s">
        <v>48</v>
      </c>
      <c r="BN213"/>
      <c r="BO213" t="s">
        <v>48</v>
      </c>
      <c r="BP213" t="s">
        <v>48</v>
      </c>
      <c r="BQ213" t="s">
        <v>48</v>
      </c>
      <c r="BS213" t="s">
        <v>48</v>
      </c>
      <c r="BT213" t="s">
        <v>585</v>
      </c>
      <c r="BU213" t="s">
        <v>48</v>
      </c>
      <c r="BW213" t="s">
        <v>48</v>
      </c>
      <c r="BX213" t="s">
        <v>48</v>
      </c>
      <c r="BY213" t="s">
        <v>48</v>
      </c>
      <c r="BZ213" t="s">
        <v>48</v>
      </c>
      <c r="CA213" t="s">
        <v>48</v>
      </c>
      <c r="CB213" t="s">
        <v>48</v>
      </c>
      <c r="CC213" t="s">
        <v>48</v>
      </c>
      <c r="CD213" t="s">
        <v>48</v>
      </c>
      <c r="CE213" t="s">
        <v>48</v>
      </c>
      <c r="CF213" t="s">
        <v>48</v>
      </c>
      <c r="CG213" t="s">
        <v>48</v>
      </c>
      <c r="CH213" t="s">
        <v>48</v>
      </c>
      <c r="CI213" t="s">
        <v>48</v>
      </c>
      <c r="CJ213" t="s">
        <v>1169</v>
      </c>
    </row>
    <row r="214" spans="1:88" x14ac:dyDescent="0.25">
      <c r="A214" s="4" t="s">
        <v>2143</v>
      </c>
      <c r="B214" s="4" t="s">
        <v>2144</v>
      </c>
      <c r="C214" s="4" t="s">
        <v>1741</v>
      </c>
      <c r="D214" s="4" t="str">
        <f>cna_product_database_catalog_website[[#This Row],[MainCategory]]&amp;"&gt;"&amp;cna_product_database_catalog_website[[#This Row],[SubCategory1]]&amp;"&gt;"&amp;cna_product_database_catalog_website[[#This Row],[SubCategory2]]</f>
        <v>Tubes&gt;T8 Compatible (Type A)&gt;T8 Plug &amp; Play 35K</v>
      </c>
      <c r="E214">
        <v>980</v>
      </c>
      <c r="F214" t="s">
        <v>1895</v>
      </c>
      <c r="G214" s="3">
        <v>1209</v>
      </c>
      <c r="H214" s="8">
        <v>3.5</v>
      </c>
      <c r="I214" t="s">
        <v>1895</v>
      </c>
      <c r="J214" t="s">
        <v>580</v>
      </c>
      <c r="K214" t="s">
        <v>579</v>
      </c>
      <c r="L214" t="s">
        <v>1162</v>
      </c>
      <c r="M214" s="12" t="str">
        <f>HYPERLINK(cna_product_database_catalog_website[[#This Row],[Spec Sheet Link]], cna_product_database_catalog_website[[#Headers],[Spec Sheet Link]])</f>
        <v>Spec Sheet Link</v>
      </c>
      <c r="N214" t="s">
        <v>47</v>
      </c>
      <c r="O214" s="3">
        <v>1</v>
      </c>
      <c r="P214" s="3">
        <v>1</v>
      </c>
      <c r="Q214" t="s">
        <v>1153</v>
      </c>
      <c r="R214" t="s">
        <v>48</v>
      </c>
      <c r="S214" t="s">
        <v>1154</v>
      </c>
      <c r="T214" t="s">
        <v>1156</v>
      </c>
      <c r="U214" t="s">
        <v>419</v>
      </c>
      <c r="V214" t="s">
        <v>48</v>
      </c>
      <c r="W214" t="s">
        <v>1157</v>
      </c>
      <c r="X214" t="s">
        <v>1107</v>
      </c>
      <c r="Y214" s="3" t="s">
        <v>1158</v>
      </c>
      <c r="Z214" s="3" t="s">
        <v>1006</v>
      </c>
      <c r="AA214" s="3" t="s">
        <v>96</v>
      </c>
      <c r="AB214" s="1"/>
      <c r="AC214" s="1" t="s">
        <v>48</v>
      </c>
      <c r="AD214" t="s">
        <v>1159</v>
      </c>
      <c r="AE214"/>
      <c r="AF214" t="s">
        <v>584</v>
      </c>
      <c r="AG214" t="s">
        <v>48</v>
      </c>
      <c r="AH214" t="s">
        <v>1136</v>
      </c>
      <c r="AI214" t="s">
        <v>48</v>
      </c>
      <c r="AL214" t="s">
        <v>48</v>
      </c>
      <c r="AN214" t="s">
        <v>1136</v>
      </c>
      <c r="AO214" t="s">
        <v>48</v>
      </c>
      <c r="AP214" t="s">
        <v>48</v>
      </c>
      <c r="AQ214" t="s">
        <v>48</v>
      </c>
      <c r="AV214" t="s">
        <v>48</v>
      </c>
      <c r="AW214" t="s">
        <v>403</v>
      </c>
      <c r="AX214" s="2">
        <v>25</v>
      </c>
      <c r="AY214" s="2">
        <v>25</v>
      </c>
      <c r="BC214">
        <f>SUM(cna_product_database_catalog_website[[#This Row],[Box Length (cm)]]*cna_product_database_catalog_website[[#This Row],[Box Width (cm)]]*cna_product_database_catalog_website[[#This Row],[Box Height (cm)]]/1000000)</f>
        <v>0</v>
      </c>
      <c r="BD214">
        <f>SUM(cna_product_database_catalog_website[[#This Row],[Box CBM]]*35.3147)</f>
        <v>0</v>
      </c>
      <c r="BE214" t="s">
        <v>48</v>
      </c>
      <c r="BI21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14">
        <f>SUM(cna_product_database_catalog_website[[#This Row],[Carton CFT]]/61024)</f>
        <v>0</v>
      </c>
      <c r="BM214" t="s">
        <v>48</v>
      </c>
      <c r="BN214"/>
      <c r="BO214" t="s">
        <v>48</v>
      </c>
      <c r="BP214" t="s">
        <v>48</v>
      </c>
      <c r="BQ214" t="s">
        <v>48</v>
      </c>
      <c r="BS214" t="s">
        <v>48</v>
      </c>
      <c r="BT214" t="s">
        <v>585</v>
      </c>
      <c r="BU214" t="s">
        <v>48</v>
      </c>
      <c r="BW214" t="s">
        <v>48</v>
      </c>
      <c r="BX214" t="s">
        <v>48</v>
      </c>
      <c r="BY214" t="s">
        <v>48</v>
      </c>
      <c r="BZ214" t="s">
        <v>48</v>
      </c>
      <c r="CA214" t="s">
        <v>48</v>
      </c>
      <c r="CB214" t="s">
        <v>48</v>
      </c>
      <c r="CC214" t="s">
        <v>48</v>
      </c>
      <c r="CD214" t="s">
        <v>48</v>
      </c>
      <c r="CE214" t="s">
        <v>48</v>
      </c>
      <c r="CF214" t="s">
        <v>48</v>
      </c>
      <c r="CG214" t="s">
        <v>48</v>
      </c>
      <c r="CH214" t="s">
        <v>48</v>
      </c>
      <c r="CI214" t="s">
        <v>48</v>
      </c>
      <c r="CJ214" t="s">
        <v>1160</v>
      </c>
    </row>
    <row r="215" spans="1:88" x14ac:dyDescent="0.25">
      <c r="A215" s="4" t="s">
        <v>2143</v>
      </c>
      <c r="B215" s="4" t="s">
        <v>2144</v>
      </c>
      <c r="C215" s="4" t="s">
        <v>1740</v>
      </c>
      <c r="D215" s="4" t="str">
        <f>cna_product_database_catalog_website[[#This Row],[MainCategory]]&amp;"&gt;"&amp;cna_product_database_catalog_website[[#This Row],[SubCategory1]]&amp;"&gt;"&amp;cna_product_database_catalog_website[[#This Row],[SubCategory2]]</f>
        <v>Tubes&gt;T8 Compatible (Type A)&gt;T8 Plug &amp; Play 40K</v>
      </c>
      <c r="E215">
        <v>981</v>
      </c>
      <c r="F215" t="s">
        <v>1896</v>
      </c>
      <c r="G215" s="3">
        <v>1210</v>
      </c>
      <c r="H215" s="8">
        <v>3.5</v>
      </c>
      <c r="I215" t="s">
        <v>1896</v>
      </c>
      <c r="J215" t="s">
        <v>580</v>
      </c>
      <c r="K215" t="s">
        <v>579</v>
      </c>
      <c r="L215" t="s">
        <v>1162</v>
      </c>
      <c r="M215" s="12" t="str">
        <f>HYPERLINK(cna_product_database_catalog_website[[#This Row],[Spec Sheet Link]], cna_product_database_catalog_website[[#Headers],[Spec Sheet Link]])</f>
        <v>Spec Sheet Link</v>
      </c>
      <c r="N215" t="s">
        <v>47</v>
      </c>
      <c r="O215" s="3">
        <v>1</v>
      </c>
      <c r="P215" s="3">
        <v>1</v>
      </c>
      <c r="Q215" t="s">
        <v>1153</v>
      </c>
      <c r="R215" t="s">
        <v>48</v>
      </c>
      <c r="S215" t="s">
        <v>1154</v>
      </c>
      <c r="T215" t="s">
        <v>1156</v>
      </c>
      <c r="U215" t="s">
        <v>419</v>
      </c>
      <c r="V215" t="s">
        <v>48</v>
      </c>
      <c r="W215" t="s">
        <v>1157</v>
      </c>
      <c r="X215" t="s">
        <v>58</v>
      </c>
      <c r="Y215" s="3" t="s">
        <v>1158</v>
      </c>
      <c r="Z215" s="3" t="s">
        <v>1006</v>
      </c>
      <c r="AA215" s="3" t="s">
        <v>96</v>
      </c>
      <c r="AB215" s="1" t="s">
        <v>48</v>
      </c>
      <c r="AC215" s="1" t="s">
        <v>48</v>
      </c>
      <c r="AD215" t="s">
        <v>1159</v>
      </c>
      <c r="AE215"/>
      <c r="AF215" t="s">
        <v>584</v>
      </c>
      <c r="AG215" t="s">
        <v>48</v>
      </c>
      <c r="AH215" t="s">
        <v>1136</v>
      </c>
      <c r="AI215" t="s">
        <v>48</v>
      </c>
      <c r="AL215" t="s">
        <v>48</v>
      </c>
      <c r="AN215" t="s">
        <v>1136</v>
      </c>
      <c r="AO215" t="s">
        <v>48</v>
      </c>
      <c r="AP215" t="s">
        <v>48</v>
      </c>
      <c r="AQ215" t="s">
        <v>48</v>
      </c>
      <c r="AV215" t="s">
        <v>48</v>
      </c>
      <c r="AW215" t="s">
        <v>403</v>
      </c>
      <c r="AX215" s="2">
        <v>25</v>
      </c>
      <c r="AY215" s="2">
        <v>25</v>
      </c>
      <c r="BC215">
        <f>SUM(cna_product_database_catalog_website[[#This Row],[Box Length (cm)]]*cna_product_database_catalog_website[[#This Row],[Box Width (cm)]]*cna_product_database_catalog_website[[#This Row],[Box Height (cm)]]/1000000)</f>
        <v>0</v>
      </c>
      <c r="BD215">
        <f>SUM(cna_product_database_catalog_website[[#This Row],[Box CBM]]*35.3147)</f>
        <v>0</v>
      </c>
      <c r="BE215" t="s">
        <v>48</v>
      </c>
      <c r="BI21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15">
        <f>SUM(cna_product_database_catalog_website[[#This Row],[Carton CFT]]/61024)</f>
        <v>0</v>
      </c>
      <c r="BM215" t="s">
        <v>48</v>
      </c>
      <c r="BN215"/>
      <c r="BO215" t="s">
        <v>48</v>
      </c>
      <c r="BP215" t="s">
        <v>48</v>
      </c>
      <c r="BQ215" t="s">
        <v>48</v>
      </c>
      <c r="BS215" t="s">
        <v>48</v>
      </c>
      <c r="BT215" t="s">
        <v>585</v>
      </c>
      <c r="BU215" t="s">
        <v>48</v>
      </c>
      <c r="BW215" t="s">
        <v>48</v>
      </c>
      <c r="BX215" t="s">
        <v>48</v>
      </c>
      <c r="BY215" t="s">
        <v>48</v>
      </c>
      <c r="BZ215" t="s">
        <v>48</v>
      </c>
      <c r="CA215" t="s">
        <v>48</v>
      </c>
      <c r="CB215" t="s">
        <v>48</v>
      </c>
      <c r="CC215" t="s">
        <v>48</v>
      </c>
      <c r="CD215" t="s">
        <v>48</v>
      </c>
      <c r="CE215" t="s">
        <v>48</v>
      </c>
      <c r="CF215" t="s">
        <v>48</v>
      </c>
      <c r="CG215" t="s">
        <v>48</v>
      </c>
      <c r="CH215" t="s">
        <v>48</v>
      </c>
      <c r="CI215" t="s">
        <v>48</v>
      </c>
      <c r="CJ215" t="s">
        <v>1160</v>
      </c>
    </row>
    <row r="216" spans="1:88" x14ac:dyDescent="0.25">
      <c r="A216" s="4" t="s">
        <v>2143</v>
      </c>
      <c r="B216" s="4" t="s">
        <v>2144</v>
      </c>
      <c r="C216" s="4" t="s">
        <v>1742</v>
      </c>
      <c r="D216" s="4" t="str">
        <f>cna_product_database_catalog_website[[#This Row],[MainCategory]]&amp;"&gt;"&amp;cna_product_database_catalog_website[[#This Row],[SubCategory1]]&amp;"&gt;"&amp;cna_product_database_catalog_website[[#This Row],[SubCategory2]]</f>
        <v>Tubes&gt;T8 Compatible (Type A)&gt;T8 Plug &amp; Play 50K</v>
      </c>
      <c r="E216">
        <v>982</v>
      </c>
      <c r="F216" t="s">
        <v>1897</v>
      </c>
      <c r="G216" s="3">
        <v>1211</v>
      </c>
      <c r="H216" s="8">
        <v>3.5</v>
      </c>
      <c r="I216" t="s">
        <v>1897</v>
      </c>
      <c r="J216" t="s">
        <v>580</v>
      </c>
      <c r="K216" t="s">
        <v>579</v>
      </c>
      <c r="L216" t="s">
        <v>1162</v>
      </c>
      <c r="M216" s="12" t="str">
        <f>HYPERLINK(cna_product_database_catalog_website[[#This Row],[Spec Sheet Link]], cna_product_database_catalog_website[[#Headers],[Spec Sheet Link]])</f>
        <v>Spec Sheet Link</v>
      </c>
      <c r="N216" t="s">
        <v>47</v>
      </c>
      <c r="O216" s="3">
        <v>1</v>
      </c>
      <c r="P216" s="3">
        <v>1</v>
      </c>
      <c r="Q216" t="s">
        <v>258</v>
      </c>
      <c r="R216" t="s">
        <v>48</v>
      </c>
      <c r="S216" t="s">
        <v>1155</v>
      </c>
      <c r="T216" t="s">
        <v>1156</v>
      </c>
      <c r="U216" t="s">
        <v>419</v>
      </c>
      <c r="V216" t="s">
        <v>48</v>
      </c>
      <c r="W216" t="s">
        <v>1157</v>
      </c>
      <c r="X216" t="s">
        <v>803</v>
      </c>
      <c r="Y216" s="3" t="s">
        <v>1158</v>
      </c>
      <c r="Z216" s="3" t="s">
        <v>1006</v>
      </c>
      <c r="AA216" s="3" t="s">
        <v>96</v>
      </c>
      <c r="AB216" s="1" t="s">
        <v>48</v>
      </c>
      <c r="AC216" s="1" t="s">
        <v>48</v>
      </c>
      <c r="AD216" t="s">
        <v>1159</v>
      </c>
      <c r="AE216"/>
      <c r="AF216" t="s">
        <v>584</v>
      </c>
      <c r="AG216" t="s">
        <v>48</v>
      </c>
      <c r="AH216" t="s">
        <v>1136</v>
      </c>
      <c r="AI216" t="s">
        <v>48</v>
      </c>
      <c r="AL216" t="s">
        <v>48</v>
      </c>
      <c r="AN216" t="s">
        <v>1136</v>
      </c>
      <c r="AO216" t="s">
        <v>48</v>
      </c>
      <c r="AP216" t="s">
        <v>48</v>
      </c>
      <c r="AQ216" t="s">
        <v>48</v>
      </c>
      <c r="AV216" t="s">
        <v>48</v>
      </c>
      <c r="AW216" t="s">
        <v>403</v>
      </c>
      <c r="AX216" s="2">
        <v>25</v>
      </c>
      <c r="AY216" s="2">
        <v>25</v>
      </c>
      <c r="BC216">
        <f>SUM(cna_product_database_catalog_website[[#This Row],[Box Length (cm)]]*cna_product_database_catalog_website[[#This Row],[Box Width (cm)]]*cna_product_database_catalog_website[[#This Row],[Box Height (cm)]]/1000000)</f>
        <v>0</v>
      </c>
      <c r="BD216">
        <f>SUM(cna_product_database_catalog_website[[#This Row],[Box CBM]]*35.3147)</f>
        <v>0</v>
      </c>
      <c r="BE216" t="s">
        <v>48</v>
      </c>
      <c r="BI21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16">
        <f>SUM(cna_product_database_catalog_website[[#This Row],[Carton CFT]]/61024)</f>
        <v>0</v>
      </c>
      <c r="BM216" t="s">
        <v>48</v>
      </c>
      <c r="BN216"/>
      <c r="BO216" t="s">
        <v>48</v>
      </c>
      <c r="BP216" t="s">
        <v>48</v>
      </c>
      <c r="BQ216" t="s">
        <v>48</v>
      </c>
      <c r="BS216" t="s">
        <v>48</v>
      </c>
      <c r="BT216" t="s">
        <v>585</v>
      </c>
      <c r="BU216" t="s">
        <v>48</v>
      </c>
      <c r="BW216" t="s">
        <v>48</v>
      </c>
      <c r="BX216" t="s">
        <v>48</v>
      </c>
      <c r="BY216" t="s">
        <v>48</v>
      </c>
      <c r="BZ216" t="s">
        <v>48</v>
      </c>
      <c r="CA216" t="s">
        <v>48</v>
      </c>
      <c r="CB216" t="s">
        <v>48</v>
      </c>
      <c r="CC216" t="s">
        <v>48</v>
      </c>
      <c r="CD216" t="s">
        <v>48</v>
      </c>
      <c r="CE216" t="s">
        <v>48</v>
      </c>
      <c r="CF216" t="s">
        <v>48</v>
      </c>
      <c r="CG216" t="s">
        <v>48</v>
      </c>
      <c r="CH216" t="s">
        <v>48</v>
      </c>
      <c r="CI216" t="s">
        <v>48</v>
      </c>
      <c r="CJ216" t="s">
        <v>1160</v>
      </c>
    </row>
    <row r="217" spans="1:88" x14ac:dyDescent="0.25">
      <c r="A217" s="4" t="s">
        <v>2143</v>
      </c>
      <c r="B217" s="4" t="s">
        <v>2145</v>
      </c>
      <c r="C217" s="4" t="s">
        <v>1745</v>
      </c>
      <c r="D217" s="4" t="str">
        <f>cna_product_database_catalog_website[[#This Row],[MainCategory]]&amp;"&gt;"&amp;cna_product_database_catalog_website[[#This Row],[SubCategory1]]&amp;"&gt;"&amp;cna_product_database_catalog_website[[#This Row],[SubCategory2]]</f>
        <v>Tubes&gt;T8 Ballast Bypass 347V (Type B)&gt;T8 - 347V 40K</v>
      </c>
      <c r="E217">
        <v>990</v>
      </c>
      <c r="F217" t="s">
        <v>1900</v>
      </c>
      <c r="G217" s="3">
        <v>1073</v>
      </c>
      <c r="H217" s="8">
        <v>9.5</v>
      </c>
      <c r="I217" t="s">
        <v>1900</v>
      </c>
      <c r="J217" t="s">
        <v>1176</v>
      </c>
      <c r="K217" t="s">
        <v>592</v>
      </c>
      <c r="L217" t="s">
        <v>1175</v>
      </c>
      <c r="M217" s="12" t="str">
        <f>HYPERLINK(cna_product_database_catalog_website[[#This Row],[Spec Sheet Link]], cna_product_database_catalog_website[[#Headers],[Spec Sheet Link]])</f>
        <v>Spec Sheet Link</v>
      </c>
      <c r="N217" t="s">
        <v>47</v>
      </c>
      <c r="O217" s="3">
        <v>1</v>
      </c>
      <c r="P217" s="3">
        <v>1</v>
      </c>
      <c r="Q217" t="s">
        <v>253</v>
      </c>
      <c r="R217" t="s">
        <v>1171</v>
      </c>
      <c r="S217" t="s">
        <v>1154</v>
      </c>
      <c r="T217" t="s">
        <v>1174</v>
      </c>
      <c r="U217" t="s">
        <v>419</v>
      </c>
      <c r="V217" t="s">
        <v>48</v>
      </c>
      <c r="W217" t="s">
        <v>1177</v>
      </c>
      <c r="X217" t="s">
        <v>58</v>
      </c>
      <c r="Y217" s="3" t="s">
        <v>1018</v>
      </c>
      <c r="Z217" s="3">
        <v>82</v>
      </c>
      <c r="AA217" s="3" t="s">
        <v>96</v>
      </c>
      <c r="AB217" s="1" t="s">
        <v>48</v>
      </c>
      <c r="AC217" s="1" t="s">
        <v>48</v>
      </c>
      <c r="AD217" t="s">
        <v>1178</v>
      </c>
      <c r="AE217"/>
      <c r="AF217" t="s">
        <v>584</v>
      </c>
      <c r="AG217" t="s">
        <v>48</v>
      </c>
      <c r="AH217" t="s">
        <v>48</v>
      </c>
      <c r="AI217" t="s">
        <v>48</v>
      </c>
      <c r="AL217" t="s">
        <v>48</v>
      </c>
      <c r="AO217" t="s">
        <v>48</v>
      </c>
      <c r="AP217" t="s">
        <v>48</v>
      </c>
      <c r="AQ217" t="s">
        <v>48</v>
      </c>
      <c r="AV217" t="s">
        <v>48</v>
      </c>
      <c r="AW217" t="s">
        <v>403</v>
      </c>
      <c r="AX217" s="2" t="s">
        <v>80</v>
      </c>
      <c r="AY217" s="2" t="s">
        <v>80</v>
      </c>
      <c r="BC217">
        <f>SUM(cna_product_database_catalog_website[[#This Row],[Box Length (cm)]]*cna_product_database_catalog_website[[#This Row],[Box Width (cm)]]*cna_product_database_catalog_website[[#This Row],[Box Height (cm)]]/1000000)</f>
        <v>0</v>
      </c>
      <c r="BD217">
        <f>SUM(cna_product_database_catalog_website[[#This Row],[Box CBM]]*35.3147)</f>
        <v>0</v>
      </c>
      <c r="BE217" t="s">
        <v>48</v>
      </c>
      <c r="BI21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17">
        <f>SUM(cna_product_database_catalog_website[[#This Row],[Carton CFT]]/61024)</f>
        <v>0</v>
      </c>
      <c r="BM217" t="s">
        <v>48</v>
      </c>
      <c r="BN217"/>
      <c r="BO217" t="s">
        <v>48</v>
      </c>
      <c r="BP217" t="s">
        <v>48</v>
      </c>
      <c r="BQ217" t="s">
        <v>48</v>
      </c>
      <c r="BS217" t="s">
        <v>48</v>
      </c>
      <c r="BT217" t="s">
        <v>593</v>
      </c>
      <c r="BU217" t="s">
        <v>48</v>
      </c>
      <c r="BW217" t="s">
        <v>48</v>
      </c>
      <c r="BX217" t="s">
        <v>48</v>
      </c>
      <c r="BY217" t="s">
        <v>48</v>
      </c>
      <c r="BZ217" t="s">
        <v>48</v>
      </c>
      <c r="CA217" t="s">
        <v>48</v>
      </c>
      <c r="CB217" t="s">
        <v>48</v>
      </c>
      <c r="CC217" t="s">
        <v>48</v>
      </c>
      <c r="CD217" t="s">
        <v>48</v>
      </c>
      <c r="CE217" t="s">
        <v>48</v>
      </c>
      <c r="CF217" t="s">
        <v>48</v>
      </c>
      <c r="CG217" t="s">
        <v>48</v>
      </c>
      <c r="CH217" t="s">
        <v>48</v>
      </c>
      <c r="CI217" t="s">
        <v>48</v>
      </c>
      <c r="CJ217" t="s">
        <v>1179</v>
      </c>
    </row>
    <row r="218" spans="1:88" x14ac:dyDescent="0.25">
      <c r="A218" s="4" t="s">
        <v>2143</v>
      </c>
      <c r="B218" s="4" t="s">
        <v>2146</v>
      </c>
      <c r="C218" s="4" t="s">
        <v>1746</v>
      </c>
      <c r="D218" s="4" t="str">
        <f>cna_product_database_catalog_website[[#This Row],[MainCategory]]&amp;"&gt;"&amp;cna_product_database_catalog_website[[#This Row],[SubCategory1]]&amp;"&gt;"&amp;cna_product_database_catalog_website[[#This Row],[SubCategory2]]</f>
        <v>Tubes&gt;T5 Compatible (Type A)&gt;T5HO 40K</v>
      </c>
      <c r="E218">
        <v>1000</v>
      </c>
      <c r="F218" t="s">
        <v>1901</v>
      </c>
      <c r="G218" s="3">
        <v>943</v>
      </c>
      <c r="H218" s="8">
        <v>9.5</v>
      </c>
      <c r="I218" t="s">
        <v>1901</v>
      </c>
      <c r="J218" t="s">
        <v>586</v>
      </c>
      <c r="K218" t="s">
        <v>587</v>
      </c>
      <c r="L218" t="s">
        <v>1170</v>
      </c>
      <c r="M218" s="12" t="str">
        <f>HYPERLINK(cna_product_database_catalog_website[[#This Row],[Spec Sheet Link]], cna_product_database_catalog_website[[#Headers],[Spec Sheet Link]])</f>
        <v>Spec Sheet Link</v>
      </c>
      <c r="N218" t="s">
        <v>47</v>
      </c>
      <c r="O218" s="3">
        <v>1</v>
      </c>
      <c r="P218" s="3">
        <v>1</v>
      </c>
      <c r="Q218" t="s">
        <v>935</v>
      </c>
      <c r="R218" t="s">
        <v>1165</v>
      </c>
      <c r="S218" t="s">
        <v>1172</v>
      </c>
      <c r="T218" t="s">
        <v>1098</v>
      </c>
      <c r="U218" t="s">
        <v>419</v>
      </c>
      <c r="V218" t="s">
        <v>48</v>
      </c>
      <c r="W218" t="s">
        <v>48</v>
      </c>
      <c r="X218" t="s">
        <v>58</v>
      </c>
      <c r="Y218" s="3" t="s">
        <v>1017</v>
      </c>
      <c r="Z218" s="3">
        <v>80</v>
      </c>
      <c r="AA218" s="3" t="s">
        <v>96</v>
      </c>
      <c r="AB218" s="1" t="s">
        <v>48</v>
      </c>
      <c r="AC218" s="1" t="s">
        <v>48</v>
      </c>
      <c r="AD218" t="s">
        <v>589</v>
      </c>
      <c r="AE218"/>
      <c r="AF218" t="s">
        <v>584</v>
      </c>
      <c r="AG218" t="s">
        <v>48</v>
      </c>
      <c r="AH218" t="s">
        <v>48</v>
      </c>
      <c r="AI218" t="s">
        <v>48</v>
      </c>
      <c r="AL218" t="s">
        <v>48</v>
      </c>
      <c r="AO218" t="s">
        <v>48</v>
      </c>
      <c r="AP218" t="s">
        <v>48</v>
      </c>
      <c r="AQ218" t="s">
        <v>48</v>
      </c>
      <c r="AV218" t="s">
        <v>48</v>
      </c>
      <c r="AW218" t="s">
        <v>403</v>
      </c>
      <c r="AX218" s="2">
        <v>25</v>
      </c>
      <c r="AY218" s="2">
        <v>25</v>
      </c>
      <c r="BC218">
        <f>SUM(cna_product_database_catalog_website[[#This Row],[Box Length (cm)]]*cna_product_database_catalog_website[[#This Row],[Box Width (cm)]]*cna_product_database_catalog_website[[#This Row],[Box Height (cm)]]/1000000)</f>
        <v>0</v>
      </c>
      <c r="BD218">
        <f>SUM(cna_product_database_catalog_website[[#This Row],[Box CBM]]*35.3147)</f>
        <v>0</v>
      </c>
      <c r="BE218" t="s">
        <v>48</v>
      </c>
      <c r="BI21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18">
        <f>SUM(cna_product_database_catalog_website[[#This Row],[Carton CFT]]/61024)</f>
        <v>0</v>
      </c>
      <c r="BM218" t="s">
        <v>48</v>
      </c>
      <c r="BN218"/>
      <c r="BO218" t="s">
        <v>48</v>
      </c>
      <c r="BP218" t="s">
        <v>590</v>
      </c>
      <c r="BQ218" t="s">
        <v>48</v>
      </c>
      <c r="BS218" t="s">
        <v>48</v>
      </c>
      <c r="BT218" t="s">
        <v>585</v>
      </c>
      <c r="BU218" t="s">
        <v>48</v>
      </c>
      <c r="BW218" t="s">
        <v>48</v>
      </c>
      <c r="BX218" t="s">
        <v>48</v>
      </c>
      <c r="BY218" t="s">
        <v>48</v>
      </c>
      <c r="BZ218" t="s">
        <v>48</v>
      </c>
      <c r="CA218" t="s">
        <v>48</v>
      </c>
      <c r="CB218" t="s">
        <v>48</v>
      </c>
      <c r="CC218" t="s">
        <v>48</v>
      </c>
      <c r="CD218" t="s">
        <v>48</v>
      </c>
      <c r="CE218" t="s">
        <v>48</v>
      </c>
      <c r="CF218" t="s">
        <v>48</v>
      </c>
      <c r="CG218" t="s">
        <v>48</v>
      </c>
      <c r="CH218" t="s">
        <v>48</v>
      </c>
      <c r="CI218" t="s">
        <v>48</v>
      </c>
      <c r="CJ218" t="s">
        <v>1169</v>
      </c>
    </row>
    <row r="219" spans="1:88" x14ac:dyDescent="0.25">
      <c r="A219" s="4" t="s">
        <v>2143</v>
      </c>
      <c r="B219" s="4" t="s">
        <v>2146</v>
      </c>
      <c r="C219" s="4" t="s">
        <v>1747</v>
      </c>
      <c r="D219" s="4" t="str">
        <f>cna_product_database_catalog_website[[#This Row],[MainCategory]]&amp;"&gt;"&amp;cna_product_database_catalog_website[[#This Row],[SubCategory1]]&amp;"&gt;"&amp;cna_product_database_catalog_website[[#This Row],[SubCategory2]]</f>
        <v>Tubes&gt;T5 Compatible (Type A)&gt;T5HO 50K</v>
      </c>
      <c r="E219">
        <v>1001</v>
      </c>
      <c r="F219" t="s">
        <v>1902</v>
      </c>
      <c r="G219" s="3">
        <v>955</v>
      </c>
      <c r="H219" s="8">
        <v>9.5</v>
      </c>
      <c r="I219" t="s">
        <v>1902</v>
      </c>
      <c r="J219" t="s">
        <v>588</v>
      </c>
      <c r="K219" t="s">
        <v>587</v>
      </c>
      <c r="L219" t="s">
        <v>1170</v>
      </c>
      <c r="M219" s="12" t="str">
        <f>HYPERLINK(cna_product_database_catalog_website[[#This Row],[Spec Sheet Link]], cna_product_database_catalog_website[[#Headers],[Spec Sheet Link]])</f>
        <v>Spec Sheet Link</v>
      </c>
      <c r="N219" t="s">
        <v>47</v>
      </c>
      <c r="O219" s="3">
        <v>1</v>
      </c>
      <c r="P219" s="3">
        <v>1</v>
      </c>
      <c r="Q219" t="s">
        <v>935</v>
      </c>
      <c r="R219" t="s">
        <v>1165</v>
      </c>
      <c r="S219" t="s">
        <v>1172</v>
      </c>
      <c r="T219" t="s">
        <v>1098</v>
      </c>
      <c r="U219" t="s">
        <v>419</v>
      </c>
      <c r="V219" t="s">
        <v>48</v>
      </c>
      <c r="W219" t="s">
        <v>48</v>
      </c>
      <c r="X219" t="s">
        <v>803</v>
      </c>
      <c r="Y219" s="3" t="s">
        <v>1017</v>
      </c>
      <c r="Z219" s="3">
        <v>80</v>
      </c>
      <c r="AA219" s="3" t="s">
        <v>96</v>
      </c>
      <c r="AB219" s="1" t="s">
        <v>48</v>
      </c>
      <c r="AC219" s="1" t="s">
        <v>48</v>
      </c>
      <c r="AD219" t="s">
        <v>589</v>
      </c>
      <c r="AE219"/>
      <c r="AF219" t="s">
        <v>584</v>
      </c>
      <c r="AG219" t="s">
        <v>48</v>
      </c>
      <c r="AH219" t="s">
        <v>48</v>
      </c>
      <c r="AI219" t="s">
        <v>48</v>
      </c>
      <c r="AL219" t="s">
        <v>48</v>
      </c>
      <c r="AO219" t="s">
        <v>48</v>
      </c>
      <c r="AP219" t="s">
        <v>48</v>
      </c>
      <c r="AQ219" t="s">
        <v>48</v>
      </c>
      <c r="AR219">
        <v>170</v>
      </c>
      <c r="AV219" t="s">
        <v>48</v>
      </c>
      <c r="AW219" t="s">
        <v>403</v>
      </c>
      <c r="AX219" s="2" t="s">
        <v>80</v>
      </c>
      <c r="AY219" s="2" t="s">
        <v>80</v>
      </c>
      <c r="BC219">
        <f>SUM(cna_product_database_catalog_website[[#This Row],[Box Length (cm)]]*cna_product_database_catalog_website[[#This Row],[Box Width (cm)]]*cna_product_database_catalog_website[[#This Row],[Box Height (cm)]]/1000000)</f>
        <v>0</v>
      </c>
      <c r="BD219">
        <f>SUM(cna_product_database_catalog_website[[#This Row],[Box CBM]]*35.3147)</f>
        <v>0</v>
      </c>
      <c r="BE219" t="s">
        <v>48</v>
      </c>
      <c r="BI21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19">
        <f>SUM(cna_product_database_catalog_website[[#This Row],[Carton CFT]]/61024)</f>
        <v>0</v>
      </c>
      <c r="BM219" t="s">
        <v>48</v>
      </c>
      <c r="BN219"/>
      <c r="BO219" t="s">
        <v>48</v>
      </c>
      <c r="BP219" t="s">
        <v>590</v>
      </c>
      <c r="BQ219" t="s">
        <v>48</v>
      </c>
      <c r="BS219" t="s">
        <v>48</v>
      </c>
      <c r="BT219" t="s">
        <v>591</v>
      </c>
      <c r="BU219" t="s">
        <v>48</v>
      </c>
      <c r="BW219" t="s">
        <v>48</v>
      </c>
      <c r="BX219" t="s">
        <v>48</v>
      </c>
      <c r="BY219" t="s">
        <v>48</v>
      </c>
      <c r="BZ219" t="s">
        <v>48</v>
      </c>
      <c r="CA219" t="s">
        <v>48</v>
      </c>
      <c r="CB219" t="s">
        <v>48</v>
      </c>
      <c r="CC219" t="s">
        <v>48</v>
      </c>
      <c r="CD219" t="s">
        <v>48</v>
      </c>
      <c r="CE219" t="s">
        <v>48</v>
      </c>
      <c r="CF219" t="s">
        <v>48</v>
      </c>
      <c r="CG219" t="s">
        <v>48</v>
      </c>
      <c r="CH219" t="s">
        <v>48</v>
      </c>
      <c r="CI219" t="s">
        <v>48</v>
      </c>
      <c r="CJ219" t="s">
        <v>1173</v>
      </c>
    </row>
    <row r="220" spans="1:88" x14ac:dyDescent="0.25">
      <c r="A220" s="4" t="s">
        <v>1197</v>
      </c>
      <c r="B220" s="4" t="s">
        <v>2148</v>
      </c>
      <c r="C220" s="4" t="s">
        <v>1356</v>
      </c>
      <c r="D220" s="4" t="str">
        <f>cna_product_database_catalog_website[[#This Row],[MainCategory]]&amp;"&gt;"&amp;cna_product_database_catalog_website[[#This Row],[SubCategory1]]&amp;"&gt;"&amp;cna_product_database_catalog_website[[#This Row],[SubCategory2]]</f>
        <v>Commercial Fixtures&gt;Strip Light 120V-347V&gt;Commercial Strip Light 120V-347V</v>
      </c>
      <c r="E220">
        <v>1100</v>
      </c>
      <c r="F220" t="s">
        <v>733</v>
      </c>
      <c r="G220" s="3">
        <v>1115</v>
      </c>
      <c r="H220" s="8">
        <v>48</v>
      </c>
      <c r="I220" t="s">
        <v>733</v>
      </c>
      <c r="J220" t="s">
        <v>1357</v>
      </c>
      <c r="K220" t="s">
        <v>734</v>
      </c>
      <c r="L220" t="s">
        <v>732</v>
      </c>
      <c r="M220" s="12" t="str">
        <f>HYPERLINK(cna_product_database_catalog_website[[#This Row],[Spec Sheet Link]], cna_product_database_catalog_website[[#Headers],[Spec Sheet Link]])</f>
        <v>Spec Sheet Link</v>
      </c>
      <c r="N220" t="s">
        <v>47</v>
      </c>
      <c r="O220" s="3">
        <v>1</v>
      </c>
      <c r="P220" s="3">
        <v>1</v>
      </c>
      <c r="Q220" t="s">
        <v>779</v>
      </c>
      <c r="R220" t="s">
        <v>1023</v>
      </c>
      <c r="S220" t="s">
        <v>1024</v>
      </c>
      <c r="T220" t="s">
        <v>1025</v>
      </c>
      <c r="U220" t="s">
        <v>400</v>
      </c>
      <c r="V220" t="s">
        <v>48</v>
      </c>
      <c r="W220" t="s">
        <v>420</v>
      </c>
      <c r="X220" t="s">
        <v>1109</v>
      </c>
      <c r="Y220" s="3" t="s">
        <v>48</v>
      </c>
      <c r="Z220" s="3">
        <v>82</v>
      </c>
      <c r="AA220" s="3" t="s">
        <v>1028</v>
      </c>
      <c r="AB220" s="1" t="s">
        <v>1008</v>
      </c>
      <c r="AC220" s="1" t="s">
        <v>48</v>
      </c>
      <c r="AD220" t="s">
        <v>1026</v>
      </c>
      <c r="AE220"/>
      <c r="AF220" t="s">
        <v>937</v>
      </c>
      <c r="AG220" t="s">
        <v>1027</v>
      </c>
      <c r="AH220" t="s">
        <v>1034</v>
      </c>
      <c r="AI220" t="s">
        <v>48</v>
      </c>
      <c r="AJ220" t="s">
        <v>1036</v>
      </c>
      <c r="AK220" t="s">
        <v>1033</v>
      </c>
      <c r="AL220" t="s">
        <v>48</v>
      </c>
      <c r="AM220" t="s">
        <v>1035</v>
      </c>
      <c r="AN220" t="s">
        <v>344</v>
      </c>
      <c r="AO220" t="s">
        <v>48</v>
      </c>
      <c r="AP220" t="s">
        <v>48</v>
      </c>
      <c r="AQ220" t="s">
        <v>48</v>
      </c>
      <c r="AR220">
        <v>3400</v>
      </c>
      <c r="AV220" t="s">
        <v>48</v>
      </c>
      <c r="AW220" t="s">
        <v>403</v>
      </c>
      <c r="AX220" s="2">
        <v>1</v>
      </c>
      <c r="AY220" s="2">
        <v>4</v>
      </c>
      <c r="BC220">
        <f>SUM(cna_product_database_catalog_website[[#This Row],[Box Length (cm)]]*cna_product_database_catalog_website[[#This Row],[Box Width (cm)]]*cna_product_database_catalog_website[[#This Row],[Box Height (cm)]]/1000000)</f>
        <v>0</v>
      </c>
      <c r="BD220">
        <f>SUM(cna_product_database_catalog_website[[#This Row],[Box CBM]]*35.3147)</f>
        <v>0</v>
      </c>
      <c r="BE220" t="s">
        <v>48</v>
      </c>
      <c r="BI22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20">
        <f>SUM(cna_product_database_catalog_website[[#This Row],[Carton CFT]]/61024)</f>
        <v>0</v>
      </c>
      <c r="BM220" t="s">
        <v>48</v>
      </c>
      <c r="BN220" t="s">
        <v>48</v>
      </c>
      <c r="BO220" t="s">
        <v>1037</v>
      </c>
      <c r="BP220" t="s">
        <v>48</v>
      </c>
      <c r="BQ220" t="s">
        <v>48</v>
      </c>
      <c r="BR220" s="1" t="s">
        <v>1043</v>
      </c>
      <c r="BS220" t="s">
        <v>1038</v>
      </c>
      <c r="BT220" t="s">
        <v>48</v>
      </c>
      <c r="BU220" t="s">
        <v>1039</v>
      </c>
      <c r="BV220" t="s">
        <v>1041</v>
      </c>
      <c r="BW220" t="s">
        <v>48</v>
      </c>
      <c r="BX220" t="s">
        <v>48</v>
      </c>
      <c r="BY220" t="s">
        <v>48</v>
      </c>
      <c r="BZ220" t="s">
        <v>48</v>
      </c>
      <c r="CA220" t="s">
        <v>48</v>
      </c>
      <c r="CB220" t="s">
        <v>48</v>
      </c>
      <c r="CC220" t="s">
        <v>48</v>
      </c>
      <c r="CD220" t="s">
        <v>48</v>
      </c>
      <c r="CE220" t="s">
        <v>48</v>
      </c>
      <c r="CF220" t="s">
        <v>48</v>
      </c>
      <c r="CG220" t="s">
        <v>48</v>
      </c>
      <c r="CH220" t="s">
        <v>48</v>
      </c>
      <c r="CI220" t="s">
        <v>48</v>
      </c>
      <c r="CJ220" t="s">
        <v>48</v>
      </c>
    </row>
    <row r="221" spans="1:88" x14ac:dyDescent="0.25">
      <c r="A221" s="4" t="s">
        <v>1197</v>
      </c>
      <c r="B221" s="4" t="s">
        <v>2148</v>
      </c>
      <c r="C221" s="4" t="s">
        <v>1358</v>
      </c>
      <c r="D221" s="4" t="str">
        <f>cna_product_database_catalog_website[[#This Row],[MainCategory]]&amp;"&gt;"&amp;cna_product_database_catalog_website[[#This Row],[SubCategory1]]&amp;"&gt;"&amp;cna_product_database_catalog_website[[#This Row],[SubCategory2]]</f>
        <v>Commercial Fixtures&gt;Strip Light 120V-347V&gt;STP Connector Plate</v>
      </c>
      <c r="E221">
        <v>1101</v>
      </c>
      <c r="F221" t="s">
        <v>735</v>
      </c>
      <c r="G221" s="3">
        <v>1113</v>
      </c>
      <c r="H221" s="8">
        <v>3.5</v>
      </c>
      <c r="I221" t="s">
        <v>735</v>
      </c>
      <c r="J221" t="s">
        <v>1359</v>
      </c>
      <c r="K221" t="s">
        <v>736</v>
      </c>
      <c r="L221" t="s">
        <v>732</v>
      </c>
      <c r="M221" s="12" t="str">
        <f>HYPERLINK(cna_product_database_catalog_website[[#This Row],[Spec Sheet Link]], cna_product_database_catalog_website[[#Headers],[Spec Sheet Link]])</f>
        <v>Spec Sheet Link</v>
      </c>
      <c r="N221" t="s">
        <v>47</v>
      </c>
      <c r="O221" s="3">
        <v>1</v>
      </c>
      <c r="P221" s="3">
        <v>1</v>
      </c>
      <c r="Q221" t="s">
        <v>48</v>
      </c>
      <c r="R221" t="s">
        <v>48</v>
      </c>
      <c r="S221" t="s">
        <v>48</v>
      </c>
      <c r="T221" t="s">
        <v>48</v>
      </c>
      <c r="U221" t="s">
        <v>48</v>
      </c>
      <c r="V221" t="s">
        <v>48</v>
      </c>
      <c r="W221" t="s">
        <v>48</v>
      </c>
      <c r="X221" t="s">
        <v>48</v>
      </c>
      <c r="Y221" s="3" t="s">
        <v>48</v>
      </c>
      <c r="Z221" s="3" t="s">
        <v>48</v>
      </c>
      <c r="AA221" s="3" t="s">
        <v>48</v>
      </c>
      <c r="AB221" s="1" t="s">
        <v>48</v>
      </c>
      <c r="AC221" s="1" t="s">
        <v>48</v>
      </c>
      <c r="AD221" t="s">
        <v>48</v>
      </c>
      <c r="AE221"/>
      <c r="AF221" t="s">
        <v>48</v>
      </c>
      <c r="AG221" t="s">
        <v>48</v>
      </c>
      <c r="AH221" t="s">
        <v>48</v>
      </c>
      <c r="AI221" t="s">
        <v>48</v>
      </c>
      <c r="AL221" t="s">
        <v>48</v>
      </c>
      <c r="AO221" t="s">
        <v>48</v>
      </c>
      <c r="AP221" t="s">
        <v>48</v>
      </c>
      <c r="AQ221" t="s">
        <v>48</v>
      </c>
      <c r="AR221">
        <v>10</v>
      </c>
      <c r="AV221" t="s">
        <v>48</v>
      </c>
      <c r="AX221" s="2"/>
      <c r="AY221" s="2"/>
      <c r="BC221">
        <f>SUM(cna_product_database_catalog_website[[#This Row],[Box Length (cm)]]*cna_product_database_catalog_website[[#This Row],[Box Width (cm)]]*cna_product_database_catalog_website[[#This Row],[Box Height (cm)]]/1000000)</f>
        <v>0</v>
      </c>
      <c r="BD221">
        <f>SUM(cna_product_database_catalog_website[[#This Row],[Box CBM]]*35.3147)</f>
        <v>0</v>
      </c>
      <c r="BE221" t="s">
        <v>48</v>
      </c>
      <c r="BI22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21">
        <f>SUM(cna_product_database_catalog_website[[#This Row],[Carton CFT]]/61024)</f>
        <v>0</v>
      </c>
      <c r="BM221" t="s">
        <v>48</v>
      </c>
      <c r="BN221" t="s">
        <v>48</v>
      </c>
      <c r="BO221" t="s">
        <v>48</v>
      </c>
      <c r="BP221" t="s">
        <v>48</v>
      </c>
      <c r="BQ221" t="s">
        <v>48</v>
      </c>
      <c r="BS221" t="s">
        <v>48</v>
      </c>
      <c r="BT221" t="s">
        <v>48</v>
      </c>
      <c r="BU221" t="s">
        <v>48</v>
      </c>
      <c r="BW221" t="s">
        <v>48</v>
      </c>
      <c r="BX221" t="s">
        <v>48</v>
      </c>
      <c r="BY221" t="s">
        <v>48</v>
      </c>
      <c r="BZ221" t="s">
        <v>48</v>
      </c>
      <c r="CA221" t="s">
        <v>48</v>
      </c>
      <c r="CB221" t="s">
        <v>48</v>
      </c>
      <c r="CC221" t="s">
        <v>48</v>
      </c>
      <c r="CD221" t="s">
        <v>48</v>
      </c>
      <c r="CE221" t="s">
        <v>48</v>
      </c>
      <c r="CF221" t="s">
        <v>48</v>
      </c>
      <c r="CG221" t="s">
        <v>48</v>
      </c>
      <c r="CH221" t="s">
        <v>48</v>
      </c>
      <c r="CI221" t="s">
        <v>48</v>
      </c>
      <c r="CJ221" t="s">
        <v>48</v>
      </c>
    </row>
    <row r="222" spans="1:88" x14ac:dyDescent="0.25">
      <c r="A222" s="4" t="s">
        <v>1197</v>
      </c>
      <c r="B222" s="4" t="s">
        <v>2149</v>
      </c>
      <c r="C222" s="4" t="s">
        <v>2149</v>
      </c>
      <c r="D222" s="4" t="str">
        <f>cna_product_database_catalog_website[[#This Row],[MainCategory]]&amp;"&gt;"&amp;cna_product_database_catalog_website[[#This Row],[SubCategory1]]&amp;"&gt;"&amp;cna_product_database_catalog_website[[#This Row],[SubCategory2]]</f>
        <v>Commercial Fixtures&gt;6" Recessed Downlight - Field Adjustable&gt;6" Recessed Downlight - Field Adjustable</v>
      </c>
      <c r="E222">
        <v>1105</v>
      </c>
      <c r="F222" t="s">
        <v>1022</v>
      </c>
      <c r="G222" s="3">
        <v>1134</v>
      </c>
      <c r="H222" s="8">
        <v>34</v>
      </c>
      <c r="I222" t="s">
        <v>1022</v>
      </c>
      <c r="J222" t="s">
        <v>489</v>
      </c>
      <c r="K222" t="s">
        <v>490</v>
      </c>
      <c r="L222" t="s">
        <v>491</v>
      </c>
      <c r="M222" s="12" t="str">
        <f>HYPERLINK(cna_product_database_catalog_website[[#This Row],[Spec Sheet Link]], cna_product_database_catalog_website[[#Headers],[Spec Sheet Link]])</f>
        <v>Spec Sheet Link</v>
      </c>
      <c r="N222" t="s">
        <v>47</v>
      </c>
      <c r="O222" s="3">
        <v>1</v>
      </c>
      <c r="P222" s="3">
        <v>1</v>
      </c>
      <c r="Q222" t="s">
        <v>492</v>
      </c>
      <c r="R222" t="s">
        <v>493</v>
      </c>
      <c r="S222" t="s">
        <v>494</v>
      </c>
      <c r="T222" t="s">
        <v>495</v>
      </c>
      <c r="U222" t="s">
        <v>400</v>
      </c>
      <c r="V222" t="s">
        <v>48</v>
      </c>
      <c r="W222" t="s">
        <v>496</v>
      </c>
      <c r="X222" t="s">
        <v>1108</v>
      </c>
      <c r="Y222" s="3" t="s">
        <v>48</v>
      </c>
      <c r="Z222" s="3" t="s">
        <v>48</v>
      </c>
      <c r="AA222" s="3" t="s">
        <v>60</v>
      </c>
      <c r="AB222" s="1" t="s">
        <v>48</v>
      </c>
      <c r="AC222" s="1" t="s">
        <v>48</v>
      </c>
      <c r="AD222" t="s">
        <v>48</v>
      </c>
      <c r="AE222"/>
      <c r="AF222" t="s">
        <v>48</v>
      </c>
      <c r="AG222" t="s">
        <v>48</v>
      </c>
      <c r="AH222" t="s">
        <v>48</v>
      </c>
      <c r="AI222" t="s">
        <v>48</v>
      </c>
      <c r="AL222" t="s">
        <v>48</v>
      </c>
      <c r="AO222" t="s">
        <v>497</v>
      </c>
      <c r="AP222" t="s">
        <v>498</v>
      </c>
      <c r="AQ222" t="s">
        <v>499</v>
      </c>
      <c r="AR222">
        <v>267</v>
      </c>
      <c r="AS222">
        <v>0.59</v>
      </c>
      <c r="AV222" t="s">
        <v>48</v>
      </c>
      <c r="AW222" t="s">
        <v>48</v>
      </c>
      <c r="AX222" s="2" t="s">
        <v>48</v>
      </c>
      <c r="AY222" s="2" t="s">
        <v>48</v>
      </c>
      <c r="BC222">
        <f>SUM(cna_product_database_catalog_website[[#This Row],[Box Length (cm)]]*cna_product_database_catalog_website[[#This Row],[Box Width (cm)]]*cna_product_database_catalog_website[[#This Row],[Box Height (cm)]]/1000000)</f>
        <v>0</v>
      </c>
      <c r="BD222">
        <f>SUM(cna_product_database_catalog_website[[#This Row],[Box CBM]]*35.3147)</f>
        <v>0</v>
      </c>
      <c r="BE222" t="s">
        <v>48</v>
      </c>
      <c r="BI22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22">
        <f>SUM(cna_product_database_catalog_website[[#This Row],[Carton CFT]]/61024)</f>
        <v>0</v>
      </c>
      <c r="BM222" t="s">
        <v>48</v>
      </c>
      <c r="BN222" t="s">
        <v>500</v>
      </c>
      <c r="BO222" t="s">
        <v>48</v>
      </c>
      <c r="BP222" t="s">
        <v>48</v>
      </c>
      <c r="BQ222" t="s">
        <v>48</v>
      </c>
      <c r="BS222" t="s">
        <v>48</v>
      </c>
      <c r="BT222" t="s">
        <v>48</v>
      </c>
      <c r="BU222" t="s">
        <v>48</v>
      </c>
      <c r="BW222" t="s">
        <v>48</v>
      </c>
      <c r="BX222" t="s">
        <v>48</v>
      </c>
      <c r="BY222" t="s">
        <v>48</v>
      </c>
      <c r="BZ222" t="s">
        <v>48</v>
      </c>
      <c r="CA222" t="s">
        <v>48</v>
      </c>
      <c r="CB222" t="s">
        <v>48</v>
      </c>
      <c r="CC222" t="s">
        <v>48</v>
      </c>
      <c r="CD222" t="s">
        <v>48</v>
      </c>
      <c r="CE222" t="s">
        <v>48</v>
      </c>
      <c r="CF222" t="s">
        <v>48</v>
      </c>
      <c r="CG222" t="s">
        <v>48</v>
      </c>
      <c r="CH222" t="s">
        <v>48</v>
      </c>
      <c r="CI222" t="s">
        <v>48</v>
      </c>
      <c r="CJ222" t="s">
        <v>48</v>
      </c>
    </row>
    <row r="223" spans="1:88" x14ac:dyDescent="0.25">
      <c r="A223" s="4" t="s">
        <v>1197</v>
      </c>
      <c r="B223" s="4" t="s">
        <v>2149</v>
      </c>
      <c r="C223" s="4" t="s">
        <v>1360</v>
      </c>
      <c r="D223" s="4" t="str">
        <f>cna_product_database_catalog_website[[#This Row],[MainCategory]]&amp;"&gt;"&amp;cna_product_database_catalog_website[[#This Row],[SubCategory1]]&amp;"&gt;"&amp;cna_product_database_catalog_website[[#This Row],[SubCategory2]]</f>
        <v>Commercial Fixtures&gt;6" Recessed Downlight - Field Adjustable&gt;8" Goof Ring for 6" Downlight</v>
      </c>
      <c r="E223">
        <v>1106</v>
      </c>
      <c r="F223" t="s">
        <v>501</v>
      </c>
      <c r="G223" s="3">
        <v>1057</v>
      </c>
      <c r="H223" s="8">
        <v>5</v>
      </c>
      <c r="I223" t="s">
        <v>501</v>
      </c>
      <c r="J223" t="s">
        <v>501</v>
      </c>
      <c r="K223" t="s">
        <v>502</v>
      </c>
      <c r="L223" t="s">
        <v>46</v>
      </c>
      <c r="M223" s="12"/>
      <c r="N223" t="s">
        <v>47</v>
      </c>
      <c r="O223" s="3">
        <v>1</v>
      </c>
      <c r="P223" s="3">
        <v>1</v>
      </c>
      <c r="Q223" t="s">
        <v>48</v>
      </c>
      <c r="R223" t="s">
        <v>48</v>
      </c>
      <c r="S223" t="s">
        <v>48</v>
      </c>
      <c r="T223" t="s">
        <v>48</v>
      </c>
      <c r="U223" t="s">
        <v>48</v>
      </c>
      <c r="V223" t="s">
        <v>48</v>
      </c>
      <c r="W223" t="s">
        <v>48</v>
      </c>
      <c r="X223" t="s">
        <v>48</v>
      </c>
      <c r="Y223" s="3" t="s">
        <v>48</v>
      </c>
      <c r="Z223" s="3" t="s">
        <v>48</v>
      </c>
      <c r="AA223" s="3" t="s">
        <v>48</v>
      </c>
      <c r="AB223" s="1" t="s">
        <v>48</v>
      </c>
      <c r="AC223" s="1" t="s">
        <v>48</v>
      </c>
      <c r="AD223" t="s">
        <v>48</v>
      </c>
      <c r="AE223"/>
      <c r="AF223" t="s">
        <v>48</v>
      </c>
      <c r="AG223" t="s">
        <v>48</v>
      </c>
      <c r="AH223" t="s">
        <v>48</v>
      </c>
      <c r="AI223" t="s">
        <v>48</v>
      </c>
      <c r="AL223" t="s">
        <v>48</v>
      </c>
      <c r="AO223" t="s">
        <v>48</v>
      </c>
      <c r="AR223">
        <v>246</v>
      </c>
      <c r="AS223">
        <v>0.54</v>
      </c>
      <c r="AT223" t="s">
        <v>504</v>
      </c>
      <c r="AU223" t="s">
        <v>505</v>
      </c>
      <c r="AV223" t="s">
        <v>48</v>
      </c>
      <c r="AW223" t="s">
        <v>48</v>
      </c>
      <c r="AX223" s="2">
        <v>1</v>
      </c>
      <c r="AY223" s="2">
        <v>1</v>
      </c>
      <c r="BC223">
        <f>SUM(cna_product_database_catalog_website[[#This Row],[Box Length (cm)]]*cna_product_database_catalog_website[[#This Row],[Box Width (cm)]]*cna_product_database_catalog_website[[#This Row],[Box Height (cm)]]/1000000)</f>
        <v>0</v>
      </c>
      <c r="BD223">
        <f>SUM(cna_product_database_catalog_website[[#This Row],[Box CBM]]*35.3147)</f>
        <v>0</v>
      </c>
      <c r="BE223" t="s">
        <v>48</v>
      </c>
      <c r="BI22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23">
        <f>SUM(cna_product_database_catalog_website[[#This Row],[Carton CFT]]/61024)</f>
        <v>0</v>
      </c>
      <c r="BM223" t="s">
        <v>48</v>
      </c>
      <c r="BN223" t="s">
        <v>48</v>
      </c>
      <c r="BO223" t="s">
        <v>510</v>
      </c>
      <c r="BP223" t="s">
        <v>48</v>
      </c>
      <c r="BQ223" t="s">
        <v>48</v>
      </c>
      <c r="BS223" t="s">
        <v>48</v>
      </c>
      <c r="BT223" t="s">
        <v>48</v>
      </c>
      <c r="BU223" t="s">
        <v>48</v>
      </c>
      <c r="BW223" t="s">
        <v>48</v>
      </c>
      <c r="BX223" t="s">
        <v>48</v>
      </c>
      <c r="BY223" t="s">
        <v>48</v>
      </c>
      <c r="BZ223" t="s">
        <v>48</v>
      </c>
      <c r="CA223" t="s">
        <v>48</v>
      </c>
      <c r="CB223" t="s">
        <v>48</v>
      </c>
      <c r="CC223" t="s">
        <v>48</v>
      </c>
      <c r="CD223" t="s">
        <v>48</v>
      </c>
      <c r="CE223" t="s">
        <v>48</v>
      </c>
      <c r="CF223" t="s">
        <v>48</v>
      </c>
      <c r="CG223" t="s">
        <v>48</v>
      </c>
      <c r="CH223" t="s">
        <v>48</v>
      </c>
      <c r="CI223" t="s">
        <v>48</v>
      </c>
      <c r="CJ223" t="s">
        <v>48</v>
      </c>
    </row>
    <row r="224" spans="1:88" x14ac:dyDescent="0.25">
      <c r="A224" s="4" t="s">
        <v>1197</v>
      </c>
      <c r="B224" s="4" t="s">
        <v>2150</v>
      </c>
      <c r="C224" s="4" t="s">
        <v>1361</v>
      </c>
      <c r="D224" s="4" t="str">
        <f>cna_product_database_catalog_website[[#This Row],[MainCategory]]&amp;"&gt;"&amp;cna_product_database_catalog_website[[#This Row],[SubCategory1]]&amp;"&gt;"&amp;cna_product_database_catalog_website[[#This Row],[SubCategory2]]</f>
        <v>Commercial Fixtures&gt;Flood Light - Trunion&gt;LED Flood 30W - Yoke / Trunnion Mount</v>
      </c>
      <c r="E224">
        <v>1200</v>
      </c>
      <c r="F224" t="s">
        <v>1917</v>
      </c>
      <c r="G224" s="3">
        <v>988</v>
      </c>
      <c r="H224" s="8">
        <v>25</v>
      </c>
      <c r="I224" t="s">
        <v>1917</v>
      </c>
      <c r="J224" t="s">
        <v>1918</v>
      </c>
      <c r="K224" t="s">
        <v>737</v>
      </c>
      <c r="L224" t="s">
        <v>1929</v>
      </c>
      <c r="M224" s="12" t="str">
        <f>HYPERLINK(cna_product_database_catalog_website[[#This Row],[Spec Sheet Link]], cna_product_database_catalog_website[[#Headers],[Spec Sheet Link]])</f>
        <v>Spec Sheet Link</v>
      </c>
      <c r="N224" t="s">
        <v>47</v>
      </c>
      <c r="O224" s="3">
        <v>1</v>
      </c>
      <c r="P224" s="3">
        <v>1</v>
      </c>
      <c r="Q224" t="s">
        <v>48</v>
      </c>
      <c r="R224" t="s">
        <v>48</v>
      </c>
      <c r="S224" t="s">
        <v>48</v>
      </c>
      <c r="T224" t="s">
        <v>48</v>
      </c>
      <c r="U224" t="s">
        <v>48</v>
      </c>
      <c r="V224" t="s">
        <v>48</v>
      </c>
      <c r="W224" t="s">
        <v>48</v>
      </c>
      <c r="X224" t="s">
        <v>48</v>
      </c>
      <c r="Y224" s="3" t="s">
        <v>48</v>
      </c>
      <c r="Z224" s="3" t="s">
        <v>48</v>
      </c>
      <c r="AA224" s="3" t="s">
        <v>96</v>
      </c>
      <c r="AB224" s="1" t="s">
        <v>48</v>
      </c>
      <c r="AC224" s="1" t="s">
        <v>48</v>
      </c>
      <c r="AD224" t="s">
        <v>48</v>
      </c>
      <c r="AE224"/>
      <c r="AF224" t="s">
        <v>48</v>
      </c>
      <c r="AG224" t="s">
        <v>48</v>
      </c>
      <c r="AH224" t="s">
        <v>48</v>
      </c>
      <c r="AI224" t="s">
        <v>48</v>
      </c>
      <c r="AL224" t="s">
        <v>48</v>
      </c>
      <c r="AO224" t="s">
        <v>48</v>
      </c>
      <c r="AP224" t="s">
        <v>48</v>
      </c>
      <c r="AQ224" t="s">
        <v>48</v>
      </c>
      <c r="AR224">
        <v>1000</v>
      </c>
      <c r="AV224" t="s">
        <v>48</v>
      </c>
      <c r="AW224" t="s">
        <v>48</v>
      </c>
      <c r="AX224" s="2" t="s">
        <v>229</v>
      </c>
      <c r="AY224" s="2" t="s">
        <v>229</v>
      </c>
      <c r="BC224">
        <f>SUM(cna_product_database_catalog_website[[#This Row],[Box Length (cm)]]*cna_product_database_catalog_website[[#This Row],[Box Width (cm)]]*cna_product_database_catalog_website[[#This Row],[Box Height (cm)]]/1000000)</f>
        <v>0</v>
      </c>
      <c r="BD224">
        <f>SUM(cna_product_database_catalog_website[[#This Row],[Box CBM]]*35.3147)</f>
        <v>0</v>
      </c>
      <c r="BE224" t="s">
        <v>48</v>
      </c>
      <c r="BI22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24">
        <f>SUM(cna_product_database_catalog_website[[#This Row],[Carton CFT]]/61024)</f>
        <v>0</v>
      </c>
      <c r="BM224" t="s">
        <v>48</v>
      </c>
      <c r="BN224" t="s">
        <v>48</v>
      </c>
      <c r="BO224" t="s">
        <v>48</v>
      </c>
      <c r="BP224" t="s">
        <v>48</v>
      </c>
      <c r="BQ224" t="s">
        <v>48</v>
      </c>
      <c r="BS224" t="s">
        <v>48</v>
      </c>
      <c r="BT224" t="s">
        <v>48</v>
      </c>
      <c r="BU224" t="s">
        <v>48</v>
      </c>
      <c r="BW224" t="s">
        <v>48</v>
      </c>
      <c r="BX224" t="s">
        <v>48</v>
      </c>
      <c r="BY224" t="s">
        <v>48</v>
      </c>
      <c r="BZ224" t="s">
        <v>48</v>
      </c>
      <c r="CA224" t="s">
        <v>48</v>
      </c>
      <c r="CB224" t="s">
        <v>48</v>
      </c>
      <c r="CC224" t="s">
        <v>48</v>
      </c>
      <c r="CD224" t="s">
        <v>48</v>
      </c>
      <c r="CE224" t="s">
        <v>48</v>
      </c>
      <c r="CF224" t="s">
        <v>48</v>
      </c>
      <c r="CG224" t="s">
        <v>48</v>
      </c>
      <c r="CH224" t="s">
        <v>48</v>
      </c>
      <c r="CI224" t="s">
        <v>48</v>
      </c>
      <c r="CJ224" t="s">
        <v>48</v>
      </c>
    </row>
    <row r="225" spans="1:88" x14ac:dyDescent="0.25">
      <c r="A225" s="4" t="s">
        <v>1197</v>
      </c>
      <c r="B225" s="4" t="s">
        <v>2151</v>
      </c>
      <c r="C225" s="4" t="s">
        <v>1362</v>
      </c>
      <c r="D225" s="4" t="str">
        <f>cna_product_database_catalog_website[[#This Row],[MainCategory]]&amp;"&gt;"&amp;cna_product_database_catalog_website[[#This Row],[SubCategory1]]&amp;"&gt;"&amp;cna_product_database_catalog_website[[#This Row],[SubCategory2]]</f>
        <v>Commercial Fixtures&gt;Wall Pack&gt;347V LED Wall Pack - 145W</v>
      </c>
      <c r="E225">
        <v>1201</v>
      </c>
      <c r="F225" t="s">
        <v>1919</v>
      </c>
      <c r="G225" s="3">
        <v>895</v>
      </c>
      <c r="H225" s="8">
        <v>170</v>
      </c>
      <c r="I225" t="s">
        <v>1919</v>
      </c>
      <c r="J225" t="s">
        <v>1363</v>
      </c>
      <c r="K225" t="s">
        <v>738</v>
      </c>
      <c r="L225" t="s">
        <v>1930</v>
      </c>
      <c r="M225" s="12" t="str">
        <f>HYPERLINK(cna_product_database_catalog_website[[#This Row],[Spec Sheet Link]], cna_product_database_catalog_website[[#Headers],[Spec Sheet Link]])</f>
        <v>Spec Sheet Link</v>
      </c>
      <c r="N225" t="s">
        <v>47</v>
      </c>
      <c r="O225" s="3">
        <v>1</v>
      </c>
      <c r="P225" s="3">
        <v>1</v>
      </c>
      <c r="Q225" t="s">
        <v>1527</v>
      </c>
      <c r="R225" t="s">
        <v>48</v>
      </c>
      <c r="S225" t="s">
        <v>48</v>
      </c>
      <c r="T225" t="s">
        <v>48</v>
      </c>
      <c r="U225" t="s">
        <v>48</v>
      </c>
      <c r="V225" t="s">
        <v>48</v>
      </c>
      <c r="W225" t="s">
        <v>48</v>
      </c>
      <c r="X225" t="s">
        <v>803</v>
      </c>
      <c r="Y225" s="3" t="s">
        <v>48</v>
      </c>
      <c r="Z225" s="3" t="s">
        <v>48</v>
      </c>
      <c r="AA225" s="3" t="s">
        <v>96</v>
      </c>
      <c r="AB225" s="1" t="s">
        <v>48</v>
      </c>
      <c r="AC225" s="1" t="s">
        <v>48</v>
      </c>
      <c r="AD225" t="s">
        <v>48</v>
      </c>
      <c r="AE225"/>
      <c r="AF225" t="s">
        <v>48</v>
      </c>
      <c r="AG225" t="s">
        <v>48</v>
      </c>
      <c r="AH225" t="s">
        <v>48</v>
      </c>
      <c r="AI225" t="s">
        <v>48</v>
      </c>
      <c r="AL225" t="s">
        <v>48</v>
      </c>
      <c r="AO225" t="s">
        <v>48</v>
      </c>
      <c r="AP225" t="s">
        <v>48</v>
      </c>
      <c r="AQ225" t="s">
        <v>48</v>
      </c>
      <c r="AR225">
        <v>3800</v>
      </c>
      <c r="AV225" t="s">
        <v>48</v>
      </c>
      <c r="AW225" t="s">
        <v>48</v>
      </c>
      <c r="AX225" s="2" t="s">
        <v>49</v>
      </c>
      <c r="AY225" s="2" t="s">
        <v>49</v>
      </c>
      <c r="BC225">
        <f>SUM(cna_product_database_catalog_website[[#This Row],[Box Length (cm)]]*cna_product_database_catalog_website[[#This Row],[Box Width (cm)]]*cna_product_database_catalog_website[[#This Row],[Box Height (cm)]]/1000000)</f>
        <v>0</v>
      </c>
      <c r="BD225">
        <f>SUM(cna_product_database_catalog_website[[#This Row],[Box CBM]]*35.3147)</f>
        <v>0</v>
      </c>
      <c r="BE225" t="s">
        <v>48</v>
      </c>
      <c r="BI22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25">
        <f>SUM(cna_product_database_catalog_website[[#This Row],[Carton CFT]]/61024)</f>
        <v>0</v>
      </c>
      <c r="BM225" t="s">
        <v>48</v>
      </c>
      <c r="BN225" t="s">
        <v>48</v>
      </c>
      <c r="BO225" t="s">
        <v>48</v>
      </c>
      <c r="BP225" t="s">
        <v>48</v>
      </c>
      <c r="BQ225" t="s">
        <v>48</v>
      </c>
      <c r="BS225" t="s">
        <v>48</v>
      </c>
      <c r="BT225" t="s">
        <v>48</v>
      </c>
      <c r="BU225" t="s">
        <v>48</v>
      </c>
      <c r="BW225" t="s">
        <v>48</v>
      </c>
      <c r="BX225" t="s">
        <v>48</v>
      </c>
      <c r="BY225" t="s">
        <v>48</v>
      </c>
      <c r="BZ225" t="s">
        <v>48</v>
      </c>
      <c r="CA225" t="s">
        <v>48</v>
      </c>
      <c r="CB225" t="s">
        <v>48</v>
      </c>
      <c r="CC225" t="s">
        <v>48</v>
      </c>
      <c r="CD225" t="s">
        <v>48</v>
      </c>
      <c r="CE225" t="s">
        <v>48</v>
      </c>
      <c r="CF225" t="s">
        <v>48</v>
      </c>
      <c r="CG225" t="s">
        <v>48</v>
      </c>
      <c r="CH225" t="s">
        <v>48</v>
      </c>
      <c r="CI225" t="s">
        <v>48</v>
      </c>
      <c r="CJ225" t="s">
        <v>48</v>
      </c>
    </row>
    <row r="226" spans="1:88" ht="18" x14ac:dyDescent="0.35">
      <c r="A226" s="4" t="s">
        <v>2154</v>
      </c>
      <c r="B226" s="4" t="s">
        <v>2155</v>
      </c>
      <c r="C226" s="4" t="s">
        <v>1364</v>
      </c>
      <c r="D226" s="4" t="str">
        <f>cna_product_database_catalog_website[[#This Row],[MainCategory]]&amp;"&gt;"&amp;cna_product_database_catalog_website[[#This Row],[SubCategory1]]&amp;"&gt;"&amp;cna_product_database_catalog_website[[#This Row],[SubCategory2]]</f>
        <v>Emergency &amp; EXIT&gt;EXIT Lights&gt;Running Man Exit Sign</v>
      </c>
      <c r="E226">
        <v>1500</v>
      </c>
      <c r="F226" t="s">
        <v>739</v>
      </c>
      <c r="G226" s="3">
        <v>989</v>
      </c>
      <c r="H226" s="8">
        <v>37</v>
      </c>
      <c r="I226" t="s">
        <v>739</v>
      </c>
      <c r="J226" t="s">
        <v>1365</v>
      </c>
      <c r="K226" t="s">
        <v>740</v>
      </c>
      <c r="L226" t="s">
        <v>1519</v>
      </c>
      <c r="M226" s="12" t="str">
        <f>HYPERLINK(cna_product_database_catalog_website[[#This Row],[Spec Sheet Link]], cna_product_database_catalog_website[[#Headers],[Spec Sheet Link]])</f>
        <v>Spec Sheet Link</v>
      </c>
      <c r="N226" t="s">
        <v>47</v>
      </c>
      <c r="O226" s="3">
        <v>1</v>
      </c>
      <c r="P226" s="3">
        <v>1</v>
      </c>
      <c r="Q226" t="s">
        <v>1526</v>
      </c>
      <c r="R226" t="s">
        <v>1023</v>
      </c>
      <c r="S226" t="s">
        <v>48</v>
      </c>
      <c r="T226" t="s">
        <v>48</v>
      </c>
      <c r="U226" t="s">
        <v>48</v>
      </c>
      <c r="V226" t="s">
        <v>48</v>
      </c>
      <c r="W226" t="s">
        <v>48</v>
      </c>
      <c r="X226" t="s">
        <v>48</v>
      </c>
      <c r="Y226" s="3" t="s">
        <v>48</v>
      </c>
      <c r="Z226" s="3" t="s">
        <v>48</v>
      </c>
      <c r="AA226" s="3" t="s">
        <v>48</v>
      </c>
      <c r="AB226" s="1" t="s">
        <v>48</v>
      </c>
      <c r="AC226" s="1" t="s">
        <v>551</v>
      </c>
      <c r="AD226" s="10" t="s">
        <v>1533</v>
      </c>
      <c r="AE226" s="10"/>
      <c r="AF226" t="s">
        <v>48</v>
      </c>
      <c r="AG226" t="s">
        <v>1534</v>
      </c>
      <c r="AH226" t="s">
        <v>1535</v>
      </c>
      <c r="AI226" t="s">
        <v>48</v>
      </c>
      <c r="AJ226" t="s">
        <v>131</v>
      </c>
      <c r="AK226" t="s">
        <v>132</v>
      </c>
      <c r="AL226" t="s">
        <v>48</v>
      </c>
      <c r="AM226" t="s">
        <v>1536</v>
      </c>
      <c r="AN226" t="s">
        <v>1537</v>
      </c>
      <c r="AO226" t="s">
        <v>48</v>
      </c>
      <c r="AP226" t="s">
        <v>48</v>
      </c>
      <c r="AQ226" t="s">
        <v>48</v>
      </c>
      <c r="AR226">
        <v>1480</v>
      </c>
      <c r="AV226" t="s">
        <v>48</v>
      </c>
      <c r="AW226" t="s">
        <v>403</v>
      </c>
      <c r="AX226" s="2" t="s">
        <v>741</v>
      </c>
      <c r="AY226" s="2" t="s">
        <v>741</v>
      </c>
      <c r="BC226">
        <f>SUM(cna_product_database_catalog_website[[#This Row],[Box Length (cm)]]*cna_product_database_catalog_website[[#This Row],[Box Width (cm)]]*cna_product_database_catalog_website[[#This Row],[Box Height (cm)]]/1000000)</f>
        <v>0</v>
      </c>
      <c r="BD226">
        <f>SUM(cna_product_database_catalog_website[[#This Row],[Box CBM]]*35.3147)</f>
        <v>0</v>
      </c>
      <c r="BE226" t="s">
        <v>48</v>
      </c>
      <c r="BI22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26">
        <f>SUM(cna_product_database_catalog_website[[#This Row],[Carton CFT]]/61024)</f>
        <v>0</v>
      </c>
      <c r="BM226" t="s">
        <v>48</v>
      </c>
      <c r="BN226" t="s">
        <v>48</v>
      </c>
      <c r="BO226" t="s">
        <v>48</v>
      </c>
      <c r="BP226" t="s">
        <v>48</v>
      </c>
      <c r="BQ226" t="s">
        <v>48</v>
      </c>
      <c r="BS226" t="s">
        <v>48</v>
      </c>
      <c r="BT226" t="s">
        <v>48</v>
      </c>
      <c r="BU226" t="s">
        <v>48</v>
      </c>
      <c r="BW226" t="s">
        <v>48</v>
      </c>
      <c r="BX226" t="s">
        <v>48</v>
      </c>
      <c r="BY226" t="s">
        <v>48</v>
      </c>
      <c r="BZ226" t="s">
        <v>48</v>
      </c>
      <c r="CA226" t="s">
        <v>48</v>
      </c>
      <c r="CB226" t="s">
        <v>48</v>
      </c>
      <c r="CC226" t="s">
        <v>48</v>
      </c>
      <c r="CD226" t="s">
        <v>48</v>
      </c>
      <c r="CE226" t="s">
        <v>48</v>
      </c>
      <c r="CF226" t="s">
        <v>48</v>
      </c>
      <c r="CG226" t="s">
        <v>48</v>
      </c>
      <c r="CH226" t="s">
        <v>48</v>
      </c>
      <c r="CI226" t="s">
        <v>48</v>
      </c>
      <c r="CJ226" t="s">
        <v>48</v>
      </c>
    </row>
    <row r="227" spans="1:88" ht="18" x14ac:dyDescent="0.35">
      <c r="A227" s="4" t="s">
        <v>2154</v>
      </c>
      <c r="B227" s="4" t="s">
        <v>2155</v>
      </c>
      <c r="C227" s="4" t="s">
        <v>1366</v>
      </c>
      <c r="D227" s="4" t="str">
        <f>cna_product_database_catalog_website[[#This Row],[MainCategory]]&amp;"&gt;"&amp;cna_product_database_catalog_website[[#This Row],[SubCategory1]]&amp;"&gt;"&amp;cna_product_database_catalog_website[[#This Row],[SubCategory2]]</f>
        <v>Emergency &amp; EXIT&gt;EXIT Lights&gt;Running Man Combo Unit</v>
      </c>
      <c r="E227">
        <v>1501</v>
      </c>
      <c r="F227" t="s">
        <v>742</v>
      </c>
      <c r="G227" s="3">
        <v>990</v>
      </c>
      <c r="H227" s="8">
        <v>48</v>
      </c>
      <c r="I227" t="s">
        <v>742</v>
      </c>
      <c r="J227" t="s">
        <v>1367</v>
      </c>
      <c r="K227" t="s">
        <v>743</v>
      </c>
      <c r="L227" t="s">
        <v>1520</v>
      </c>
      <c r="M227" s="12" t="str">
        <f>HYPERLINK(cna_product_database_catalog_website[[#This Row],[Spec Sheet Link]], cna_product_database_catalog_website[[#Headers],[Spec Sheet Link]])</f>
        <v>Spec Sheet Link</v>
      </c>
      <c r="N227" t="s">
        <v>47</v>
      </c>
      <c r="O227" s="3">
        <v>1</v>
      </c>
      <c r="P227" s="3">
        <v>1</v>
      </c>
      <c r="Q227" t="s">
        <v>220</v>
      </c>
      <c r="R227" t="s">
        <v>1023</v>
      </c>
      <c r="S227" t="s">
        <v>48</v>
      </c>
      <c r="T227" t="s">
        <v>48</v>
      </c>
      <c r="U227" t="s">
        <v>48</v>
      </c>
      <c r="V227" t="s">
        <v>48</v>
      </c>
      <c r="W227" t="s">
        <v>48</v>
      </c>
      <c r="X227" t="s">
        <v>48</v>
      </c>
      <c r="Y227" s="3" t="s">
        <v>48</v>
      </c>
      <c r="Z227" s="3" t="s">
        <v>48</v>
      </c>
      <c r="AA227" s="3" t="s">
        <v>48</v>
      </c>
      <c r="AB227" s="1" t="s">
        <v>48</v>
      </c>
      <c r="AC227" s="1" t="s">
        <v>551</v>
      </c>
      <c r="AD227" s="10" t="s">
        <v>1533</v>
      </c>
      <c r="AE227" s="10"/>
      <c r="AF227" t="s">
        <v>48</v>
      </c>
      <c r="AG227" t="s">
        <v>1534</v>
      </c>
      <c r="AH227" t="s">
        <v>1535</v>
      </c>
      <c r="AI227" t="s">
        <v>48</v>
      </c>
      <c r="AJ227" t="s">
        <v>352</v>
      </c>
      <c r="AK227" t="s">
        <v>1540</v>
      </c>
      <c r="AL227" t="s">
        <v>48</v>
      </c>
      <c r="AM227" t="s">
        <v>1539</v>
      </c>
      <c r="AN227" t="s">
        <v>1497</v>
      </c>
      <c r="AO227" t="s">
        <v>48</v>
      </c>
      <c r="AP227" t="s">
        <v>48</v>
      </c>
      <c r="AQ227" t="s">
        <v>48</v>
      </c>
      <c r="AR227">
        <v>1750</v>
      </c>
      <c r="AV227" t="s">
        <v>48</v>
      </c>
      <c r="AW227" t="s">
        <v>403</v>
      </c>
      <c r="AX227" s="2" t="s">
        <v>741</v>
      </c>
      <c r="AY227" s="2" t="s">
        <v>741</v>
      </c>
      <c r="BC227">
        <f>SUM(cna_product_database_catalog_website[[#This Row],[Box Length (cm)]]*cna_product_database_catalog_website[[#This Row],[Box Width (cm)]]*cna_product_database_catalog_website[[#This Row],[Box Height (cm)]]/1000000)</f>
        <v>0</v>
      </c>
      <c r="BD227">
        <f>SUM(cna_product_database_catalog_website[[#This Row],[Box CBM]]*35.3147)</f>
        <v>0</v>
      </c>
      <c r="BE227" t="s">
        <v>48</v>
      </c>
      <c r="BI22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27">
        <f>SUM(cna_product_database_catalog_website[[#This Row],[Carton CFT]]/61024)</f>
        <v>0</v>
      </c>
      <c r="BM227" t="s">
        <v>48</v>
      </c>
      <c r="BN227" t="s">
        <v>48</v>
      </c>
      <c r="BO227" t="s">
        <v>48</v>
      </c>
      <c r="BP227" t="s">
        <v>48</v>
      </c>
      <c r="BQ227" t="s">
        <v>48</v>
      </c>
      <c r="BS227" t="s">
        <v>48</v>
      </c>
      <c r="BT227" t="s">
        <v>48</v>
      </c>
      <c r="BU227" t="s">
        <v>48</v>
      </c>
      <c r="BW227" t="s">
        <v>48</v>
      </c>
      <c r="BX227" t="s">
        <v>48</v>
      </c>
      <c r="BY227" t="s">
        <v>48</v>
      </c>
      <c r="BZ227" t="s">
        <v>48</v>
      </c>
      <c r="CA227" t="s">
        <v>48</v>
      </c>
      <c r="CB227" t="s">
        <v>48</v>
      </c>
      <c r="CC227" t="s">
        <v>48</v>
      </c>
      <c r="CD227" t="s">
        <v>48</v>
      </c>
      <c r="CE227" t="s">
        <v>48</v>
      </c>
      <c r="CF227" t="s">
        <v>48</v>
      </c>
      <c r="CG227" t="s">
        <v>48</v>
      </c>
      <c r="CH227" t="s">
        <v>48</v>
      </c>
      <c r="CI227" t="s">
        <v>48</v>
      </c>
      <c r="CJ227" t="s">
        <v>48</v>
      </c>
    </row>
    <row r="228" spans="1:88" ht="18" x14ac:dyDescent="0.35">
      <c r="A228" s="4" t="s">
        <v>2154</v>
      </c>
      <c r="B228" s="4" t="s">
        <v>2153</v>
      </c>
      <c r="C228" s="4" t="s">
        <v>1370</v>
      </c>
      <c r="D228" s="4" t="str">
        <f>cna_product_database_catalog_website[[#This Row],[MainCategory]]&amp;"&gt;"&amp;cna_product_database_catalog_website[[#This Row],[SubCategory1]]&amp;"&gt;"&amp;cna_product_database_catalog_website[[#This Row],[SubCategory2]]</f>
        <v>Emergency &amp; EXIT&gt;Emergency Lights&gt;Battery Pack 36W</v>
      </c>
      <c r="E228">
        <v>1510</v>
      </c>
      <c r="F228" t="s">
        <v>744</v>
      </c>
      <c r="G228" s="3">
        <v>1067</v>
      </c>
      <c r="H228" s="8">
        <v>55</v>
      </c>
      <c r="I228" t="s">
        <v>744</v>
      </c>
      <c r="J228" t="s">
        <v>1368</v>
      </c>
      <c r="K228" t="s">
        <v>745</v>
      </c>
      <c r="L228" t="s">
        <v>1521</v>
      </c>
      <c r="M228" s="12" t="str">
        <f>HYPERLINK(cna_product_database_catalog_website[[#This Row],[Spec Sheet Link]], cna_product_database_catalog_website[[#Headers],[Spec Sheet Link]])</f>
        <v>Spec Sheet Link</v>
      </c>
      <c r="N228" t="s">
        <v>47</v>
      </c>
      <c r="O228" s="3">
        <v>1</v>
      </c>
      <c r="P228" s="3">
        <v>1</v>
      </c>
      <c r="Q228" t="s">
        <v>706</v>
      </c>
      <c r="R228" t="s">
        <v>1528</v>
      </c>
      <c r="S228" t="s">
        <v>48</v>
      </c>
      <c r="T228" t="s">
        <v>48</v>
      </c>
      <c r="U228" t="s">
        <v>48</v>
      </c>
      <c r="V228" t="s">
        <v>48</v>
      </c>
      <c r="W228" t="s">
        <v>48</v>
      </c>
      <c r="X228" t="s">
        <v>48</v>
      </c>
      <c r="Y228" s="3" t="s">
        <v>48</v>
      </c>
      <c r="Z228" s="3" t="s">
        <v>48</v>
      </c>
      <c r="AA228" s="3" t="s">
        <v>48</v>
      </c>
      <c r="AB228" s="1" t="s">
        <v>48</v>
      </c>
      <c r="AC228" s="1" t="s">
        <v>551</v>
      </c>
      <c r="AD228" s="10" t="s">
        <v>1533</v>
      </c>
      <c r="AE228" s="10"/>
      <c r="AF228" t="s">
        <v>48</v>
      </c>
      <c r="AG228" t="s">
        <v>1541</v>
      </c>
      <c r="AH228" t="s">
        <v>1542</v>
      </c>
      <c r="AI228" t="s">
        <v>48</v>
      </c>
      <c r="AJ228" t="s">
        <v>1545</v>
      </c>
      <c r="AK228" t="s">
        <v>1538</v>
      </c>
      <c r="AL228" t="s">
        <v>48</v>
      </c>
      <c r="AM228" t="s">
        <v>1543</v>
      </c>
      <c r="AN228" t="s">
        <v>1544</v>
      </c>
      <c r="AO228" t="s">
        <v>48</v>
      </c>
      <c r="AP228" t="s">
        <v>48</v>
      </c>
      <c r="AQ228" t="s">
        <v>48</v>
      </c>
      <c r="AR228">
        <v>2440</v>
      </c>
      <c r="AV228" t="s">
        <v>48</v>
      </c>
      <c r="AW228" t="s">
        <v>403</v>
      </c>
      <c r="AX228" s="2" t="s">
        <v>538</v>
      </c>
      <c r="AY228" s="2" t="s">
        <v>538</v>
      </c>
      <c r="BC228">
        <f>SUM(cna_product_database_catalog_website[[#This Row],[Box Length (cm)]]*cna_product_database_catalog_website[[#This Row],[Box Width (cm)]]*cna_product_database_catalog_website[[#This Row],[Box Height (cm)]]/1000000)</f>
        <v>0</v>
      </c>
      <c r="BD228">
        <f>SUM(cna_product_database_catalog_website[[#This Row],[Box CBM]]*35.3147)</f>
        <v>0</v>
      </c>
      <c r="BE228" t="s">
        <v>48</v>
      </c>
      <c r="BI22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28">
        <f>SUM(cna_product_database_catalog_website[[#This Row],[Carton CFT]]/61024)</f>
        <v>0</v>
      </c>
      <c r="BM228" t="s">
        <v>48</v>
      </c>
      <c r="BN228" t="s">
        <v>48</v>
      </c>
      <c r="BO228" t="s">
        <v>48</v>
      </c>
      <c r="BP228" t="s">
        <v>48</v>
      </c>
      <c r="BQ228" t="s">
        <v>48</v>
      </c>
      <c r="BS228" t="s">
        <v>48</v>
      </c>
      <c r="BT228" t="s">
        <v>48</v>
      </c>
      <c r="BU228" t="s">
        <v>48</v>
      </c>
      <c r="BW228" t="s">
        <v>48</v>
      </c>
      <c r="BX228" t="s">
        <v>48</v>
      </c>
      <c r="BY228" t="s">
        <v>48</v>
      </c>
      <c r="BZ228" t="s">
        <v>48</v>
      </c>
      <c r="CA228" t="s">
        <v>48</v>
      </c>
      <c r="CB228" t="s">
        <v>48</v>
      </c>
      <c r="CC228" t="s">
        <v>48</v>
      </c>
      <c r="CD228" t="s">
        <v>48</v>
      </c>
      <c r="CE228" t="s">
        <v>48</v>
      </c>
      <c r="CF228" t="s">
        <v>48</v>
      </c>
      <c r="CG228" t="s">
        <v>48</v>
      </c>
      <c r="CH228" t="s">
        <v>48</v>
      </c>
      <c r="CI228" t="s">
        <v>48</v>
      </c>
      <c r="CJ228" t="s">
        <v>48</v>
      </c>
    </row>
    <row r="229" spans="1:88" ht="18" x14ac:dyDescent="0.35">
      <c r="A229" s="4" t="s">
        <v>2154</v>
      </c>
      <c r="B229" s="4" t="s">
        <v>2153</v>
      </c>
      <c r="C229" s="4" t="s">
        <v>1371</v>
      </c>
      <c r="D229" s="4" t="str">
        <f>cna_product_database_catalog_website[[#This Row],[MainCategory]]&amp;"&gt;"&amp;cna_product_database_catalog_website[[#This Row],[SubCategory1]]&amp;"&gt;"&amp;cna_product_database_catalog_website[[#This Row],[SubCategory2]]</f>
        <v>Emergency &amp; EXIT&gt;Emergency Lights&gt;Battery Pack 72W</v>
      </c>
      <c r="E229">
        <v>1511</v>
      </c>
      <c r="F229" t="s">
        <v>746</v>
      </c>
      <c r="G229" s="3">
        <v>1068</v>
      </c>
      <c r="H229" s="8">
        <v>75</v>
      </c>
      <c r="I229" t="s">
        <v>746</v>
      </c>
      <c r="J229" t="s">
        <v>1369</v>
      </c>
      <c r="K229" t="s">
        <v>747</v>
      </c>
      <c r="L229" t="s">
        <v>1522</v>
      </c>
      <c r="M229" s="12" t="str">
        <f>HYPERLINK(cna_product_database_catalog_website[[#This Row],[Spec Sheet Link]], cna_product_database_catalog_website[[#Headers],[Spec Sheet Link]])</f>
        <v>Spec Sheet Link</v>
      </c>
      <c r="N229" t="s">
        <v>47</v>
      </c>
      <c r="O229" s="3">
        <v>1</v>
      </c>
      <c r="P229" s="3">
        <v>1</v>
      </c>
      <c r="Q229" t="s">
        <v>709</v>
      </c>
      <c r="R229" t="s">
        <v>1528</v>
      </c>
      <c r="S229" t="s">
        <v>48</v>
      </c>
      <c r="T229" t="s">
        <v>48</v>
      </c>
      <c r="U229" t="s">
        <v>48</v>
      </c>
      <c r="V229" t="s">
        <v>48</v>
      </c>
      <c r="W229" t="s">
        <v>48</v>
      </c>
      <c r="X229" t="s">
        <v>48</v>
      </c>
      <c r="Y229" s="3" t="s">
        <v>48</v>
      </c>
      <c r="Z229" s="3" t="s">
        <v>48</v>
      </c>
      <c r="AA229" s="3" t="s">
        <v>48</v>
      </c>
      <c r="AB229" s="1" t="s">
        <v>48</v>
      </c>
      <c r="AC229" s="1" t="s">
        <v>551</v>
      </c>
      <c r="AD229" s="10" t="s">
        <v>1533</v>
      </c>
      <c r="AE229" s="10"/>
      <c r="AF229" t="s">
        <v>48</v>
      </c>
      <c r="AG229" t="s">
        <v>1546</v>
      </c>
      <c r="AH229" t="s">
        <v>1547</v>
      </c>
      <c r="AI229" t="s">
        <v>48</v>
      </c>
      <c r="AJ229" t="s">
        <v>1550</v>
      </c>
      <c r="AK229" t="s">
        <v>1551</v>
      </c>
      <c r="AL229" t="s">
        <v>48</v>
      </c>
      <c r="AM229" t="s">
        <v>1548</v>
      </c>
      <c r="AN229" t="s">
        <v>1549</v>
      </c>
      <c r="AP229" t="s">
        <v>48</v>
      </c>
      <c r="AQ229" t="s">
        <v>48</v>
      </c>
      <c r="AR229">
        <v>4243</v>
      </c>
      <c r="AV229" t="s">
        <v>48</v>
      </c>
      <c r="AW229" t="s">
        <v>403</v>
      </c>
      <c r="AX229" s="2" t="s">
        <v>488</v>
      </c>
      <c r="AY229" s="2" t="s">
        <v>488</v>
      </c>
      <c r="BC229">
        <f>SUM(cna_product_database_catalog_website[[#This Row],[Box Length (cm)]]*cna_product_database_catalog_website[[#This Row],[Box Width (cm)]]*cna_product_database_catalog_website[[#This Row],[Box Height (cm)]]/1000000)</f>
        <v>0</v>
      </c>
      <c r="BD229">
        <f>SUM(cna_product_database_catalog_website[[#This Row],[Box CBM]]*35.3147)</f>
        <v>0</v>
      </c>
      <c r="BE229" t="s">
        <v>48</v>
      </c>
      <c r="BI22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29">
        <f>SUM(cna_product_database_catalog_website[[#This Row],[Carton CFT]]/61024)</f>
        <v>0</v>
      </c>
      <c r="BM229" t="s">
        <v>48</v>
      </c>
      <c r="BN229" t="s">
        <v>48</v>
      </c>
      <c r="BO229" t="s">
        <v>48</v>
      </c>
      <c r="BP229" t="s">
        <v>48</v>
      </c>
      <c r="BQ229" t="s">
        <v>48</v>
      </c>
      <c r="BS229" t="s">
        <v>48</v>
      </c>
      <c r="BT229" t="s">
        <v>48</v>
      </c>
      <c r="BU229" t="s">
        <v>48</v>
      </c>
      <c r="BW229" t="s">
        <v>48</v>
      </c>
      <c r="BX229" t="s">
        <v>48</v>
      </c>
      <c r="BY229" t="s">
        <v>48</v>
      </c>
      <c r="BZ229" t="s">
        <v>48</v>
      </c>
      <c r="CA229" t="s">
        <v>48</v>
      </c>
      <c r="CB229" t="s">
        <v>48</v>
      </c>
      <c r="CC229" t="s">
        <v>48</v>
      </c>
      <c r="CD229" t="s">
        <v>48</v>
      </c>
      <c r="CE229" t="s">
        <v>48</v>
      </c>
      <c r="CF229" t="s">
        <v>48</v>
      </c>
      <c r="CG229" t="s">
        <v>48</v>
      </c>
      <c r="CH229" t="s">
        <v>48</v>
      </c>
      <c r="CI229" t="s">
        <v>48</v>
      </c>
      <c r="CJ229" t="s">
        <v>48</v>
      </c>
    </row>
    <row r="230" spans="1:88" ht="18" x14ac:dyDescent="0.35">
      <c r="A230" s="4" t="s">
        <v>2154</v>
      </c>
      <c r="B230" s="4" t="s">
        <v>2153</v>
      </c>
      <c r="C230" s="4" t="s">
        <v>1372</v>
      </c>
      <c r="D230" s="4" t="str">
        <f>cna_product_database_catalog_website[[#This Row],[MainCategory]]&amp;"&gt;"&amp;cna_product_database_catalog_website[[#This Row],[SubCategory1]]&amp;"&gt;"&amp;cna_product_database_catalog_website[[#This Row],[SubCategory2]]</f>
        <v xml:space="preserve">Emergency &amp; EXIT&gt;Emergency Lights&gt;Single Remote Head </v>
      </c>
      <c r="E230">
        <v>1520</v>
      </c>
      <c r="F230" t="s">
        <v>748</v>
      </c>
      <c r="G230" s="3">
        <v>1069</v>
      </c>
      <c r="H230" s="8">
        <v>8.5</v>
      </c>
      <c r="I230" t="s">
        <v>748</v>
      </c>
      <c r="J230" t="s">
        <v>1374</v>
      </c>
      <c r="K230" t="s">
        <v>749</v>
      </c>
      <c r="L230" t="s">
        <v>1523</v>
      </c>
      <c r="M230" s="12" t="str">
        <f>HYPERLINK(cna_product_database_catalog_website[[#This Row],[Spec Sheet Link]], cna_product_database_catalog_website[[#Headers],[Spec Sheet Link]])</f>
        <v>Spec Sheet Link</v>
      </c>
      <c r="N230" t="s">
        <v>47</v>
      </c>
      <c r="O230" s="3">
        <v>1</v>
      </c>
      <c r="P230" s="3">
        <v>1</v>
      </c>
      <c r="Q230" t="s">
        <v>1526</v>
      </c>
      <c r="R230" t="s">
        <v>1529</v>
      </c>
      <c r="S230" t="s">
        <v>1530</v>
      </c>
      <c r="T230" t="s">
        <v>1531</v>
      </c>
      <c r="U230" t="s">
        <v>48</v>
      </c>
      <c r="V230" t="s">
        <v>48</v>
      </c>
      <c r="W230" t="s">
        <v>750</v>
      </c>
      <c r="X230" t="s">
        <v>48</v>
      </c>
      <c r="Y230" s="3" t="s">
        <v>48</v>
      </c>
      <c r="Z230" s="3" t="s">
        <v>48</v>
      </c>
      <c r="AA230" s="3" t="s">
        <v>48</v>
      </c>
      <c r="AB230" s="1" t="s">
        <v>48</v>
      </c>
      <c r="AC230" s="1" t="s">
        <v>551</v>
      </c>
      <c r="AD230" s="10" t="s">
        <v>1533</v>
      </c>
      <c r="AE230" s="10"/>
      <c r="AF230" t="s">
        <v>48</v>
      </c>
      <c r="AG230" t="s">
        <v>48</v>
      </c>
      <c r="AH230" t="s">
        <v>48</v>
      </c>
      <c r="AI230" t="s">
        <v>48</v>
      </c>
      <c r="AL230" t="s">
        <v>48</v>
      </c>
      <c r="AM230" t="s">
        <v>1543</v>
      </c>
      <c r="AN230" t="s">
        <v>1544</v>
      </c>
      <c r="AO230" t="s">
        <v>163</v>
      </c>
      <c r="AP230" t="s">
        <v>368</v>
      </c>
      <c r="AQ230" t="s">
        <v>48</v>
      </c>
      <c r="AR230">
        <v>275</v>
      </c>
      <c r="AV230" t="s">
        <v>48</v>
      </c>
      <c r="AW230" t="s">
        <v>403</v>
      </c>
      <c r="AX230" s="2" t="s">
        <v>402</v>
      </c>
      <c r="AY230" s="2" t="s">
        <v>402</v>
      </c>
      <c r="BC230">
        <f>SUM(cna_product_database_catalog_website[[#This Row],[Box Length (cm)]]*cna_product_database_catalog_website[[#This Row],[Box Width (cm)]]*cna_product_database_catalog_website[[#This Row],[Box Height (cm)]]/1000000)</f>
        <v>0</v>
      </c>
      <c r="BD230">
        <f>SUM(cna_product_database_catalog_website[[#This Row],[Box CBM]]*35.3147)</f>
        <v>0</v>
      </c>
      <c r="BE230" t="s">
        <v>48</v>
      </c>
      <c r="BI23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30">
        <f>SUM(cna_product_database_catalog_website[[#This Row],[Carton CFT]]/61024)</f>
        <v>0</v>
      </c>
      <c r="BM230" t="s">
        <v>48</v>
      </c>
      <c r="BN230" t="s">
        <v>48</v>
      </c>
      <c r="BO230" t="s">
        <v>48</v>
      </c>
      <c r="BP230" t="s">
        <v>48</v>
      </c>
      <c r="BQ230" t="s">
        <v>48</v>
      </c>
      <c r="BS230" t="s">
        <v>48</v>
      </c>
      <c r="BT230" t="s">
        <v>48</v>
      </c>
      <c r="BU230" t="s">
        <v>48</v>
      </c>
      <c r="BW230" t="s">
        <v>48</v>
      </c>
      <c r="BX230" t="s">
        <v>48</v>
      </c>
      <c r="BY230" t="s">
        <v>48</v>
      </c>
      <c r="BZ230" t="s">
        <v>48</v>
      </c>
      <c r="CA230" t="s">
        <v>48</v>
      </c>
      <c r="CB230" t="s">
        <v>48</v>
      </c>
      <c r="CC230" t="s">
        <v>48</v>
      </c>
      <c r="CD230" t="s">
        <v>48</v>
      </c>
      <c r="CE230" t="s">
        <v>48</v>
      </c>
      <c r="CF230" t="s">
        <v>48</v>
      </c>
      <c r="CG230" t="s">
        <v>48</v>
      </c>
      <c r="CH230" t="s">
        <v>48</v>
      </c>
      <c r="CI230" t="s">
        <v>48</v>
      </c>
      <c r="CJ230" t="s">
        <v>48</v>
      </c>
    </row>
    <row r="231" spans="1:88" ht="18" x14ac:dyDescent="0.35">
      <c r="A231" s="4" t="s">
        <v>2154</v>
      </c>
      <c r="B231" s="4" t="s">
        <v>2153</v>
      </c>
      <c r="C231" s="4" t="s">
        <v>1373</v>
      </c>
      <c r="D231" s="4" t="str">
        <f>cna_product_database_catalog_website[[#This Row],[MainCategory]]&amp;"&gt;"&amp;cna_product_database_catalog_website[[#This Row],[SubCategory1]]&amp;"&gt;"&amp;cna_product_database_catalog_website[[#This Row],[SubCategory2]]</f>
        <v>Emergency &amp; EXIT&gt;Emergency Lights&gt;Dual Remote Head</v>
      </c>
      <c r="E231">
        <v>1521</v>
      </c>
      <c r="F231" t="s">
        <v>751</v>
      </c>
      <c r="G231" s="3">
        <v>1070</v>
      </c>
      <c r="H231" s="8">
        <v>13.5</v>
      </c>
      <c r="I231" t="s">
        <v>751</v>
      </c>
      <c r="J231" t="s">
        <v>1375</v>
      </c>
      <c r="K231" t="s">
        <v>752</v>
      </c>
      <c r="L231" t="s">
        <v>1524</v>
      </c>
      <c r="M231" s="12" t="str">
        <f>HYPERLINK(cna_product_database_catalog_website[[#This Row],[Spec Sheet Link]], cna_product_database_catalog_website[[#Headers],[Spec Sheet Link]])</f>
        <v>Spec Sheet Link</v>
      </c>
      <c r="N231" t="s">
        <v>47</v>
      </c>
      <c r="O231" s="3">
        <v>1</v>
      </c>
      <c r="P231" s="3">
        <v>1</v>
      </c>
      <c r="Q231" t="s">
        <v>1525</v>
      </c>
      <c r="R231" t="s">
        <v>1529</v>
      </c>
      <c r="S231" t="s">
        <v>1532</v>
      </c>
      <c r="T231" t="s">
        <v>1531</v>
      </c>
      <c r="U231" t="s">
        <v>48</v>
      </c>
      <c r="V231" t="s">
        <v>48</v>
      </c>
      <c r="W231" t="s">
        <v>753</v>
      </c>
      <c r="X231" t="s">
        <v>48</v>
      </c>
      <c r="Y231" s="3" t="s">
        <v>48</v>
      </c>
      <c r="Z231" s="3" t="s">
        <v>48</v>
      </c>
      <c r="AA231" s="3" t="s">
        <v>48</v>
      </c>
      <c r="AB231" s="1" t="s">
        <v>48</v>
      </c>
      <c r="AC231" s="1" t="s">
        <v>551</v>
      </c>
      <c r="AD231" s="10" t="s">
        <v>1533</v>
      </c>
      <c r="AE231" s="10"/>
      <c r="AF231" t="s">
        <v>48</v>
      </c>
      <c r="AG231" t="s">
        <v>48</v>
      </c>
      <c r="AH231" t="s">
        <v>48</v>
      </c>
      <c r="AI231" t="s">
        <v>48</v>
      </c>
      <c r="AL231" t="s">
        <v>48</v>
      </c>
      <c r="AM231" t="s">
        <v>1553</v>
      </c>
      <c r="AN231" t="s">
        <v>1554</v>
      </c>
      <c r="AO231" t="s">
        <v>1552</v>
      </c>
      <c r="AP231" t="s">
        <v>368</v>
      </c>
      <c r="AQ231" t="s">
        <v>48</v>
      </c>
      <c r="AR231">
        <v>367</v>
      </c>
      <c r="AV231" t="s">
        <v>48</v>
      </c>
      <c r="AW231" t="s">
        <v>403</v>
      </c>
      <c r="AX231" s="2" t="s">
        <v>402</v>
      </c>
      <c r="AY231" s="2" t="s">
        <v>402</v>
      </c>
      <c r="BC231">
        <f>SUM(cna_product_database_catalog_website[[#This Row],[Box Length (cm)]]*cna_product_database_catalog_website[[#This Row],[Box Width (cm)]]*cna_product_database_catalog_website[[#This Row],[Box Height (cm)]]/1000000)</f>
        <v>0</v>
      </c>
      <c r="BD231">
        <f>SUM(cna_product_database_catalog_website[[#This Row],[Box CBM]]*35.3147)</f>
        <v>0</v>
      </c>
      <c r="BE231" t="s">
        <v>48</v>
      </c>
      <c r="BI23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31">
        <f>SUM(cna_product_database_catalog_website[[#This Row],[Carton CFT]]/61024)</f>
        <v>0</v>
      </c>
      <c r="BM231" t="s">
        <v>48</v>
      </c>
      <c r="BN231" t="s">
        <v>48</v>
      </c>
      <c r="BO231" t="s">
        <v>48</v>
      </c>
      <c r="BP231" t="s">
        <v>48</v>
      </c>
      <c r="BQ231" t="s">
        <v>48</v>
      </c>
      <c r="BS231" t="s">
        <v>48</v>
      </c>
      <c r="BT231" t="s">
        <v>48</v>
      </c>
      <c r="BU231" t="s">
        <v>48</v>
      </c>
      <c r="BW231" t="s">
        <v>48</v>
      </c>
      <c r="BX231" t="s">
        <v>48</v>
      </c>
      <c r="BY231" t="s">
        <v>48</v>
      </c>
      <c r="BZ231" t="s">
        <v>48</v>
      </c>
      <c r="CA231" t="s">
        <v>48</v>
      </c>
      <c r="CB231" t="s">
        <v>48</v>
      </c>
      <c r="CC231" t="s">
        <v>48</v>
      </c>
      <c r="CD231" t="s">
        <v>48</v>
      </c>
      <c r="CE231" t="s">
        <v>48</v>
      </c>
      <c r="CF231" t="s">
        <v>48</v>
      </c>
      <c r="CG231" t="s">
        <v>48</v>
      </c>
      <c r="CH231" t="s">
        <v>48</v>
      </c>
      <c r="CI231" t="s">
        <v>48</v>
      </c>
      <c r="CJ231" t="s">
        <v>48</v>
      </c>
    </row>
    <row r="232" spans="1:88" x14ac:dyDescent="0.25">
      <c r="A232" s="4" t="s">
        <v>2152</v>
      </c>
      <c r="B232" s="4" t="s">
        <v>1200</v>
      </c>
      <c r="C232" s="4" t="s">
        <v>1376</v>
      </c>
      <c r="D232" s="4" t="str">
        <f>cna_product_database_catalog_website[[#This Row],[MainCategory]]&amp;"&gt;"&amp;cna_product_database_catalog_website[[#This Row],[SubCategory1]]&amp;"&gt;"&amp;cna_product_database_catalog_website[[#This Row],[SubCategory2]]</f>
        <v>Halogen&gt;2024 Halogen Bulbs&gt;78mm J-Type 75W</v>
      </c>
      <c r="E232">
        <v>2000</v>
      </c>
      <c r="F232" t="s">
        <v>754</v>
      </c>
      <c r="G232" s="3">
        <v>419</v>
      </c>
      <c r="H232" s="8">
        <v>1.5</v>
      </c>
      <c r="I232" t="s">
        <v>754</v>
      </c>
      <c r="J232" t="s">
        <v>757</v>
      </c>
      <c r="K232" t="s">
        <v>755</v>
      </c>
      <c r="L232" t="s">
        <v>756</v>
      </c>
      <c r="M232" s="12" t="str">
        <f>HYPERLINK(cna_product_database_catalog_website[[#This Row],[Spec Sheet Link]], cna_product_database_catalog_website[[#Headers],[Spec Sheet Link]])</f>
        <v>Spec Sheet Link</v>
      </c>
      <c r="N232" t="s">
        <v>47</v>
      </c>
      <c r="O232" s="3">
        <v>1</v>
      </c>
      <c r="P232" s="3">
        <v>1</v>
      </c>
      <c r="Q232" t="s">
        <v>758</v>
      </c>
      <c r="R232" t="s">
        <v>53</v>
      </c>
      <c r="S232" t="s">
        <v>536</v>
      </c>
      <c r="T232" t="s">
        <v>48</v>
      </c>
      <c r="U232" t="s">
        <v>759</v>
      </c>
      <c r="V232" t="s">
        <v>48</v>
      </c>
      <c r="W232" t="s">
        <v>305</v>
      </c>
      <c r="X232" t="s">
        <v>760</v>
      </c>
      <c r="Y232" s="3" t="s">
        <v>48</v>
      </c>
      <c r="Z232" s="3" t="s">
        <v>48</v>
      </c>
      <c r="AA232" s="3" t="s">
        <v>48</v>
      </c>
      <c r="AB232" s="1" t="s">
        <v>48</v>
      </c>
      <c r="AC232" s="1" t="s">
        <v>48</v>
      </c>
      <c r="AD232" t="s">
        <v>48</v>
      </c>
      <c r="AE232"/>
      <c r="AF232" t="s">
        <v>48</v>
      </c>
      <c r="AG232" t="s">
        <v>48</v>
      </c>
      <c r="AH232" t="s">
        <v>48</v>
      </c>
      <c r="AI232" t="s">
        <v>48</v>
      </c>
      <c r="AL232" t="s">
        <v>48</v>
      </c>
      <c r="AO232" t="s">
        <v>48</v>
      </c>
      <c r="AP232" t="s">
        <v>48</v>
      </c>
      <c r="AQ232" t="s">
        <v>48</v>
      </c>
      <c r="AV232" t="s">
        <v>48</v>
      </c>
      <c r="AW232" t="s">
        <v>48</v>
      </c>
      <c r="AX232" s="2" t="s">
        <v>48</v>
      </c>
      <c r="AY232" s="2" t="s">
        <v>48</v>
      </c>
      <c r="BC232">
        <f>SUM(cna_product_database_catalog_website[[#This Row],[Box Length (cm)]]*cna_product_database_catalog_website[[#This Row],[Box Width (cm)]]*cna_product_database_catalog_website[[#This Row],[Box Height (cm)]]/1000000)</f>
        <v>0</v>
      </c>
      <c r="BD232">
        <f>SUM(cna_product_database_catalog_website[[#This Row],[Box CBM]]*35.3147)</f>
        <v>0</v>
      </c>
      <c r="BE232" t="s">
        <v>48</v>
      </c>
      <c r="BI23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32">
        <f>SUM(cna_product_database_catalog_website[[#This Row],[Carton CFT]]/61024)</f>
        <v>0</v>
      </c>
      <c r="BM232" t="s">
        <v>48</v>
      </c>
      <c r="BN232" t="s">
        <v>48</v>
      </c>
      <c r="BO232" t="s">
        <v>48</v>
      </c>
      <c r="BP232" t="s">
        <v>48</v>
      </c>
      <c r="BQ232" t="s">
        <v>48</v>
      </c>
      <c r="BS232" t="s">
        <v>48</v>
      </c>
      <c r="BT232" t="s">
        <v>48</v>
      </c>
      <c r="BU232" t="s">
        <v>48</v>
      </c>
      <c r="BW232" t="s">
        <v>48</v>
      </c>
      <c r="BX232" t="s">
        <v>48</v>
      </c>
      <c r="BY232" t="s">
        <v>48</v>
      </c>
      <c r="BZ232" t="s">
        <v>48</v>
      </c>
      <c r="CA232" t="s">
        <v>48</v>
      </c>
      <c r="CB232" t="s">
        <v>48</v>
      </c>
      <c r="CC232" t="s">
        <v>48</v>
      </c>
      <c r="CD232" t="s">
        <v>48</v>
      </c>
      <c r="CE232" t="s">
        <v>48</v>
      </c>
      <c r="CF232" t="s">
        <v>48</v>
      </c>
      <c r="CG232" t="s">
        <v>48</v>
      </c>
      <c r="CH232" t="s">
        <v>48</v>
      </c>
      <c r="CI232" t="s">
        <v>48</v>
      </c>
      <c r="CJ232" t="s">
        <v>48</v>
      </c>
    </row>
    <row r="233" spans="1:88" x14ac:dyDescent="0.25">
      <c r="A233" s="4" t="s">
        <v>2152</v>
      </c>
      <c r="B233" s="4" t="s">
        <v>1200</v>
      </c>
      <c r="C233" s="4" t="s">
        <v>1377</v>
      </c>
      <c r="D233" s="4" t="str">
        <f>cna_product_database_catalog_website[[#This Row],[MainCategory]]&amp;"&gt;"&amp;cna_product_database_catalog_website[[#This Row],[SubCategory1]]&amp;"&gt;"&amp;cna_product_database_catalog_website[[#This Row],[SubCategory2]]</f>
        <v>Halogen&gt;2024 Halogen Bulbs&gt;78mm J-Type 100W</v>
      </c>
      <c r="E233">
        <v>2010</v>
      </c>
      <c r="F233" t="s">
        <v>761</v>
      </c>
      <c r="G233" s="3">
        <v>420</v>
      </c>
      <c r="H233" s="8">
        <v>1.5</v>
      </c>
      <c r="I233" t="s">
        <v>761</v>
      </c>
      <c r="J233" t="s">
        <v>757</v>
      </c>
      <c r="K233" t="s">
        <v>755</v>
      </c>
      <c r="L233" t="s">
        <v>756</v>
      </c>
      <c r="M233" s="12" t="str">
        <f>HYPERLINK(cna_product_database_catalog_website[[#This Row],[Spec Sheet Link]], cna_product_database_catalog_website[[#Headers],[Spec Sheet Link]])</f>
        <v>Spec Sheet Link</v>
      </c>
      <c r="N233" t="s">
        <v>47</v>
      </c>
      <c r="O233" s="3">
        <v>1</v>
      </c>
      <c r="P233" s="3">
        <v>1</v>
      </c>
      <c r="Q233" t="s">
        <v>762</v>
      </c>
      <c r="R233" t="s">
        <v>53</v>
      </c>
      <c r="S233" t="s">
        <v>763</v>
      </c>
      <c r="T233" t="s">
        <v>48</v>
      </c>
      <c r="U233" t="s">
        <v>759</v>
      </c>
      <c r="V233" t="s">
        <v>48</v>
      </c>
      <c r="W233" t="s">
        <v>305</v>
      </c>
      <c r="X233" t="s">
        <v>760</v>
      </c>
      <c r="Y233" s="3" t="s">
        <v>48</v>
      </c>
      <c r="Z233" s="3" t="s">
        <v>48</v>
      </c>
      <c r="AA233" s="3" t="s">
        <v>48</v>
      </c>
      <c r="AB233" s="1" t="s">
        <v>48</v>
      </c>
      <c r="AC233" s="1" t="s">
        <v>48</v>
      </c>
      <c r="AD233" t="s">
        <v>48</v>
      </c>
      <c r="AE233"/>
      <c r="AF233" t="s">
        <v>48</v>
      </c>
      <c r="AG233" t="s">
        <v>48</v>
      </c>
      <c r="AH233" t="s">
        <v>48</v>
      </c>
      <c r="AI233" t="s">
        <v>48</v>
      </c>
      <c r="AL233" t="s">
        <v>48</v>
      </c>
      <c r="AO233" t="s">
        <v>48</v>
      </c>
      <c r="AP233" t="s">
        <v>48</v>
      </c>
      <c r="AQ233" t="s">
        <v>48</v>
      </c>
      <c r="AV233" t="s">
        <v>48</v>
      </c>
      <c r="AW233" t="s">
        <v>48</v>
      </c>
      <c r="AX233" s="2" t="s">
        <v>48</v>
      </c>
      <c r="AY233" s="2" t="s">
        <v>48</v>
      </c>
      <c r="BC233">
        <f>SUM(cna_product_database_catalog_website[[#This Row],[Box Length (cm)]]*cna_product_database_catalog_website[[#This Row],[Box Width (cm)]]*cna_product_database_catalog_website[[#This Row],[Box Height (cm)]]/1000000)</f>
        <v>0</v>
      </c>
      <c r="BD233">
        <f>SUM(cna_product_database_catalog_website[[#This Row],[Box CBM]]*35.3147)</f>
        <v>0</v>
      </c>
      <c r="BE233" t="s">
        <v>48</v>
      </c>
      <c r="BI23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33">
        <f>SUM(cna_product_database_catalog_website[[#This Row],[Carton CFT]]/61024)</f>
        <v>0</v>
      </c>
      <c r="BM233" t="s">
        <v>48</v>
      </c>
      <c r="BN233" t="s">
        <v>48</v>
      </c>
      <c r="BO233" t="s">
        <v>48</v>
      </c>
      <c r="BP233" t="s">
        <v>48</v>
      </c>
      <c r="BQ233" t="s">
        <v>48</v>
      </c>
      <c r="BS233" t="s">
        <v>48</v>
      </c>
      <c r="BT233" t="s">
        <v>48</v>
      </c>
      <c r="BU233" t="s">
        <v>48</v>
      </c>
      <c r="BW233" t="s">
        <v>48</v>
      </c>
      <c r="BX233" t="s">
        <v>48</v>
      </c>
      <c r="BY233" t="s">
        <v>48</v>
      </c>
      <c r="BZ233" t="s">
        <v>48</v>
      </c>
      <c r="CA233" t="s">
        <v>48</v>
      </c>
      <c r="CB233" t="s">
        <v>48</v>
      </c>
      <c r="CC233" t="s">
        <v>48</v>
      </c>
      <c r="CD233" t="s">
        <v>48</v>
      </c>
      <c r="CE233" t="s">
        <v>48</v>
      </c>
      <c r="CF233" t="s">
        <v>48</v>
      </c>
      <c r="CG233" t="s">
        <v>48</v>
      </c>
      <c r="CH233" t="s">
        <v>48</v>
      </c>
      <c r="CI233" t="s">
        <v>48</v>
      </c>
      <c r="CJ233" t="s">
        <v>48</v>
      </c>
    </row>
    <row r="234" spans="1:88" x14ac:dyDescent="0.25">
      <c r="A234" s="4" t="s">
        <v>2152</v>
      </c>
      <c r="B234" s="4" t="s">
        <v>1200</v>
      </c>
      <c r="C234" s="4" t="s">
        <v>1378</v>
      </c>
      <c r="D234" s="4" t="str">
        <f>cna_product_database_catalog_website[[#This Row],[MainCategory]]&amp;"&gt;"&amp;cna_product_database_catalog_website[[#This Row],[SubCategory1]]&amp;"&gt;"&amp;cna_product_database_catalog_website[[#This Row],[SubCategory2]]</f>
        <v>Halogen&gt;2024 Halogen Bulbs&gt;G9 40W</v>
      </c>
      <c r="E234">
        <v>2020</v>
      </c>
      <c r="F234" t="s">
        <v>764</v>
      </c>
      <c r="G234" s="3">
        <v>313</v>
      </c>
      <c r="H234" s="8">
        <v>1.5</v>
      </c>
      <c r="I234" t="s">
        <v>764</v>
      </c>
      <c r="J234" t="s">
        <v>288</v>
      </c>
      <c r="K234" t="s">
        <v>765</v>
      </c>
      <c r="L234" t="s">
        <v>756</v>
      </c>
      <c r="M234" s="12" t="str">
        <f>HYPERLINK(cna_product_database_catalog_website[[#This Row],[Spec Sheet Link]], cna_product_database_catalog_website[[#Headers],[Spec Sheet Link]])</f>
        <v>Spec Sheet Link</v>
      </c>
      <c r="N234" t="s">
        <v>47</v>
      </c>
      <c r="O234" s="3">
        <v>1</v>
      </c>
      <c r="P234" s="3">
        <v>1</v>
      </c>
      <c r="Q234" t="s">
        <v>695</v>
      </c>
      <c r="R234" t="s">
        <v>53</v>
      </c>
      <c r="S234" t="s">
        <v>68</v>
      </c>
      <c r="T234" t="s">
        <v>48</v>
      </c>
      <c r="U234" t="s">
        <v>766</v>
      </c>
      <c r="V234" t="s">
        <v>48</v>
      </c>
      <c r="W234" t="s">
        <v>288</v>
      </c>
      <c r="X234" t="s">
        <v>760</v>
      </c>
      <c r="Y234" s="3" t="s">
        <v>48</v>
      </c>
      <c r="Z234" s="3" t="s">
        <v>48</v>
      </c>
      <c r="AA234" s="3" t="s">
        <v>48</v>
      </c>
      <c r="AB234" s="1" t="s">
        <v>48</v>
      </c>
      <c r="AC234" s="1" t="s">
        <v>48</v>
      </c>
      <c r="AD234" t="s">
        <v>48</v>
      </c>
      <c r="AE234"/>
      <c r="AF234" t="s">
        <v>48</v>
      </c>
      <c r="AG234" t="s">
        <v>48</v>
      </c>
      <c r="AH234" t="s">
        <v>48</v>
      </c>
      <c r="AI234" t="s">
        <v>48</v>
      </c>
      <c r="AL234" t="s">
        <v>48</v>
      </c>
      <c r="AO234" t="s">
        <v>48</v>
      </c>
      <c r="AP234" t="s">
        <v>48</v>
      </c>
      <c r="AQ234" t="s">
        <v>48</v>
      </c>
      <c r="AV234" t="s">
        <v>48</v>
      </c>
      <c r="AW234" t="s">
        <v>48</v>
      </c>
      <c r="AX234" s="2" t="s">
        <v>48</v>
      </c>
      <c r="AY234" s="2" t="s">
        <v>48</v>
      </c>
      <c r="BC234">
        <f>SUM(cna_product_database_catalog_website[[#This Row],[Box Length (cm)]]*cna_product_database_catalog_website[[#This Row],[Box Width (cm)]]*cna_product_database_catalog_website[[#This Row],[Box Height (cm)]]/1000000)</f>
        <v>0</v>
      </c>
      <c r="BD234">
        <f>SUM(cna_product_database_catalog_website[[#This Row],[Box CBM]]*35.3147)</f>
        <v>0</v>
      </c>
      <c r="BE234" t="s">
        <v>48</v>
      </c>
      <c r="BI23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34">
        <f>SUM(cna_product_database_catalog_website[[#This Row],[Carton CFT]]/61024)</f>
        <v>0</v>
      </c>
      <c r="BM234" t="s">
        <v>48</v>
      </c>
      <c r="BN234" t="s">
        <v>48</v>
      </c>
      <c r="BO234" t="s">
        <v>48</v>
      </c>
      <c r="BP234" t="s">
        <v>48</v>
      </c>
      <c r="BQ234" t="s">
        <v>48</v>
      </c>
      <c r="BS234" t="s">
        <v>48</v>
      </c>
      <c r="BT234" t="s">
        <v>48</v>
      </c>
      <c r="BU234" t="s">
        <v>48</v>
      </c>
      <c r="BW234" t="s">
        <v>48</v>
      </c>
      <c r="BX234" t="s">
        <v>48</v>
      </c>
      <c r="BY234" t="s">
        <v>48</v>
      </c>
      <c r="BZ234" t="s">
        <v>48</v>
      </c>
      <c r="CA234" t="s">
        <v>48</v>
      </c>
      <c r="CB234" t="s">
        <v>48</v>
      </c>
      <c r="CC234" t="s">
        <v>48</v>
      </c>
      <c r="CD234" t="s">
        <v>48</v>
      </c>
      <c r="CE234" t="s">
        <v>48</v>
      </c>
      <c r="CF234" t="s">
        <v>48</v>
      </c>
      <c r="CG234" t="s">
        <v>48</v>
      </c>
      <c r="CH234" t="s">
        <v>48</v>
      </c>
      <c r="CI234" t="s">
        <v>48</v>
      </c>
      <c r="CJ234" t="s">
        <v>48</v>
      </c>
    </row>
    <row r="235" spans="1:88" x14ac:dyDescent="0.25">
      <c r="A235" s="4" t="s">
        <v>2152</v>
      </c>
      <c r="B235" s="4" t="s">
        <v>1200</v>
      </c>
      <c r="C235" s="4" t="s">
        <v>1379</v>
      </c>
      <c r="D235" s="4" t="str">
        <f>cna_product_database_catalog_website[[#This Row],[MainCategory]]&amp;"&gt;"&amp;cna_product_database_catalog_website[[#This Row],[SubCategory1]]&amp;"&gt;"&amp;cna_product_database_catalog_website[[#This Row],[SubCategory2]]</f>
        <v>Halogen&gt;2024 Halogen Bulbs&gt;G9 50W</v>
      </c>
      <c r="E235">
        <v>2030</v>
      </c>
      <c r="F235" t="s">
        <v>767</v>
      </c>
      <c r="G235" s="3">
        <v>197</v>
      </c>
      <c r="H235" s="8">
        <v>1.5</v>
      </c>
      <c r="I235" t="s">
        <v>767</v>
      </c>
      <c r="J235" t="s">
        <v>288</v>
      </c>
      <c r="K235" t="s">
        <v>765</v>
      </c>
      <c r="L235" t="s">
        <v>756</v>
      </c>
      <c r="M235" s="12" t="str">
        <f>HYPERLINK(cna_product_database_catalog_website[[#This Row],[Spec Sheet Link]], cna_product_database_catalog_website[[#Headers],[Spec Sheet Link]])</f>
        <v>Spec Sheet Link</v>
      </c>
      <c r="N235" t="s">
        <v>47</v>
      </c>
      <c r="O235" s="3">
        <v>1</v>
      </c>
      <c r="P235" s="3">
        <v>1</v>
      </c>
      <c r="Q235" t="s">
        <v>768</v>
      </c>
      <c r="R235" t="s">
        <v>53</v>
      </c>
      <c r="S235" t="s">
        <v>209</v>
      </c>
      <c r="T235" t="s">
        <v>48</v>
      </c>
      <c r="U235" t="s">
        <v>766</v>
      </c>
      <c r="V235" t="s">
        <v>48</v>
      </c>
      <c r="W235" t="s">
        <v>288</v>
      </c>
      <c r="X235" t="s">
        <v>760</v>
      </c>
      <c r="Y235" s="3" t="s">
        <v>48</v>
      </c>
      <c r="Z235" s="3" t="s">
        <v>48</v>
      </c>
      <c r="AA235" s="3" t="s">
        <v>48</v>
      </c>
      <c r="AB235" s="1" t="s">
        <v>48</v>
      </c>
      <c r="AC235" s="1" t="s">
        <v>48</v>
      </c>
      <c r="AD235" t="s">
        <v>48</v>
      </c>
      <c r="AE235"/>
      <c r="AF235" t="s">
        <v>48</v>
      </c>
      <c r="AG235" t="s">
        <v>48</v>
      </c>
      <c r="AH235" t="s">
        <v>48</v>
      </c>
      <c r="AI235" t="s">
        <v>48</v>
      </c>
      <c r="AL235" t="s">
        <v>48</v>
      </c>
      <c r="AO235" t="s">
        <v>48</v>
      </c>
      <c r="AP235" t="s">
        <v>48</v>
      </c>
      <c r="AQ235" t="s">
        <v>48</v>
      </c>
      <c r="AV235" t="s">
        <v>48</v>
      </c>
      <c r="AW235" t="s">
        <v>48</v>
      </c>
      <c r="AX235" s="2" t="s">
        <v>48</v>
      </c>
      <c r="AY235" s="2" t="s">
        <v>48</v>
      </c>
      <c r="BC235">
        <f>SUM(cna_product_database_catalog_website[[#This Row],[Box Length (cm)]]*cna_product_database_catalog_website[[#This Row],[Box Width (cm)]]*cna_product_database_catalog_website[[#This Row],[Box Height (cm)]]/1000000)</f>
        <v>0</v>
      </c>
      <c r="BD235">
        <f>SUM(cna_product_database_catalog_website[[#This Row],[Box CBM]]*35.3147)</f>
        <v>0</v>
      </c>
      <c r="BE235" t="s">
        <v>48</v>
      </c>
      <c r="BI23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35">
        <f>SUM(cna_product_database_catalog_website[[#This Row],[Carton CFT]]/61024)</f>
        <v>0</v>
      </c>
      <c r="BM235" t="s">
        <v>48</v>
      </c>
      <c r="BN235" t="s">
        <v>48</v>
      </c>
      <c r="BO235" t="s">
        <v>48</v>
      </c>
      <c r="BP235" t="s">
        <v>48</v>
      </c>
      <c r="BQ235" t="s">
        <v>48</v>
      </c>
      <c r="BS235" t="s">
        <v>48</v>
      </c>
      <c r="BT235" t="s">
        <v>48</v>
      </c>
      <c r="BU235" t="s">
        <v>48</v>
      </c>
      <c r="BW235" t="s">
        <v>48</v>
      </c>
      <c r="BX235" t="s">
        <v>48</v>
      </c>
      <c r="BY235" t="s">
        <v>48</v>
      </c>
      <c r="BZ235" t="s">
        <v>48</v>
      </c>
      <c r="CA235" t="s">
        <v>48</v>
      </c>
      <c r="CB235" t="s">
        <v>48</v>
      </c>
      <c r="CC235" t="s">
        <v>48</v>
      </c>
      <c r="CD235" t="s">
        <v>48</v>
      </c>
      <c r="CE235" t="s">
        <v>48</v>
      </c>
      <c r="CF235" t="s">
        <v>48</v>
      </c>
      <c r="CG235" t="s">
        <v>48</v>
      </c>
      <c r="CH235" t="s">
        <v>48</v>
      </c>
      <c r="CI235" t="s">
        <v>48</v>
      </c>
      <c r="CJ235" t="s">
        <v>48</v>
      </c>
    </row>
    <row r="236" spans="1:88" x14ac:dyDescent="0.25">
      <c r="A236" s="4" t="s">
        <v>2152</v>
      </c>
      <c r="B236" s="4" t="s">
        <v>1200</v>
      </c>
      <c r="C236" s="4" t="s">
        <v>1380</v>
      </c>
      <c r="D236" s="4" t="str">
        <f>cna_product_database_catalog_website[[#This Row],[MainCategory]]&amp;"&gt;"&amp;cna_product_database_catalog_website[[#This Row],[SubCategory1]]&amp;"&gt;"&amp;cna_product_database_catalog_website[[#This Row],[SubCategory2]]</f>
        <v>Halogen&gt;2024 Halogen Bulbs&gt;JD Minican 50W</v>
      </c>
      <c r="E236">
        <v>2040</v>
      </c>
      <c r="F236" t="s">
        <v>769</v>
      </c>
      <c r="G236" s="3">
        <v>68</v>
      </c>
      <c r="H236" s="8">
        <v>2.75</v>
      </c>
      <c r="I236" t="s">
        <v>769</v>
      </c>
      <c r="J236" t="s">
        <v>769</v>
      </c>
      <c r="K236" t="s">
        <v>770</v>
      </c>
      <c r="L236" t="s">
        <v>756</v>
      </c>
      <c r="M236" s="12" t="str">
        <f>HYPERLINK(cna_product_database_catalog_website[[#This Row],[Spec Sheet Link]], cna_product_database_catalog_website[[#Headers],[Spec Sheet Link]])</f>
        <v>Spec Sheet Link</v>
      </c>
      <c r="N236" t="s">
        <v>47</v>
      </c>
      <c r="O236" s="3">
        <v>1</v>
      </c>
      <c r="P236" s="3">
        <v>1</v>
      </c>
      <c r="Q236" t="s">
        <v>768</v>
      </c>
      <c r="R236" t="s">
        <v>53</v>
      </c>
      <c r="S236" t="s">
        <v>209</v>
      </c>
      <c r="T236" t="s">
        <v>48</v>
      </c>
      <c r="U236" t="s">
        <v>766</v>
      </c>
      <c r="V236" t="s">
        <v>48</v>
      </c>
      <c r="W236" t="s">
        <v>771</v>
      </c>
      <c r="X236" t="s">
        <v>760</v>
      </c>
      <c r="Y236" s="3" t="s">
        <v>48</v>
      </c>
      <c r="Z236" s="3" t="s">
        <v>48</v>
      </c>
      <c r="AA236" s="3" t="s">
        <v>48</v>
      </c>
      <c r="AB236" s="1" t="s">
        <v>48</v>
      </c>
      <c r="AC236" s="1" t="s">
        <v>48</v>
      </c>
      <c r="AD236" t="s">
        <v>48</v>
      </c>
      <c r="AE236"/>
      <c r="AF236" t="s">
        <v>48</v>
      </c>
      <c r="AG236" t="s">
        <v>48</v>
      </c>
      <c r="AH236" t="s">
        <v>48</v>
      </c>
      <c r="AI236" t="s">
        <v>48</v>
      </c>
      <c r="AL236" t="s">
        <v>48</v>
      </c>
      <c r="AO236" t="s">
        <v>48</v>
      </c>
      <c r="AP236" t="s">
        <v>48</v>
      </c>
      <c r="AQ236" t="s">
        <v>48</v>
      </c>
      <c r="AV236" t="s">
        <v>48</v>
      </c>
      <c r="AW236" t="s">
        <v>48</v>
      </c>
      <c r="AX236" s="2" t="s">
        <v>169</v>
      </c>
      <c r="AY236" s="2" t="s">
        <v>169</v>
      </c>
      <c r="BC236">
        <f>SUM(cna_product_database_catalog_website[[#This Row],[Box Length (cm)]]*cna_product_database_catalog_website[[#This Row],[Box Width (cm)]]*cna_product_database_catalog_website[[#This Row],[Box Height (cm)]]/1000000)</f>
        <v>0</v>
      </c>
      <c r="BD236">
        <f>SUM(cna_product_database_catalog_website[[#This Row],[Box CBM]]*35.3147)</f>
        <v>0</v>
      </c>
      <c r="BE236" t="s">
        <v>48</v>
      </c>
      <c r="BI23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36">
        <f>SUM(cna_product_database_catalog_website[[#This Row],[Carton CFT]]/61024)</f>
        <v>0</v>
      </c>
      <c r="BM236" t="s">
        <v>48</v>
      </c>
      <c r="BN236" t="s">
        <v>48</v>
      </c>
      <c r="BO236" t="s">
        <v>48</v>
      </c>
      <c r="BP236" t="s">
        <v>48</v>
      </c>
      <c r="BQ236" t="s">
        <v>48</v>
      </c>
      <c r="BS236" t="s">
        <v>48</v>
      </c>
      <c r="BT236" t="s">
        <v>48</v>
      </c>
      <c r="BU236" t="s">
        <v>48</v>
      </c>
      <c r="BW236" t="s">
        <v>48</v>
      </c>
      <c r="BX236" t="s">
        <v>48</v>
      </c>
      <c r="BY236" t="s">
        <v>48</v>
      </c>
      <c r="BZ236" t="s">
        <v>48</v>
      </c>
      <c r="CA236" t="s">
        <v>48</v>
      </c>
      <c r="CB236" t="s">
        <v>48</v>
      </c>
      <c r="CC236" t="s">
        <v>48</v>
      </c>
      <c r="CD236" t="s">
        <v>48</v>
      </c>
      <c r="CE236" t="s">
        <v>48</v>
      </c>
      <c r="CF236" t="s">
        <v>48</v>
      </c>
      <c r="CG236" t="s">
        <v>48</v>
      </c>
      <c r="CH236" t="s">
        <v>48</v>
      </c>
      <c r="CI236" t="s">
        <v>48</v>
      </c>
      <c r="CJ236" t="s">
        <v>48</v>
      </c>
    </row>
    <row r="237" spans="1:88" x14ac:dyDescent="0.25">
      <c r="A237" s="4" t="s">
        <v>2152</v>
      </c>
      <c r="B237" s="4" t="s">
        <v>1200</v>
      </c>
      <c r="C237" s="4" t="s">
        <v>1381</v>
      </c>
      <c r="D237" s="4" t="str">
        <f>cna_product_database_catalog_website[[#This Row],[MainCategory]]&amp;"&gt;"&amp;cna_product_database_catalog_website[[#This Row],[SubCategory1]]&amp;"&gt;"&amp;cna_product_database_catalog_website[[#This Row],[SubCategory2]]</f>
        <v>Halogen&gt;2024 Halogen Bulbs&gt;JD Minican 75W</v>
      </c>
      <c r="E237">
        <v>2050</v>
      </c>
      <c r="F237" t="s">
        <v>772</v>
      </c>
      <c r="G237" s="3">
        <v>89</v>
      </c>
      <c r="H237" s="8">
        <v>2.75</v>
      </c>
      <c r="I237" t="s">
        <v>772</v>
      </c>
      <c r="J237" t="s">
        <v>772</v>
      </c>
      <c r="K237" t="s">
        <v>770</v>
      </c>
      <c r="L237" t="s">
        <v>756</v>
      </c>
      <c r="M237" s="12" t="str">
        <f>HYPERLINK(cna_product_database_catalog_website[[#This Row],[Spec Sheet Link]], cna_product_database_catalog_website[[#Headers],[Spec Sheet Link]])</f>
        <v>Spec Sheet Link</v>
      </c>
      <c r="N237" t="s">
        <v>47</v>
      </c>
      <c r="O237" s="3">
        <v>1</v>
      </c>
      <c r="P237" s="3">
        <v>1</v>
      </c>
      <c r="Q237" t="s">
        <v>758</v>
      </c>
      <c r="R237" t="s">
        <v>53</v>
      </c>
      <c r="S237" t="s">
        <v>570</v>
      </c>
      <c r="T237" t="s">
        <v>48</v>
      </c>
      <c r="U237" t="s">
        <v>766</v>
      </c>
      <c r="V237" t="s">
        <v>48</v>
      </c>
      <c r="W237" t="s">
        <v>771</v>
      </c>
      <c r="X237" t="s">
        <v>760</v>
      </c>
      <c r="Y237" s="3" t="s">
        <v>48</v>
      </c>
      <c r="Z237" s="3" t="s">
        <v>48</v>
      </c>
      <c r="AA237" s="3" t="s">
        <v>48</v>
      </c>
      <c r="AB237" s="1" t="s">
        <v>48</v>
      </c>
      <c r="AC237" s="1" t="s">
        <v>48</v>
      </c>
      <c r="AD237" t="s">
        <v>48</v>
      </c>
      <c r="AE237"/>
      <c r="AF237" t="s">
        <v>48</v>
      </c>
      <c r="AG237" t="s">
        <v>48</v>
      </c>
      <c r="AH237" t="s">
        <v>48</v>
      </c>
      <c r="AI237" t="s">
        <v>48</v>
      </c>
      <c r="AL237" t="s">
        <v>48</v>
      </c>
      <c r="AO237" t="s">
        <v>48</v>
      </c>
      <c r="AP237" t="s">
        <v>48</v>
      </c>
      <c r="AQ237" t="s">
        <v>48</v>
      </c>
      <c r="AV237" t="s">
        <v>48</v>
      </c>
      <c r="AW237" t="s">
        <v>48</v>
      </c>
      <c r="AX237" s="2" t="s">
        <v>169</v>
      </c>
      <c r="AY237" s="2" t="s">
        <v>169</v>
      </c>
      <c r="BC237">
        <f>SUM(cna_product_database_catalog_website[[#This Row],[Box Length (cm)]]*cna_product_database_catalog_website[[#This Row],[Box Width (cm)]]*cna_product_database_catalog_website[[#This Row],[Box Height (cm)]]/1000000)</f>
        <v>0</v>
      </c>
      <c r="BD237">
        <f>SUM(cna_product_database_catalog_website[[#This Row],[Box CBM]]*35.3147)</f>
        <v>0</v>
      </c>
      <c r="BE237" t="s">
        <v>48</v>
      </c>
      <c r="BI23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37">
        <f>SUM(cna_product_database_catalog_website[[#This Row],[Carton CFT]]/61024)</f>
        <v>0</v>
      </c>
      <c r="BM237" t="s">
        <v>48</v>
      </c>
      <c r="BN237" t="s">
        <v>48</v>
      </c>
      <c r="BO237" t="s">
        <v>48</v>
      </c>
      <c r="BP237" t="s">
        <v>48</v>
      </c>
      <c r="BQ237" t="s">
        <v>48</v>
      </c>
      <c r="BS237" t="s">
        <v>48</v>
      </c>
      <c r="BT237" t="s">
        <v>48</v>
      </c>
      <c r="BU237" t="s">
        <v>48</v>
      </c>
      <c r="BW237" t="s">
        <v>48</v>
      </c>
      <c r="BX237" t="s">
        <v>48</v>
      </c>
      <c r="BY237" t="s">
        <v>48</v>
      </c>
      <c r="BZ237" t="s">
        <v>48</v>
      </c>
      <c r="CA237" t="s">
        <v>48</v>
      </c>
      <c r="CB237" t="s">
        <v>48</v>
      </c>
      <c r="CC237" t="s">
        <v>48</v>
      </c>
      <c r="CD237" t="s">
        <v>48</v>
      </c>
      <c r="CE237" t="s">
        <v>48</v>
      </c>
      <c r="CF237" t="s">
        <v>48</v>
      </c>
      <c r="CG237" t="s">
        <v>48</v>
      </c>
      <c r="CH237" t="s">
        <v>48</v>
      </c>
      <c r="CI237" t="s">
        <v>48</v>
      </c>
      <c r="CJ237" t="s">
        <v>48</v>
      </c>
    </row>
    <row r="238" spans="1:88" x14ac:dyDescent="0.25">
      <c r="A238" s="4" t="s">
        <v>2152</v>
      </c>
      <c r="B238" s="4" t="s">
        <v>1200</v>
      </c>
      <c r="C238" s="4" t="s">
        <v>1382</v>
      </c>
      <c r="D238" s="4" t="str">
        <f>cna_product_database_catalog_website[[#This Row],[MainCategory]]&amp;"&gt;"&amp;cna_product_database_catalog_website[[#This Row],[SubCategory1]]&amp;"&gt;"&amp;cna_product_database_catalog_website[[#This Row],[SubCategory2]]</f>
        <v>Halogen&gt;2024 Halogen Bulbs&gt;JD Minican 100W</v>
      </c>
      <c r="E238">
        <v>2060</v>
      </c>
      <c r="F238" t="s">
        <v>773</v>
      </c>
      <c r="G238" s="3">
        <v>49</v>
      </c>
      <c r="H238" s="8">
        <v>2.75</v>
      </c>
      <c r="I238" t="s">
        <v>773</v>
      </c>
      <c r="J238" t="s">
        <v>774</v>
      </c>
      <c r="K238" t="s">
        <v>770</v>
      </c>
      <c r="L238" t="s">
        <v>756</v>
      </c>
      <c r="M238" s="12" t="str">
        <f>HYPERLINK(cna_product_database_catalog_website[[#This Row],[Spec Sheet Link]], cna_product_database_catalog_website[[#Headers],[Spec Sheet Link]])</f>
        <v>Spec Sheet Link</v>
      </c>
      <c r="N238" t="s">
        <v>47</v>
      </c>
      <c r="O238" s="3">
        <v>1</v>
      </c>
      <c r="P238" s="3">
        <v>1</v>
      </c>
      <c r="Q238" t="s">
        <v>762</v>
      </c>
      <c r="R238" t="s">
        <v>53</v>
      </c>
      <c r="S238" t="s">
        <v>775</v>
      </c>
      <c r="T238" t="s">
        <v>48</v>
      </c>
      <c r="U238" t="s">
        <v>766</v>
      </c>
      <c r="V238" t="s">
        <v>48</v>
      </c>
      <c r="W238" t="s">
        <v>771</v>
      </c>
      <c r="X238" t="s">
        <v>760</v>
      </c>
      <c r="Y238" s="3" t="s">
        <v>48</v>
      </c>
      <c r="Z238" s="3" t="s">
        <v>48</v>
      </c>
      <c r="AA238" s="3" t="s">
        <v>48</v>
      </c>
      <c r="AB238" s="1" t="s">
        <v>48</v>
      </c>
      <c r="AC238" s="1" t="s">
        <v>48</v>
      </c>
      <c r="AD238" t="s">
        <v>48</v>
      </c>
      <c r="AE238"/>
      <c r="AF238" t="s">
        <v>48</v>
      </c>
      <c r="AG238" t="s">
        <v>48</v>
      </c>
      <c r="AH238" t="s">
        <v>48</v>
      </c>
      <c r="AI238" t="s">
        <v>48</v>
      </c>
      <c r="AL238" t="s">
        <v>48</v>
      </c>
      <c r="AO238" t="s">
        <v>48</v>
      </c>
      <c r="AP238" t="s">
        <v>48</v>
      </c>
      <c r="AQ238" t="s">
        <v>48</v>
      </c>
      <c r="AV238" t="s">
        <v>48</v>
      </c>
      <c r="AW238" t="s">
        <v>48</v>
      </c>
      <c r="AX238" s="2" t="s">
        <v>48</v>
      </c>
      <c r="AY238" s="2" t="s">
        <v>48</v>
      </c>
      <c r="BC238">
        <f>SUM(cna_product_database_catalog_website[[#This Row],[Box Length (cm)]]*cna_product_database_catalog_website[[#This Row],[Box Width (cm)]]*cna_product_database_catalog_website[[#This Row],[Box Height (cm)]]/1000000)</f>
        <v>0</v>
      </c>
      <c r="BD238">
        <f>SUM(cna_product_database_catalog_website[[#This Row],[Box CBM]]*35.3147)</f>
        <v>0</v>
      </c>
      <c r="BE238" t="s">
        <v>48</v>
      </c>
      <c r="BI23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38">
        <f>SUM(cna_product_database_catalog_website[[#This Row],[Carton CFT]]/61024)</f>
        <v>0</v>
      </c>
      <c r="BM238" t="s">
        <v>48</v>
      </c>
      <c r="BN238" t="s">
        <v>48</v>
      </c>
      <c r="BO238" t="s">
        <v>48</v>
      </c>
      <c r="BP238" t="s">
        <v>48</v>
      </c>
      <c r="BQ238" t="s">
        <v>48</v>
      </c>
      <c r="BS238" t="s">
        <v>48</v>
      </c>
      <c r="BT238" t="s">
        <v>48</v>
      </c>
      <c r="BU238" t="s">
        <v>48</v>
      </c>
      <c r="BW238" t="s">
        <v>48</v>
      </c>
      <c r="BX238" t="s">
        <v>48</v>
      </c>
      <c r="BY238" t="s">
        <v>48</v>
      </c>
      <c r="BZ238" t="s">
        <v>48</v>
      </c>
      <c r="CA238" t="s">
        <v>48</v>
      </c>
      <c r="CB238" t="s">
        <v>48</v>
      </c>
      <c r="CC238" t="s">
        <v>48</v>
      </c>
      <c r="CD238" t="s">
        <v>48</v>
      </c>
      <c r="CE238" t="s">
        <v>48</v>
      </c>
      <c r="CF238" t="s">
        <v>48</v>
      </c>
      <c r="CG238" t="s">
        <v>48</v>
      </c>
      <c r="CH238" t="s">
        <v>48</v>
      </c>
      <c r="CI238" t="s">
        <v>48</v>
      </c>
      <c r="CJ238" t="s">
        <v>48</v>
      </c>
    </row>
    <row r="239" spans="1:88" x14ac:dyDescent="0.25">
      <c r="A239" s="4" t="s">
        <v>2152</v>
      </c>
      <c r="B239" s="4" t="s">
        <v>393</v>
      </c>
      <c r="C239" s="4" t="s">
        <v>1383</v>
      </c>
      <c r="D239" s="4" t="str">
        <f>cna_product_database_catalog_website[[#This Row],[MainCategory]]&amp;"&gt;"&amp;cna_product_database_catalog_website[[#This Row],[SubCategory1]]&amp;"&gt;"&amp;cna_product_database_catalog_website[[#This Row],[SubCategory2]]</f>
        <v>Halogen&gt;GU10&gt;GU10 - 50W</v>
      </c>
      <c r="E239">
        <v>2100</v>
      </c>
      <c r="F239" t="s">
        <v>776</v>
      </c>
      <c r="G239" s="3">
        <v>405</v>
      </c>
      <c r="H239" s="8">
        <v>1.2</v>
      </c>
      <c r="I239" t="s">
        <v>776</v>
      </c>
      <c r="J239" t="s">
        <v>776</v>
      </c>
      <c r="K239" t="s">
        <v>777</v>
      </c>
      <c r="L239" t="s">
        <v>46</v>
      </c>
      <c r="M239" s="12"/>
      <c r="N239" t="s">
        <v>47</v>
      </c>
      <c r="O239" s="3">
        <v>1</v>
      </c>
      <c r="P239" s="3">
        <v>1</v>
      </c>
      <c r="Q239" t="s">
        <v>768</v>
      </c>
      <c r="R239" t="s">
        <v>53</v>
      </c>
      <c r="S239" t="s">
        <v>48</v>
      </c>
      <c r="T239" t="s">
        <v>48</v>
      </c>
      <c r="U239" t="s">
        <v>48</v>
      </c>
      <c r="V239" t="s">
        <v>48</v>
      </c>
      <c r="W239" t="s">
        <v>48</v>
      </c>
      <c r="X239" t="s">
        <v>760</v>
      </c>
      <c r="Y239" s="3" t="s">
        <v>1011</v>
      </c>
      <c r="Z239" s="3" t="s">
        <v>48</v>
      </c>
      <c r="AA239" s="3" t="s">
        <v>48</v>
      </c>
      <c r="AB239" s="1" t="s">
        <v>48</v>
      </c>
      <c r="AC239" s="1" t="s">
        <v>48</v>
      </c>
      <c r="AD239" t="s">
        <v>48</v>
      </c>
      <c r="AE239"/>
      <c r="AF239" t="s">
        <v>48</v>
      </c>
      <c r="AG239" t="s">
        <v>48</v>
      </c>
      <c r="AH239" t="s">
        <v>48</v>
      </c>
      <c r="AI239" t="s">
        <v>48</v>
      </c>
      <c r="AL239" t="s">
        <v>48</v>
      </c>
      <c r="AO239" t="s">
        <v>48</v>
      </c>
      <c r="AP239" t="s">
        <v>48</v>
      </c>
      <c r="AQ239" t="s">
        <v>48</v>
      </c>
      <c r="AV239" t="s">
        <v>48</v>
      </c>
      <c r="AW239" t="s">
        <v>48</v>
      </c>
      <c r="AX239" s="2" t="s">
        <v>80</v>
      </c>
      <c r="AY239" s="2" t="s">
        <v>279</v>
      </c>
      <c r="BC239">
        <f>SUM(cna_product_database_catalog_website[[#This Row],[Box Length (cm)]]*cna_product_database_catalog_website[[#This Row],[Box Width (cm)]]*cna_product_database_catalog_website[[#This Row],[Box Height (cm)]]/1000000)</f>
        <v>0</v>
      </c>
      <c r="BD239">
        <f>SUM(cna_product_database_catalog_website[[#This Row],[Box CBM]]*35.3147)</f>
        <v>0</v>
      </c>
      <c r="BE239" t="s">
        <v>48</v>
      </c>
      <c r="BI23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39">
        <f>SUM(cna_product_database_catalog_website[[#This Row],[Carton CFT]]/61024)</f>
        <v>0</v>
      </c>
      <c r="BM239" t="s">
        <v>48</v>
      </c>
      <c r="BN239" t="s">
        <v>48</v>
      </c>
      <c r="BO239" t="s">
        <v>48</v>
      </c>
      <c r="BP239" t="s">
        <v>48</v>
      </c>
      <c r="BQ239" t="s">
        <v>48</v>
      </c>
      <c r="BS239" t="s">
        <v>48</v>
      </c>
      <c r="BT239" t="s">
        <v>48</v>
      </c>
      <c r="BU239" t="s">
        <v>48</v>
      </c>
      <c r="BW239" t="s">
        <v>48</v>
      </c>
      <c r="BX239" t="s">
        <v>48</v>
      </c>
      <c r="BY239" t="s">
        <v>48</v>
      </c>
      <c r="BZ239" t="s">
        <v>48</v>
      </c>
      <c r="CA239" t="s">
        <v>48</v>
      </c>
      <c r="CB239" t="s">
        <v>48</v>
      </c>
      <c r="CC239" t="s">
        <v>48</v>
      </c>
      <c r="CD239" t="s">
        <v>48</v>
      </c>
      <c r="CE239" t="s">
        <v>48</v>
      </c>
      <c r="CF239" t="s">
        <v>48</v>
      </c>
      <c r="CG239" t="s">
        <v>48</v>
      </c>
      <c r="CH239" t="s">
        <v>48</v>
      </c>
      <c r="CI239" t="s">
        <v>48</v>
      </c>
      <c r="CJ239" t="s">
        <v>48</v>
      </c>
    </row>
    <row r="240" spans="1:88" x14ac:dyDescent="0.25">
      <c r="A240" s="4" t="s">
        <v>2152</v>
      </c>
      <c r="B240" s="4" t="s">
        <v>393</v>
      </c>
      <c r="C240" s="4" t="s">
        <v>1384</v>
      </c>
      <c r="D240" s="4" t="str">
        <f>cna_product_database_catalog_website[[#This Row],[MainCategory]]&amp;"&gt;"&amp;cna_product_database_catalog_website[[#This Row],[SubCategory1]]&amp;"&gt;"&amp;cna_product_database_catalog_website[[#This Row],[SubCategory2]]</f>
        <v>Halogen&gt;GU10&gt;GU10 - 20W</v>
      </c>
      <c r="E240">
        <v>2105</v>
      </c>
      <c r="F240" t="s">
        <v>778</v>
      </c>
      <c r="G240" s="3">
        <v>189</v>
      </c>
      <c r="H240" s="8">
        <v>1.2</v>
      </c>
      <c r="I240" t="s">
        <v>778</v>
      </c>
      <c r="J240" t="s">
        <v>778</v>
      </c>
      <c r="K240" t="s">
        <v>777</v>
      </c>
      <c r="L240" t="s">
        <v>46</v>
      </c>
      <c r="M240" s="12"/>
      <c r="N240" t="s">
        <v>47</v>
      </c>
      <c r="O240" s="3">
        <v>1</v>
      </c>
      <c r="P240" s="3">
        <v>1</v>
      </c>
      <c r="Q240" t="s">
        <v>262</v>
      </c>
      <c r="R240" t="s">
        <v>53</v>
      </c>
      <c r="S240" t="s">
        <v>48</v>
      </c>
      <c r="T240" t="s">
        <v>48</v>
      </c>
      <c r="U240" t="s">
        <v>48</v>
      </c>
      <c r="V240" t="s">
        <v>48</v>
      </c>
      <c r="W240" t="s">
        <v>48</v>
      </c>
      <c r="X240" t="s">
        <v>760</v>
      </c>
      <c r="Y240" s="3" t="s">
        <v>1011</v>
      </c>
      <c r="Z240" s="3" t="s">
        <v>48</v>
      </c>
      <c r="AA240" s="3" t="s">
        <v>48</v>
      </c>
      <c r="AB240" s="1" t="s">
        <v>48</v>
      </c>
      <c r="AC240" s="1" t="s">
        <v>48</v>
      </c>
      <c r="AD240" t="s">
        <v>48</v>
      </c>
      <c r="AE240"/>
      <c r="AF240" t="s">
        <v>48</v>
      </c>
      <c r="AG240" t="s">
        <v>48</v>
      </c>
      <c r="AH240" t="s">
        <v>48</v>
      </c>
      <c r="AI240" t="s">
        <v>48</v>
      </c>
      <c r="AL240" t="s">
        <v>48</v>
      </c>
      <c r="AO240" t="s">
        <v>48</v>
      </c>
      <c r="AP240" t="s">
        <v>48</v>
      </c>
      <c r="AQ240" t="s">
        <v>48</v>
      </c>
      <c r="AV240" t="s">
        <v>48</v>
      </c>
      <c r="AW240" t="s">
        <v>48</v>
      </c>
      <c r="AX240" s="2" t="s">
        <v>80</v>
      </c>
      <c r="AY240" s="2" t="s">
        <v>279</v>
      </c>
      <c r="BC240">
        <f>SUM(cna_product_database_catalog_website[[#This Row],[Box Length (cm)]]*cna_product_database_catalog_website[[#This Row],[Box Width (cm)]]*cna_product_database_catalog_website[[#This Row],[Box Height (cm)]]/1000000)</f>
        <v>0</v>
      </c>
      <c r="BD240">
        <f>SUM(cna_product_database_catalog_website[[#This Row],[Box CBM]]*35.3147)</f>
        <v>0</v>
      </c>
      <c r="BE240" t="s">
        <v>48</v>
      </c>
      <c r="BI24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40">
        <f>SUM(cna_product_database_catalog_website[[#This Row],[Carton CFT]]/61024)</f>
        <v>0</v>
      </c>
      <c r="BM240" t="s">
        <v>48</v>
      </c>
      <c r="BN240" t="s">
        <v>48</v>
      </c>
      <c r="BO240" t="s">
        <v>48</v>
      </c>
      <c r="BP240" t="s">
        <v>48</v>
      </c>
      <c r="BQ240" t="s">
        <v>48</v>
      </c>
      <c r="BS240" t="s">
        <v>48</v>
      </c>
      <c r="BT240" t="s">
        <v>48</v>
      </c>
      <c r="BU240" t="s">
        <v>48</v>
      </c>
      <c r="BW240" t="s">
        <v>48</v>
      </c>
      <c r="BX240" t="s">
        <v>48</v>
      </c>
      <c r="BY240" t="s">
        <v>48</v>
      </c>
      <c r="BZ240" t="s">
        <v>48</v>
      </c>
      <c r="CA240" t="s">
        <v>48</v>
      </c>
      <c r="CB240" t="s">
        <v>48</v>
      </c>
      <c r="CC240" t="s">
        <v>48</v>
      </c>
      <c r="CD240" t="s">
        <v>48</v>
      </c>
      <c r="CE240" t="s">
        <v>48</v>
      </c>
      <c r="CF240" t="s">
        <v>48</v>
      </c>
      <c r="CG240" t="s">
        <v>48</v>
      </c>
      <c r="CH240" t="s">
        <v>48</v>
      </c>
      <c r="CI240" t="s">
        <v>48</v>
      </c>
      <c r="CJ240" t="s">
        <v>48</v>
      </c>
    </row>
    <row r="241" spans="1:88" x14ac:dyDescent="0.25">
      <c r="A241" s="4" t="s">
        <v>2152</v>
      </c>
      <c r="B241" s="4" t="s">
        <v>1201</v>
      </c>
      <c r="C241" s="4" t="s">
        <v>1385</v>
      </c>
      <c r="D241" s="4" t="str">
        <f>cna_product_database_catalog_website[[#This Row],[MainCategory]]&amp;"&gt;"&amp;cna_product_database_catalog_website[[#This Row],[SubCategory1]]&amp;"&gt;"&amp;cna_product_database_catalog_website[[#This Row],[SubCategory2]]</f>
        <v>Halogen&gt;JDR&gt;JDR 50W</v>
      </c>
      <c r="E241">
        <v>2200</v>
      </c>
      <c r="F241" t="s">
        <v>780</v>
      </c>
      <c r="G241" s="3">
        <v>46</v>
      </c>
      <c r="H241" s="8">
        <v>2.75</v>
      </c>
      <c r="I241" t="s">
        <v>780</v>
      </c>
      <c r="J241" t="s">
        <v>780</v>
      </c>
      <c r="K241" t="s">
        <v>781</v>
      </c>
      <c r="L241" t="s">
        <v>46</v>
      </c>
      <c r="M241" s="12"/>
      <c r="N241" t="s">
        <v>47</v>
      </c>
      <c r="O241" s="3">
        <v>1</v>
      </c>
      <c r="P241" s="3">
        <v>1</v>
      </c>
      <c r="Q241" t="s">
        <v>768</v>
      </c>
      <c r="R241" t="s">
        <v>53</v>
      </c>
      <c r="S241" t="s">
        <v>48</v>
      </c>
      <c r="T241" t="s">
        <v>48</v>
      </c>
      <c r="U241" t="s">
        <v>48</v>
      </c>
      <c r="V241" t="s">
        <v>48</v>
      </c>
      <c r="W241" t="s">
        <v>48</v>
      </c>
      <c r="X241" t="s">
        <v>760</v>
      </c>
      <c r="Y241" s="3" t="s">
        <v>48</v>
      </c>
      <c r="Z241" s="3" t="s">
        <v>48</v>
      </c>
      <c r="AA241" s="3" t="s">
        <v>48</v>
      </c>
      <c r="AB241" s="1" t="s">
        <v>48</v>
      </c>
      <c r="AC241" s="1" t="s">
        <v>48</v>
      </c>
      <c r="AD241" t="s">
        <v>48</v>
      </c>
      <c r="AE241"/>
      <c r="AF241" t="s">
        <v>48</v>
      </c>
      <c r="AG241" t="s">
        <v>48</v>
      </c>
      <c r="AH241" t="s">
        <v>48</v>
      </c>
      <c r="AI241" t="s">
        <v>48</v>
      </c>
      <c r="AL241" t="s">
        <v>48</v>
      </c>
      <c r="AO241" t="s">
        <v>48</v>
      </c>
      <c r="AP241" t="s">
        <v>48</v>
      </c>
      <c r="AQ241" t="s">
        <v>48</v>
      </c>
      <c r="AV241" t="s">
        <v>48</v>
      </c>
      <c r="AW241" t="s">
        <v>48</v>
      </c>
      <c r="AX241" s="2" t="s">
        <v>80</v>
      </c>
      <c r="AY241" s="2" t="s">
        <v>279</v>
      </c>
      <c r="BC241">
        <f>SUM(cna_product_database_catalog_website[[#This Row],[Box Length (cm)]]*cna_product_database_catalog_website[[#This Row],[Box Width (cm)]]*cna_product_database_catalog_website[[#This Row],[Box Height (cm)]]/1000000)</f>
        <v>0</v>
      </c>
      <c r="BD241">
        <f>SUM(cna_product_database_catalog_website[[#This Row],[Box CBM]]*35.3147)</f>
        <v>0</v>
      </c>
      <c r="BE241" t="s">
        <v>48</v>
      </c>
      <c r="BI24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41">
        <f>SUM(cna_product_database_catalog_website[[#This Row],[Carton CFT]]/61024)</f>
        <v>0</v>
      </c>
      <c r="BM241" t="s">
        <v>48</v>
      </c>
      <c r="BN241" t="s">
        <v>48</v>
      </c>
      <c r="BO241" t="s">
        <v>48</v>
      </c>
      <c r="BP241" t="s">
        <v>48</v>
      </c>
      <c r="BQ241" t="s">
        <v>48</v>
      </c>
      <c r="BS241" t="s">
        <v>48</v>
      </c>
      <c r="BT241" t="s">
        <v>48</v>
      </c>
      <c r="BU241" t="s">
        <v>48</v>
      </c>
      <c r="BW241" t="s">
        <v>48</v>
      </c>
      <c r="BX241" t="s">
        <v>48</v>
      </c>
      <c r="BY241" t="s">
        <v>48</v>
      </c>
      <c r="BZ241" t="s">
        <v>48</v>
      </c>
      <c r="CA241" t="s">
        <v>48</v>
      </c>
      <c r="CB241" t="s">
        <v>48</v>
      </c>
      <c r="CC241" t="s">
        <v>48</v>
      </c>
      <c r="CD241" t="s">
        <v>48</v>
      </c>
      <c r="CE241" t="s">
        <v>48</v>
      </c>
      <c r="CF241" t="s">
        <v>48</v>
      </c>
      <c r="CG241" t="s">
        <v>48</v>
      </c>
      <c r="CH241" t="s">
        <v>48</v>
      </c>
      <c r="CI241" t="s">
        <v>48</v>
      </c>
      <c r="CJ241" t="s">
        <v>48</v>
      </c>
    </row>
    <row r="242" spans="1:88" x14ac:dyDescent="0.25">
      <c r="A242" s="4" t="s">
        <v>2152</v>
      </c>
      <c r="B242" s="4" t="s">
        <v>1201</v>
      </c>
      <c r="C242" s="4" t="s">
        <v>1386</v>
      </c>
      <c r="D242" s="4" t="str">
        <f>cna_product_database_catalog_website[[#This Row],[MainCategory]]&amp;"&gt;"&amp;cna_product_database_catalog_website[[#This Row],[SubCategory1]]&amp;"&gt;"&amp;cna_product_database_catalog_website[[#This Row],[SubCategory2]]</f>
        <v>Halogen&gt;JDR&gt;JDR 75W</v>
      </c>
      <c r="E242">
        <v>2205</v>
      </c>
      <c r="F242" t="s">
        <v>782</v>
      </c>
      <c r="G242" s="3">
        <v>47</v>
      </c>
      <c r="H242" s="8">
        <v>2.75</v>
      </c>
      <c r="I242" t="s">
        <v>782</v>
      </c>
      <c r="J242" t="s">
        <v>782</v>
      </c>
      <c r="K242" t="s">
        <v>781</v>
      </c>
      <c r="L242" t="s">
        <v>46</v>
      </c>
      <c r="M242" s="12"/>
      <c r="N242" t="s">
        <v>47</v>
      </c>
      <c r="O242" s="3">
        <v>1</v>
      </c>
      <c r="P242" s="3">
        <v>1</v>
      </c>
      <c r="Q242" t="s">
        <v>758</v>
      </c>
      <c r="R242" t="s">
        <v>53</v>
      </c>
      <c r="S242" t="s">
        <v>48</v>
      </c>
      <c r="T242" t="s">
        <v>48</v>
      </c>
      <c r="U242" t="s">
        <v>48</v>
      </c>
      <c r="V242" t="s">
        <v>48</v>
      </c>
      <c r="W242" t="s">
        <v>48</v>
      </c>
      <c r="X242" t="s">
        <v>760</v>
      </c>
      <c r="Y242" s="3" t="s">
        <v>48</v>
      </c>
      <c r="Z242" s="3" t="s">
        <v>48</v>
      </c>
      <c r="AA242" s="3" t="s">
        <v>48</v>
      </c>
      <c r="AB242" s="1" t="s">
        <v>48</v>
      </c>
      <c r="AC242" s="1" t="s">
        <v>48</v>
      </c>
      <c r="AD242" t="s">
        <v>48</v>
      </c>
      <c r="AE242"/>
      <c r="AF242" t="s">
        <v>48</v>
      </c>
      <c r="AG242" t="s">
        <v>48</v>
      </c>
      <c r="AH242" t="s">
        <v>48</v>
      </c>
      <c r="AI242" t="s">
        <v>48</v>
      </c>
      <c r="AL242" t="s">
        <v>48</v>
      </c>
      <c r="AO242" t="s">
        <v>48</v>
      </c>
      <c r="AP242" t="s">
        <v>48</v>
      </c>
      <c r="AQ242" t="s">
        <v>48</v>
      </c>
      <c r="AV242" t="s">
        <v>48</v>
      </c>
      <c r="AW242" t="s">
        <v>48</v>
      </c>
      <c r="AX242" s="2" t="s">
        <v>80</v>
      </c>
      <c r="AY242" s="2" t="s">
        <v>279</v>
      </c>
      <c r="BC242">
        <f>SUM(cna_product_database_catalog_website[[#This Row],[Box Length (cm)]]*cna_product_database_catalog_website[[#This Row],[Box Width (cm)]]*cna_product_database_catalog_website[[#This Row],[Box Height (cm)]]/1000000)</f>
        <v>0</v>
      </c>
      <c r="BD242">
        <f>SUM(cna_product_database_catalog_website[[#This Row],[Box CBM]]*35.3147)</f>
        <v>0</v>
      </c>
      <c r="BE242" t="s">
        <v>48</v>
      </c>
      <c r="BI24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42">
        <f>SUM(cna_product_database_catalog_website[[#This Row],[Carton CFT]]/61024)</f>
        <v>0</v>
      </c>
      <c r="BM242" t="s">
        <v>48</v>
      </c>
      <c r="BN242" t="s">
        <v>48</v>
      </c>
      <c r="BO242" t="s">
        <v>48</v>
      </c>
      <c r="BP242" t="s">
        <v>48</v>
      </c>
      <c r="BQ242" t="s">
        <v>48</v>
      </c>
      <c r="BS242" t="s">
        <v>48</v>
      </c>
      <c r="BT242" t="s">
        <v>48</v>
      </c>
      <c r="BU242" t="s">
        <v>48</v>
      </c>
      <c r="BW242" t="s">
        <v>48</v>
      </c>
      <c r="BX242" t="s">
        <v>48</v>
      </c>
      <c r="BY242" t="s">
        <v>48</v>
      </c>
      <c r="BZ242" t="s">
        <v>48</v>
      </c>
      <c r="CA242" t="s">
        <v>48</v>
      </c>
      <c r="CB242" t="s">
        <v>48</v>
      </c>
      <c r="CC242" t="s">
        <v>48</v>
      </c>
      <c r="CD242" t="s">
        <v>48</v>
      </c>
      <c r="CE242" t="s">
        <v>48</v>
      </c>
      <c r="CF242" t="s">
        <v>48</v>
      </c>
      <c r="CG242" t="s">
        <v>48</v>
      </c>
      <c r="CH242" t="s">
        <v>48</v>
      </c>
      <c r="CI242" t="s">
        <v>48</v>
      </c>
      <c r="CJ242" t="s">
        <v>48</v>
      </c>
    </row>
    <row r="243" spans="1:88" x14ac:dyDescent="0.25">
      <c r="A243" s="4" t="s">
        <v>2152</v>
      </c>
      <c r="B243" s="4" t="s">
        <v>1201</v>
      </c>
      <c r="C243" s="4" t="s">
        <v>1387</v>
      </c>
      <c r="D243" s="4" t="str">
        <f>cna_product_database_catalog_website[[#This Row],[MainCategory]]&amp;"&gt;"&amp;cna_product_database_catalog_website[[#This Row],[SubCategory1]]&amp;"&gt;"&amp;cna_product_database_catalog_website[[#This Row],[SubCategory2]]</f>
        <v>Halogen&gt;JDR&gt;JDR 100W</v>
      </c>
      <c r="E243">
        <v>2210</v>
      </c>
      <c r="F243" t="s">
        <v>783</v>
      </c>
      <c r="G243" s="3">
        <v>48</v>
      </c>
      <c r="H243" s="8">
        <v>2.75</v>
      </c>
      <c r="I243" t="s">
        <v>783</v>
      </c>
      <c r="J243" t="s">
        <v>783</v>
      </c>
      <c r="K243" t="s">
        <v>781</v>
      </c>
      <c r="L243" t="s">
        <v>46</v>
      </c>
      <c r="M243" s="12"/>
      <c r="N243" t="s">
        <v>47</v>
      </c>
      <c r="O243" s="3">
        <v>1</v>
      </c>
      <c r="P243" s="3">
        <v>1</v>
      </c>
      <c r="Q243" t="s">
        <v>762</v>
      </c>
      <c r="R243" t="s">
        <v>53</v>
      </c>
      <c r="S243" t="s">
        <v>48</v>
      </c>
      <c r="T243" t="s">
        <v>48</v>
      </c>
      <c r="U243" t="s">
        <v>48</v>
      </c>
      <c r="V243" t="s">
        <v>48</v>
      </c>
      <c r="W243" t="s">
        <v>48</v>
      </c>
      <c r="X243" t="s">
        <v>760</v>
      </c>
      <c r="Y243" s="3" t="s">
        <v>48</v>
      </c>
      <c r="Z243" s="3" t="s">
        <v>48</v>
      </c>
      <c r="AA243" s="3" t="s">
        <v>48</v>
      </c>
      <c r="AB243" s="1" t="s">
        <v>48</v>
      </c>
      <c r="AC243" s="1" t="s">
        <v>48</v>
      </c>
      <c r="AD243" t="s">
        <v>48</v>
      </c>
      <c r="AE243"/>
      <c r="AF243" t="s">
        <v>48</v>
      </c>
      <c r="AG243" t="s">
        <v>48</v>
      </c>
      <c r="AH243" t="s">
        <v>48</v>
      </c>
      <c r="AI243" t="s">
        <v>48</v>
      </c>
      <c r="AL243" t="s">
        <v>48</v>
      </c>
      <c r="AO243" t="s">
        <v>48</v>
      </c>
      <c r="AP243" t="s">
        <v>48</v>
      </c>
      <c r="AQ243" t="s">
        <v>48</v>
      </c>
      <c r="AV243" t="s">
        <v>48</v>
      </c>
      <c r="AW243" t="s">
        <v>48</v>
      </c>
      <c r="AX243" s="2" t="s">
        <v>80</v>
      </c>
      <c r="AY243" s="2" t="s">
        <v>279</v>
      </c>
      <c r="BC243">
        <f>SUM(cna_product_database_catalog_website[[#This Row],[Box Length (cm)]]*cna_product_database_catalog_website[[#This Row],[Box Width (cm)]]*cna_product_database_catalog_website[[#This Row],[Box Height (cm)]]/1000000)</f>
        <v>0</v>
      </c>
      <c r="BD243">
        <f>SUM(cna_product_database_catalog_website[[#This Row],[Box CBM]]*35.3147)</f>
        <v>0</v>
      </c>
      <c r="BE243" t="s">
        <v>48</v>
      </c>
      <c r="BI24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43">
        <f>SUM(cna_product_database_catalog_website[[#This Row],[Carton CFT]]/61024)</f>
        <v>0</v>
      </c>
      <c r="BM243" t="s">
        <v>48</v>
      </c>
      <c r="BN243" t="s">
        <v>48</v>
      </c>
      <c r="BO243" t="s">
        <v>48</v>
      </c>
      <c r="BP243" t="s">
        <v>48</v>
      </c>
      <c r="BQ243" t="s">
        <v>48</v>
      </c>
      <c r="BS243" t="s">
        <v>48</v>
      </c>
      <c r="BT243" t="s">
        <v>48</v>
      </c>
      <c r="BU243" t="s">
        <v>48</v>
      </c>
      <c r="BW243" t="s">
        <v>48</v>
      </c>
      <c r="BX243" t="s">
        <v>48</v>
      </c>
      <c r="BY243" t="s">
        <v>48</v>
      </c>
      <c r="BZ243" t="s">
        <v>48</v>
      </c>
      <c r="CA243" t="s">
        <v>48</v>
      </c>
      <c r="CB243" t="s">
        <v>48</v>
      </c>
      <c r="CC243" t="s">
        <v>48</v>
      </c>
      <c r="CD243" t="s">
        <v>48</v>
      </c>
      <c r="CE243" t="s">
        <v>48</v>
      </c>
      <c r="CF243" t="s">
        <v>48</v>
      </c>
      <c r="CG243" t="s">
        <v>48</v>
      </c>
      <c r="CH243" t="s">
        <v>48</v>
      </c>
      <c r="CI243" t="s">
        <v>48</v>
      </c>
      <c r="CJ243" t="s">
        <v>48</v>
      </c>
    </row>
    <row r="244" spans="1:88" x14ac:dyDescent="0.25">
      <c r="A244" s="4" t="s">
        <v>2152</v>
      </c>
      <c r="B244" s="4" t="s">
        <v>1202</v>
      </c>
      <c r="C244" s="4" t="s">
        <v>1388</v>
      </c>
      <c r="D244" s="4" t="str">
        <f>cna_product_database_catalog_website[[#This Row],[MainCategory]]&amp;"&gt;"&amp;cna_product_database_catalog_website[[#This Row],[SubCategory1]]&amp;"&gt;"&amp;cna_product_database_catalog_website[[#This Row],[SubCategory2]]</f>
        <v>Halogen&gt;PAR 16&gt;PAR16 50W</v>
      </c>
      <c r="E244">
        <v>2300</v>
      </c>
      <c r="F244" t="s">
        <v>784</v>
      </c>
      <c r="G244" s="3">
        <v>105</v>
      </c>
      <c r="H244" s="8">
        <v>2.2000000000000002</v>
      </c>
      <c r="I244" t="s">
        <v>784</v>
      </c>
      <c r="J244" t="s">
        <v>784</v>
      </c>
      <c r="K244" t="s">
        <v>785</v>
      </c>
      <c r="L244" t="s">
        <v>46</v>
      </c>
      <c r="M244" s="12"/>
      <c r="N244" t="s">
        <v>47</v>
      </c>
      <c r="O244" s="3">
        <v>1</v>
      </c>
      <c r="P244" s="3">
        <v>1</v>
      </c>
      <c r="Q244" t="s">
        <v>768</v>
      </c>
      <c r="R244" t="s">
        <v>53</v>
      </c>
      <c r="S244" t="s">
        <v>48</v>
      </c>
      <c r="T244" t="s">
        <v>48</v>
      </c>
      <c r="U244" t="s">
        <v>48</v>
      </c>
      <c r="V244" t="s">
        <v>48</v>
      </c>
      <c r="W244" t="s">
        <v>48</v>
      </c>
      <c r="X244" t="s">
        <v>760</v>
      </c>
      <c r="Y244" s="3" t="s">
        <v>48</v>
      </c>
      <c r="Z244" s="3" t="s">
        <v>48</v>
      </c>
      <c r="AA244" s="3" t="s">
        <v>48</v>
      </c>
      <c r="AB244" s="1" t="s">
        <v>48</v>
      </c>
      <c r="AC244" s="1" t="s">
        <v>48</v>
      </c>
      <c r="AD244" t="s">
        <v>48</v>
      </c>
      <c r="AE244"/>
      <c r="AF244" t="s">
        <v>48</v>
      </c>
      <c r="AG244" t="s">
        <v>48</v>
      </c>
      <c r="AH244" t="s">
        <v>48</v>
      </c>
      <c r="AI244" t="s">
        <v>48</v>
      </c>
      <c r="AL244" t="s">
        <v>48</v>
      </c>
      <c r="AO244" t="s">
        <v>48</v>
      </c>
      <c r="AP244" t="s">
        <v>48</v>
      </c>
      <c r="AQ244" t="s">
        <v>48</v>
      </c>
      <c r="AV244" t="s">
        <v>48</v>
      </c>
      <c r="AW244" t="s">
        <v>48</v>
      </c>
      <c r="AX244" s="2" t="s">
        <v>169</v>
      </c>
      <c r="AY244" s="2" t="s">
        <v>169</v>
      </c>
      <c r="BC244">
        <f>SUM(cna_product_database_catalog_website[[#This Row],[Box Length (cm)]]*cna_product_database_catalog_website[[#This Row],[Box Width (cm)]]*cna_product_database_catalog_website[[#This Row],[Box Height (cm)]]/1000000)</f>
        <v>0</v>
      </c>
      <c r="BD244">
        <f>SUM(cna_product_database_catalog_website[[#This Row],[Box CBM]]*35.3147)</f>
        <v>0</v>
      </c>
      <c r="BE244" t="s">
        <v>48</v>
      </c>
      <c r="BI24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44">
        <f>SUM(cna_product_database_catalog_website[[#This Row],[Carton CFT]]/61024)</f>
        <v>0</v>
      </c>
      <c r="BM244" t="s">
        <v>48</v>
      </c>
      <c r="BN244" t="s">
        <v>48</v>
      </c>
      <c r="BO244" t="s">
        <v>48</v>
      </c>
      <c r="BP244" t="s">
        <v>48</v>
      </c>
      <c r="BQ244" t="s">
        <v>48</v>
      </c>
      <c r="BS244" t="s">
        <v>48</v>
      </c>
      <c r="BT244" t="s">
        <v>48</v>
      </c>
      <c r="BU244" t="s">
        <v>48</v>
      </c>
      <c r="BW244" t="s">
        <v>48</v>
      </c>
      <c r="BX244" t="s">
        <v>48</v>
      </c>
      <c r="BY244" t="s">
        <v>48</v>
      </c>
      <c r="BZ244" t="s">
        <v>48</v>
      </c>
      <c r="CA244" t="s">
        <v>48</v>
      </c>
      <c r="CB244" t="s">
        <v>48</v>
      </c>
      <c r="CC244" t="s">
        <v>48</v>
      </c>
      <c r="CD244" t="s">
        <v>48</v>
      </c>
      <c r="CE244" t="s">
        <v>48</v>
      </c>
      <c r="CF244" t="s">
        <v>48</v>
      </c>
      <c r="CG244" t="s">
        <v>48</v>
      </c>
      <c r="CH244" t="s">
        <v>48</v>
      </c>
      <c r="CI244" t="s">
        <v>48</v>
      </c>
      <c r="CJ244" t="s">
        <v>48</v>
      </c>
    </row>
    <row r="245" spans="1:88" x14ac:dyDescent="0.25">
      <c r="A245" s="4" t="s">
        <v>2152</v>
      </c>
      <c r="B245" s="4" t="s">
        <v>389</v>
      </c>
      <c r="C245" s="4" t="s">
        <v>1390</v>
      </c>
      <c r="D245" s="4" t="str">
        <f>cna_product_database_catalog_website[[#This Row],[MainCategory]]&amp;"&gt;"&amp;cna_product_database_catalog_website[[#This Row],[SubCategory1]]&amp;"&gt;"&amp;cna_product_database_catalog_website[[#This Row],[SubCategory2]]</f>
        <v>Halogen&gt;MR16&gt;MR16 20W ESX</v>
      </c>
      <c r="E245">
        <v>2400</v>
      </c>
      <c r="F245" t="s">
        <v>786</v>
      </c>
      <c r="G245" s="3">
        <v>116</v>
      </c>
      <c r="H245" s="8">
        <v>1</v>
      </c>
      <c r="I245" t="s">
        <v>786</v>
      </c>
      <c r="J245" t="s">
        <v>786</v>
      </c>
      <c r="K245" t="s">
        <v>787</v>
      </c>
      <c r="L245" t="s">
        <v>46</v>
      </c>
      <c r="M245" s="12"/>
      <c r="N245" t="s">
        <v>47</v>
      </c>
      <c r="O245" s="3">
        <v>1</v>
      </c>
      <c r="P245" s="3">
        <v>1</v>
      </c>
      <c r="Q245" t="s">
        <v>262</v>
      </c>
      <c r="R245" t="s">
        <v>788</v>
      </c>
      <c r="S245" t="s">
        <v>48</v>
      </c>
      <c r="T245" t="s">
        <v>48</v>
      </c>
      <c r="U245" t="s">
        <v>48</v>
      </c>
      <c r="V245" t="s">
        <v>48</v>
      </c>
      <c r="W245" t="s">
        <v>48</v>
      </c>
      <c r="X245" t="s">
        <v>760</v>
      </c>
      <c r="Y245" s="3" t="s">
        <v>1425</v>
      </c>
      <c r="Z245" s="3" t="s">
        <v>48</v>
      </c>
      <c r="AA245" s="3" t="s">
        <v>48</v>
      </c>
      <c r="AB245" s="1" t="s">
        <v>48</v>
      </c>
      <c r="AC245" s="1" t="s">
        <v>48</v>
      </c>
      <c r="AD245" t="s">
        <v>48</v>
      </c>
      <c r="AE245"/>
      <c r="AF245" t="s">
        <v>48</v>
      </c>
      <c r="AG245" t="s">
        <v>48</v>
      </c>
      <c r="AH245" t="s">
        <v>48</v>
      </c>
      <c r="AI245" t="s">
        <v>48</v>
      </c>
      <c r="AL245" t="s">
        <v>48</v>
      </c>
      <c r="AO245" t="s">
        <v>48</v>
      </c>
      <c r="AP245" t="s">
        <v>48</v>
      </c>
      <c r="AQ245" t="s">
        <v>48</v>
      </c>
      <c r="AV245" t="s">
        <v>48</v>
      </c>
      <c r="AW245" t="s">
        <v>48</v>
      </c>
      <c r="AX245" s="2" t="s">
        <v>365</v>
      </c>
      <c r="AY245" s="2" t="s">
        <v>279</v>
      </c>
      <c r="BC245">
        <f>SUM(cna_product_database_catalog_website[[#This Row],[Box Length (cm)]]*cna_product_database_catalog_website[[#This Row],[Box Width (cm)]]*cna_product_database_catalog_website[[#This Row],[Box Height (cm)]]/1000000)</f>
        <v>0</v>
      </c>
      <c r="BD245">
        <f>SUM(cna_product_database_catalog_website[[#This Row],[Box CBM]]*35.3147)</f>
        <v>0</v>
      </c>
      <c r="BE245" t="s">
        <v>48</v>
      </c>
      <c r="BI24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45">
        <f>SUM(cna_product_database_catalog_website[[#This Row],[Carton CFT]]/61024)</f>
        <v>0</v>
      </c>
      <c r="BM245" t="s">
        <v>48</v>
      </c>
      <c r="BN245" t="s">
        <v>48</v>
      </c>
      <c r="BO245" t="s">
        <v>48</v>
      </c>
      <c r="BP245" t="s">
        <v>48</v>
      </c>
      <c r="BQ245" t="s">
        <v>48</v>
      </c>
      <c r="BS245" t="s">
        <v>48</v>
      </c>
      <c r="BT245" t="s">
        <v>48</v>
      </c>
      <c r="BU245" t="s">
        <v>48</v>
      </c>
      <c r="BW245" t="s">
        <v>48</v>
      </c>
      <c r="BX245" t="s">
        <v>48</v>
      </c>
      <c r="BY245" t="s">
        <v>48</v>
      </c>
      <c r="BZ245" t="s">
        <v>48</v>
      </c>
      <c r="CA245" t="s">
        <v>48</v>
      </c>
      <c r="CB245" t="s">
        <v>48</v>
      </c>
      <c r="CC245" t="s">
        <v>48</v>
      </c>
      <c r="CD245" t="s">
        <v>48</v>
      </c>
      <c r="CE245" t="s">
        <v>48</v>
      </c>
      <c r="CF245" t="s">
        <v>48</v>
      </c>
      <c r="CG245" t="s">
        <v>48</v>
      </c>
      <c r="CH245" t="s">
        <v>48</v>
      </c>
      <c r="CI245" t="s">
        <v>48</v>
      </c>
      <c r="CJ245" t="s">
        <v>48</v>
      </c>
    </row>
    <row r="246" spans="1:88" x14ac:dyDescent="0.25">
      <c r="A246" s="4" t="s">
        <v>2152</v>
      </c>
      <c r="B246" s="4" t="s">
        <v>389</v>
      </c>
      <c r="C246" s="4" t="s">
        <v>1389</v>
      </c>
      <c r="D246" s="4" t="str">
        <f>cna_product_database_catalog_website[[#This Row],[MainCategory]]&amp;"&gt;"&amp;cna_product_database_catalog_website[[#This Row],[SubCategory1]]&amp;"&gt;"&amp;cna_product_database_catalog_website[[#This Row],[SubCategory2]]</f>
        <v>Halogen&gt;MR16&gt;MR16 35W FMV</v>
      </c>
      <c r="E246">
        <v>2405</v>
      </c>
      <c r="F246" t="s">
        <v>789</v>
      </c>
      <c r="G246" s="3">
        <v>150</v>
      </c>
      <c r="H246" s="8">
        <v>1</v>
      </c>
      <c r="I246" t="s">
        <v>789</v>
      </c>
      <c r="J246" t="s">
        <v>789</v>
      </c>
      <c r="K246" t="s">
        <v>787</v>
      </c>
      <c r="L246" t="s">
        <v>46</v>
      </c>
      <c r="M246" s="12"/>
      <c r="N246" t="s">
        <v>47</v>
      </c>
      <c r="O246" s="3">
        <v>1</v>
      </c>
      <c r="P246" s="3">
        <v>1</v>
      </c>
      <c r="Q246" t="s">
        <v>779</v>
      </c>
      <c r="R246" t="s">
        <v>788</v>
      </c>
      <c r="S246" t="s">
        <v>48</v>
      </c>
      <c r="T246" t="s">
        <v>48</v>
      </c>
      <c r="U246" t="s">
        <v>48</v>
      </c>
      <c r="V246" t="s">
        <v>48</v>
      </c>
      <c r="W246" t="s">
        <v>48</v>
      </c>
      <c r="X246" t="s">
        <v>760</v>
      </c>
      <c r="Y246" s="3" t="s">
        <v>1426</v>
      </c>
      <c r="Z246" s="3" t="s">
        <v>48</v>
      </c>
      <c r="AA246" s="3" t="s">
        <v>48</v>
      </c>
      <c r="AB246" s="1" t="s">
        <v>48</v>
      </c>
      <c r="AC246" s="1" t="s">
        <v>48</v>
      </c>
      <c r="AD246" t="s">
        <v>48</v>
      </c>
      <c r="AE246"/>
      <c r="AF246" t="s">
        <v>48</v>
      </c>
      <c r="AG246" t="s">
        <v>48</v>
      </c>
      <c r="AH246" t="s">
        <v>48</v>
      </c>
      <c r="AI246" t="s">
        <v>48</v>
      </c>
      <c r="AL246" t="s">
        <v>48</v>
      </c>
      <c r="AO246" t="s">
        <v>48</v>
      </c>
      <c r="AP246" t="s">
        <v>48</v>
      </c>
      <c r="AQ246" t="s">
        <v>48</v>
      </c>
      <c r="AV246" t="s">
        <v>48</v>
      </c>
      <c r="AW246" t="s">
        <v>48</v>
      </c>
      <c r="AX246" s="2" t="s">
        <v>365</v>
      </c>
      <c r="AY246" s="2" t="s">
        <v>279</v>
      </c>
      <c r="BC246">
        <f>SUM(cna_product_database_catalog_website[[#This Row],[Box Length (cm)]]*cna_product_database_catalog_website[[#This Row],[Box Width (cm)]]*cna_product_database_catalog_website[[#This Row],[Box Height (cm)]]/1000000)</f>
        <v>0</v>
      </c>
      <c r="BD246">
        <f>SUM(cna_product_database_catalog_website[[#This Row],[Box CBM]]*35.3147)</f>
        <v>0</v>
      </c>
      <c r="BE246" t="s">
        <v>48</v>
      </c>
      <c r="BI24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46">
        <f>SUM(cna_product_database_catalog_website[[#This Row],[Carton CFT]]/61024)</f>
        <v>0</v>
      </c>
      <c r="BM246" t="s">
        <v>48</v>
      </c>
      <c r="BN246" t="s">
        <v>48</v>
      </c>
      <c r="BO246" t="s">
        <v>48</v>
      </c>
      <c r="BP246" t="s">
        <v>48</v>
      </c>
      <c r="BQ246" t="s">
        <v>48</v>
      </c>
      <c r="BS246" t="s">
        <v>48</v>
      </c>
      <c r="BT246" t="s">
        <v>48</v>
      </c>
      <c r="BU246" t="s">
        <v>48</v>
      </c>
      <c r="BW246" t="s">
        <v>48</v>
      </c>
      <c r="BX246" t="s">
        <v>48</v>
      </c>
      <c r="BY246" t="s">
        <v>48</v>
      </c>
      <c r="BZ246" t="s">
        <v>48</v>
      </c>
      <c r="CA246" t="s">
        <v>48</v>
      </c>
      <c r="CB246" t="s">
        <v>48</v>
      </c>
      <c r="CC246" t="s">
        <v>48</v>
      </c>
      <c r="CD246" t="s">
        <v>48</v>
      </c>
      <c r="CE246" t="s">
        <v>48</v>
      </c>
      <c r="CF246" t="s">
        <v>48</v>
      </c>
      <c r="CG246" t="s">
        <v>48</v>
      </c>
      <c r="CH246" t="s">
        <v>48</v>
      </c>
      <c r="CI246" t="s">
        <v>48</v>
      </c>
      <c r="CJ246" t="s">
        <v>48</v>
      </c>
    </row>
    <row r="247" spans="1:88" x14ac:dyDescent="0.25">
      <c r="A247" s="4" t="s">
        <v>2152</v>
      </c>
      <c r="B247" s="4" t="s">
        <v>389</v>
      </c>
      <c r="C247" s="4" t="s">
        <v>1391</v>
      </c>
      <c r="D247" s="4" t="str">
        <f>cna_product_database_catalog_website[[#This Row],[MainCategory]]&amp;"&gt;"&amp;cna_product_database_catalog_website[[#This Row],[SubCategory1]]&amp;"&gt;"&amp;cna_product_database_catalog_website[[#This Row],[SubCategory2]]</f>
        <v>Halogen&gt;MR16&gt;MR16 42W EYP</v>
      </c>
      <c r="E247">
        <v>2410</v>
      </c>
      <c r="F247" t="s">
        <v>790</v>
      </c>
      <c r="G247" s="3">
        <v>218</v>
      </c>
      <c r="H247" s="8">
        <v>1</v>
      </c>
      <c r="I247" t="s">
        <v>790</v>
      </c>
      <c r="J247" t="s">
        <v>790</v>
      </c>
      <c r="K247" t="s">
        <v>787</v>
      </c>
      <c r="L247" t="s">
        <v>46</v>
      </c>
      <c r="M247" s="12"/>
      <c r="N247" t="s">
        <v>47</v>
      </c>
      <c r="O247" s="3">
        <v>1</v>
      </c>
      <c r="P247" s="3">
        <v>1</v>
      </c>
      <c r="Q247" t="s">
        <v>791</v>
      </c>
      <c r="R247" t="s">
        <v>788</v>
      </c>
      <c r="S247" t="s">
        <v>48</v>
      </c>
      <c r="T247" t="s">
        <v>48</v>
      </c>
      <c r="U247" t="s">
        <v>48</v>
      </c>
      <c r="V247" t="s">
        <v>48</v>
      </c>
      <c r="W247" t="s">
        <v>48</v>
      </c>
      <c r="X247" t="s">
        <v>760</v>
      </c>
      <c r="Y247" s="3" t="s">
        <v>1427</v>
      </c>
      <c r="Z247" s="3" t="s">
        <v>48</v>
      </c>
      <c r="AA247" s="3" t="s">
        <v>48</v>
      </c>
      <c r="AB247" s="1" t="s">
        <v>48</v>
      </c>
      <c r="AC247" s="1" t="s">
        <v>48</v>
      </c>
      <c r="AD247" t="s">
        <v>48</v>
      </c>
      <c r="AE247"/>
      <c r="AF247" t="s">
        <v>48</v>
      </c>
      <c r="AG247" t="s">
        <v>48</v>
      </c>
      <c r="AH247" t="s">
        <v>48</v>
      </c>
      <c r="AI247" t="s">
        <v>48</v>
      </c>
      <c r="AL247" t="s">
        <v>48</v>
      </c>
      <c r="AO247" t="s">
        <v>48</v>
      </c>
      <c r="AP247" t="s">
        <v>48</v>
      </c>
      <c r="AQ247" t="s">
        <v>48</v>
      </c>
      <c r="AV247" t="s">
        <v>48</v>
      </c>
      <c r="AW247" t="s">
        <v>48</v>
      </c>
      <c r="AX247" s="2" t="s">
        <v>365</v>
      </c>
      <c r="AY247" s="2" t="s">
        <v>279</v>
      </c>
      <c r="BC247">
        <f>SUM(cna_product_database_catalog_website[[#This Row],[Box Length (cm)]]*cna_product_database_catalog_website[[#This Row],[Box Width (cm)]]*cna_product_database_catalog_website[[#This Row],[Box Height (cm)]]/1000000)</f>
        <v>0</v>
      </c>
      <c r="BD247">
        <f>SUM(cna_product_database_catalog_website[[#This Row],[Box CBM]]*35.3147)</f>
        <v>0</v>
      </c>
      <c r="BE247" t="s">
        <v>48</v>
      </c>
      <c r="BI24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47">
        <f>SUM(cna_product_database_catalog_website[[#This Row],[Carton CFT]]/61024)</f>
        <v>0</v>
      </c>
      <c r="BM247" t="s">
        <v>48</v>
      </c>
      <c r="BN247" t="s">
        <v>48</v>
      </c>
      <c r="BO247" t="s">
        <v>48</v>
      </c>
      <c r="BP247" t="s">
        <v>48</v>
      </c>
      <c r="BQ247" t="s">
        <v>48</v>
      </c>
      <c r="BS247" t="s">
        <v>48</v>
      </c>
      <c r="BT247" t="s">
        <v>48</v>
      </c>
      <c r="BU247" t="s">
        <v>48</v>
      </c>
      <c r="BW247" t="s">
        <v>48</v>
      </c>
      <c r="BX247" t="s">
        <v>48</v>
      </c>
      <c r="BY247" t="s">
        <v>48</v>
      </c>
      <c r="BZ247" t="s">
        <v>48</v>
      </c>
      <c r="CA247" t="s">
        <v>48</v>
      </c>
      <c r="CB247" t="s">
        <v>48</v>
      </c>
      <c r="CC247" t="s">
        <v>48</v>
      </c>
      <c r="CD247" t="s">
        <v>48</v>
      </c>
      <c r="CE247" t="s">
        <v>48</v>
      </c>
      <c r="CF247" t="s">
        <v>48</v>
      </c>
      <c r="CG247" t="s">
        <v>48</v>
      </c>
      <c r="CH247" t="s">
        <v>48</v>
      </c>
      <c r="CI247" t="s">
        <v>48</v>
      </c>
      <c r="CJ247" t="s">
        <v>48</v>
      </c>
    </row>
    <row r="248" spans="1:88" x14ac:dyDescent="0.25">
      <c r="A248" s="4" t="s">
        <v>2152</v>
      </c>
      <c r="B248" s="4" t="s">
        <v>389</v>
      </c>
      <c r="C248" s="4" t="s">
        <v>1392</v>
      </c>
      <c r="D248" s="4" t="str">
        <f>cna_product_database_catalog_website[[#This Row],[MainCategory]]&amp;"&gt;"&amp;cna_product_database_catalog_website[[#This Row],[SubCategory1]]&amp;"&gt;"&amp;cna_product_database_catalog_website[[#This Row],[SubCategory2]]</f>
        <v>Halogen&gt;MR16&gt;MR16 50W FNV</v>
      </c>
      <c r="E248">
        <v>2415</v>
      </c>
      <c r="F248" t="s">
        <v>792</v>
      </c>
      <c r="G248" s="3">
        <v>113</v>
      </c>
      <c r="H248" s="8">
        <v>1</v>
      </c>
      <c r="I248" t="s">
        <v>792</v>
      </c>
      <c r="J248" t="s">
        <v>792</v>
      </c>
      <c r="K248" t="s">
        <v>787</v>
      </c>
      <c r="L248" t="s">
        <v>46</v>
      </c>
      <c r="M248" s="12"/>
      <c r="N248" t="s">
        <v>47</v>
      </c>
      <c r="O248" s="3">
        <v>1</v>
      </c>
      <c r="P248" s="3">
        <v>1</v>
      </c>
      <c r="Q248" t="s">
        <v>768</v>
      </c>
      <c r="R248" t="s">
        <v>788</v>
      </c>
      <c r="S248" t="s">
        <v>48</v>
      </c>
      <c r="T248" t="s">
        <v>48</v>
      </c>
      <c r="U248" t="s">
        <v>48</v>
      </c>
      <c r="V248" t="s">
        <v>48</v>
      </c>
      <c r="W248" t="s">
        <v>48</v>
      </c>
      <c r="X248" t="s">
        <v>760</v>
      </c>
      <c r="Y248" s="3" t="s">
        <v>1428</v>
      </c>
      <c r="Z248" s="3" t="s">
        <v>48</v>
      </c>
      <c r="AA248" s="3" t="s">
        <v>48</v>
      </c>
      <c r="AB248" s="1" t="s">
        <v>48</v>
      </c>
      <c r="AC248" s="1" t="s">
        <v>48</v>
      </c>
      <c r="AD248" t="s">
        <v>48</v>
      </c>
      <c r="AE248"/>
      <c r="AF248" t="s">
        <v>48</v>
      </c>
      <c r="AG248" t="s">
        <v>48</v>
      </c>
      <c r="AH248" t="s">
        <v>48</v>
      </c>
      <c r="AI248" t="s">
        <v>48</v>
      </c>
      <c r="AL248" t="s">
        <v>48</v>
      </c>
      <c r="AO248" t="s">
        <v>48</v>
      </c>
      <c r="AP248" t="s">
        <v>48</v>
      </c>
      <c r="AQ248" t="s">
        <v>48</v>
      </c>
      <c r="AV248" t="s">
        <v>48</v>
      </c>
      <c r="AW248" t="s">
        <v>48</v>
      </c>
      <c r="AX248" s="2" t="s">
        <v>365</v>
      </c>
      <c r="AY248" s="2" t="s">
        <v>279</v>
      </c>
      <c r="BC248">
        <f>SUM(cna_product_database_catalog_website[[#This Row],[Box Length (cm)]]*cna_product_database_catalog_website[[#This Row],[Box Width (cm)]]*cna_product_database_catalog_website[[#This Row],[Box Height (cm)]]/1000000)</f>
        <v>0</v>
      </c>
      <c r="BD248">
        <f>SUM(cna_product_database_catalog_website[[#This Row],[Box CBM]]*35.3147)</f>
        <v>0</v>
      </c>
      <c r="BE248" t="s">
        <v>48</v>
      </c>
      <c r="BI24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48">
        <f>SUM(cna_product_database_catalog_website[[#This Row],[Carton CFT]]/61024)</f>
        <v>0</v>
      </c>
      <c r="BM248" t="s">
        <v>48</v>
      </c>
      <c r="BN248" t="s">
        <v>48</v>
      </c>
      <c r="BO248" t="s">
        <v>48</v>
      </c>
      <c r="BP248" t="s">
        <v>48</v>
      </c>
      <c r="BQ248" t="s">
        <v>48</v>
      </c>
      <c r="BS248" t="s">
        <v>48</v>
      </c>
      <c r="BT248" t="s">
        <v>48</v>
      </c>
      <c r="BU248" t="s">
        <v>48</v>
      </c>
      <c r="BW248" t="s">
        <v>48</v>
      </c>
      <c r="BX248" t="s">
        <v>48</v>
      </c>
      <c r="BY248" t="s">
        <v>48</v>
      </c>
      <c r="BZ248" t="s">
        <v>48</v>
      </c>
      <c r="CA248" t="s">
        <v>48</v>
      </c>
      <c r="CB248" t="s">
        <v>48</v>
      </c>
      <c r="CC248" t="s">
        <v>48</v>
      </c>
      <c r="CD248" t="s">
        <v>48</v>
      </c>
      <c r="CE248" t="s">
        <v>48</v>
      </c>
      <c r="CF248" t="s">
        <v>48</v>
      </c>
      <c r="CG248" t="s">
        <v>48</v>
      </c>
      <c r="CH248" t="s">
        <v>48</v>
      </c>
      <c r="CI248" t="s">
        <v>48</v>
      </c>
      <c r="CJ248" t="s">
        <v>48</v>
      </c>
    </row>
    <row r="249" spans="1:88" x14ac:dyDescent="0.25">
      <c r="A249" s="4" t="s">
        <v>2152</v>
      </c>
      <c r="B249" s="4" t="s">
        <v>389</v>
      </c>
      <c r="C249" s="4" t="s">
        <v>1393</v>
      </c>
      <c r="D249" s="4" t="str">
        <f>cna_product_database_catalog_website[[#This Row],[MainCategory]]&amp;"&gt;"&amp;cna_product_database_catalog_website[[#This Row],[SubCategory1]]&amp;"&gt;"&amp;cna_product_database_catalog_website[[#This Row],[SubCategory2]]</f>
        <v>Halogen&gt;MR16&gt;MR16 50W EXZ</v>
      </c>
      <c r="E249">
        <v>2420</v>
      </c>
      <c r="F249" t="s">
        <v>793</v>
      </c>
      <c r="G249" s="3">
        <v>199</v>
      </c>
      <c r="H249" s="8">
        <v>1.25</v>
      </c>
      <c r="I249" t="s">
        <v>793</v>
      </c>
      <c r="J249" t="s">
        <v>793</v>
      </c>
      <c r="K249" t="s">
        <v>787</v>
      </c>
      <c r="L249" t="s">
        <v>46</v>
      </c>
      <c r="M249" s="12"/>
      <c r="N249" t="s">
        <v>47</v>
      </c>
      <c r="O249" s="3">
        <v>1</v>
      </c>
      <c r="P249" s="3">
        <v>1</v>
      </c>
      <c r="Q249" t="s">
        <v>768</v>
      </c>
      <c r="R249" t="s">
        <v>788</v>
      </c>
      <c r="S249" t="s">
        <v>48</v>
      </c>
      <c r="T249" t="s">
        <v>48</v>
      </c>
      <c r="U249" t="s">
        <v>48</v>
      </c>
      <c r="V249" t="s">
        <v>48</v>
      </c>
      <c r="W249" t="s">
        <v>48</v>
      </c>
      <c r="X249" t="s">
        <v>760</v>
      </c>
      <c r="Y249" s="3" t="s">
        <v>1426</v>
      </c>
      <c r="Z249" s="3" t="s">
        <v>48</v>
      </c>
      <c r="AA249" s="3" t="s">
        <v>48</v>
      </c>
      <c r="AB249" s="1" t="s">
        <v>48</v>
      </c>
      <c r="AC249" s="1" t="s">
        <v>48</v>
      </c>
      <c r="AD249" t="s">
        <v>48</v>
      </c>
      <c r="AE249"/>
      <c r="AF249" t="s">
        <v>48</v>
      </c>
      <c r="AG249" t="s">
        <v>48</v>
      </c>
      <c r="AH249" t="s">
        <v>48</v>
      </c>
      <c r="AI249" t="s">
        <v>48</v>
      </c>
      <c r="AL249" t="s">
        <v>48</v>
      </c>
      <c r="AO249" t="s">
        <v>48</v>
      </c>
      <c r="AP249" t="s">
        <v>48</v>
      </c>
      <c r="AQ249" t="s">
        <v>48</v>
      </c>
      <c r="AV249" t="s">
        <v>48</v>
      </c>
      <c r="AW249" t="s">
        <v>48</v>
      </c>
      <c r="AX249" s="2" t="s">
        <v>365</v>
      </c>
      <c r="AY249" s="2" t="s">
        <v>279</v>
      </c>
      <c r="BC249">
        <f>SUM(cna_product_database_catalog_website[[#This Row],[Box Length (cm)]]*cna_product_database_catalog_website[[#This Row],[Box Width (cm)]]*cna_product_database_catalog_website[[#This Row],[Box Height (cm)]]/1000000)</f>
        <v>0</v>
      </c>
      <c r="BD249">
        <f>SUM(cna_product_database_catalog_website[[#This Row],[Box CBM]]*35.3147)</f>
        <v>0</v>
      </c>
      <c r="BE249" t="s">
        <v>48</v>
      </c>
      <c r="BI24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49">
        <f>SUM(cna_product_database_catalog_website[[#This Row],[Carton CFT]]/61024)</f>
        <v>0</v>
      </c>
      <c r="BM249" t="s">
        <v>48</v>
      </c>
      <c r="BN249" t="s">
        <v>48</v>
      </c>
      <c r="BO249" t="s">
        <v>48</v>
      </c>
      <c r="BP249" t="s">
        <v>48</v>
      </c>
      <c r="BQ249" t="s">
        <v>48</v>
      </c>
      <c r="BS249" t="s">
        <v>48</v>
      </c>
      <c r="BT249" t="s">
        <v>48</v>
      </c>
      <c r="BU249" t="s">
        <v>48</v>
      </c>
      <c r="BW249" t="s">
        <v>48</v>
      </c>
      <c r="BX249" t="s">
        <v>48</v>
      </c>
      <c r="BY249" t="s">
        <v>48</v>
      </c>
      <c r="BZ249" t="s">
        <v>48</v>
      </c>
      <c r="CA249" t="s">
        <v>48</v>
      </c>
      <c r="CB249" t="s">
        <v>48</v>
      </c>
      <c r="CC249" t="s">
        <v>48</v>
      </c>
      <c r="CD249" t="s">
        <v>48</v>
      </c>
      <c r="CE249" t="s">
        <v>48</v>
      </c>
      <c r="CF249" t="s">
        <v>48</v>
      </c>
      <c r="CG249" t="s">
        <v>48</v>
      </c>
      <c r="CH249" t="s">
        <v>48</v>
      </c>
      <c r="CI249" t="s">
        <v>48</v>
      </c>
      <c r="CJ249" t="s">
        <v>48</v>
      </c>
    </row>
    <row r="250" spans="1:88" x14ac:dyDescent="0.25">
      <c r="A250" s="4" t="s">
        <v>2152</v>
      </c>
      <c r="B250" s="4" t="s">
        <v>389</v>
      </c>
      <c r="C250" s="4" t="s">
        <v>1394</v>
      </c>
      <c r="D250" s="4" t="str">
        <f>cna_product_database_catalog_website[[#This Row],[MainCategory]]&amp;"&gt;"&amp;cna_product_database_catalog_website[[#This Row],[SubCategory1]]&amp;"&gt;"&amp;cna_product_database_catalog_website[[#This Row],[SubCategory2]]</f>
        <v>Halogen&gt;MR16&gt;MR16 50W EXT</v>
      </c>
      <c r="E250">
        <v>2425</v>
      </c>
      <c r="F250" t="s">
        <v>794</v>
      </c>
      <c r="G250" s="3">
        <v>6</v>
      </c>
      <c r="H250" s="8">
        <v>1.25</v>
      </c>
      <c r="I250" t="s">
        <v>794</v>
      </c>
      <c r="J250" t="s">
        <v>794</v>
      </c>
      <c r="K250" t="s">
        <v>787</v>
      </c>
      <c r="L250" t="s">
        <v>46</v>
      </c>
      <c r="M250" s="12"/>
      <c r="N250" t="s">
        <v>47</v>
      </c>
      <c r="O250" s="3">
        <v>1</v>
      </c>
      <c r="P250" s="3">
        <v>1</v>
      </c>
      <c r="Q250" t="s">
        <v>768</v>
      </c>
      <c r="R250" t="s">
        <v>788</v>
      </c>
      <c r="S250" t="s">
        <v>48</v>
      </c>
      <c r="T250" t="s">
        <v>48</v>
      </c>
      <c r="U250" t="s">
        <v>48</v>
      </c>
      <c r="V250" t="s">
        <v>48</v>
      </c>
      <c r="W250" t="s">
        <v>48</v>
      </c>
      <c r="X250" t="s">
        <v>760</v>
      </c>
      <c r="Y250" s="3" t="s">
        <v>1425</v>
      </c>
      <c r="Z250" s="3" t="s">
        <v>48</v>
      </c>
      <c r="AA250" s="3" t="s">
        <v>48</v>
      </c>
      <c r="AB250" s="1" t="s">
        <v>48</v>
      </c>
      <c r="AC250" s="1" t="s">
        <v>48</v>
      </c>
      <c r="AD250" t="s">
        <v>48</v>
      </c>
      <c r="AE250"/>
      <c r="AF250" t="s">
        <v>48</v>
      </c>
      <c r="AG250" t="s">
        <v>48</v>
      </c>
      <c r="AH250" t="s">
        <v>48</v>
      </c>
      <c r="AI250" t="s">
        <v>48</v>
      </c>
      <c r="AL250" t="s">
        <v>48</v>
      </c>
      <c r="AO250" t="s">
        <v>48</v>
      </c>
      <c r="AP250" t="s">
        <v>48</v>
      </c>
      <c r="AQ250" t="s">
        <v>48</v>
      </c>
      <c r="AV250" t="s">
        <v>48</v>
      </c>
      <c r="AW250" t="s">
        <v>48</v>
      </c>
      <c r="AX250" s="2" t="s">
        <v>365</v>
      </c>
      <c r="AY250" s="2" t="s">
        <v>279</v>
      </c>
      <c r="BC250">
        <f>SUM(cna_product_database_catalog_website[[#This Row],[Box Length (cm)]]*cna_product_database_catalog_website[[#This Row],[Box Width (cm)]]*cna_product_database_catalog_website[[#This Row],[Box Height (cm)]]/1000000)</f>
        <v>0</v>
      </c>
      <c r="BD250">
        <f>SUM(cna_product_database_catalog_website[[#This Row],[Box CBM]]*35.3147)</f>
        <v>0</v>
      </c>
      <c r="BE250" t="s">
        <v>48</v>
      </c>
      <c r="BI25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50">
        <f>SUM(cna_product_database_catalog_website[[#This Row],[Carton CFT]]/61024)</f>
        <v>0</v>
      </c>
      <c r="BM250" t="s">
        <v>48</v>
      </c>
      <c r="BN250" t="s">
        <v>48</v>
      </c>
      <c r="BO250" t="s">
        <v>48</v>
      </c>
      <c r="BP250" t="s">
        <v>48</v>
      </c>
      <c r="BQ250" t="s">
        <v>48</v>
      </c>
      <c r="BS250" t="s">
        <v>48</v>
      </c>
      <c r="BT250" t="s">
        <v>48</v>
      </c>
      <c r="BU250" t="s">
        <v>48</v>
      </c>
      <c r="BW250" t="s">
        <v>48</v>
      </c>
      <c r="BX250" t="s">
        <v>48</v>
      </c>
      <c r="BY250" t="s">
        <v>48</v>
      </c>
      <c r="BZ250" t="s">
        <v>48</v>
      </c>
      <c r="CA250" t="s">
        <v>48</v>
      </c>
      <c r="CB250" t="s">
        <v>48</v>
      </c>
      <c r="CC250" t="s">
        <v>48</v>
      </c>
      <c r="CD250" t="s">
        <v>48</v>
      </c>
      <c r="CE250" t="s">
        <v>48</v>
      </c>
      <c r="CF250" t="s">
        <v>48</v>
      </c>
      <c r="CG250" t="s">
        <v>48</v>
      </c>
      <c r="CH250" t="s">
        <v>48</v>
      </c>
      <c r="CI250" t="s">
        <v>48</v>
      </c>
      <c r="CJ250" t="s">
        <v>48</v>
      </c>
    </row>
    <row r="251" spans="1:88" x14ac:dyDescent="0.25">
      <c r="A251" s="4" t="s">
        <v>2152</v>
      </c>
      <c r="B251" s="4" t="s">
        <v>389</v>
      </c>
      <c r="C251" s="4" t="s">
        <v>1395</v>
      </c>
      <c r="D251" s="4" t="str">
        <f>cna_product_database_catalog_website[[#This Row],[MainCategory]]&amp;"&gt;"&amp;cna_product_database_catalog_website[[#This Row],[SubCategory1]]&amp;"&gt;"&amp;cna_product_database_catalog_website[[#This Row],[SubCategory2]]</f>
        <v>Halogen&gt;MR16&gt;MR16 50W EYC</v>
      </c>
      <c r="E251">
        <v>2430</v>
      </c>
      <c r="F251" t="s">
        <v>795</v>
      </c>
      <c r="G251" s="3">
        <v>1</v>
      </c>
      <c r="H251" s="8">
        <v>1.4</v>
      </c>
      <c r="I251" t="s">
        <v>795</v>
      </c>
      <c r="J251" t="s">
        <v>795</v>
      </c>
      <c r="K251" t="s">
        <v>787</v>
      </c>
      <c r="L251" t="s">
        <v>46</v>
      </c>
      <c r="M251" s="12"/>
      <c r="N251" t="s">
        <v>47</v>
      </c>
      <c r="O251" s="3">
        <v>1</v>
      </c>
      <c r="P251" s="3">
        <v>1</v>
      </c>
      <c r="Q251" t="s">
        <v>758</v>
      </c>
      <c r="R251" t="s">
        <v>788</v>
      </c>
      <c r="S251" t="s">
        <v>48</v>
      </c>
      <c r="T251" t="s">
        <v>48</v>
      </c>
      <c r="U251" t="s">
        <v>48</v>
      </c>
      <c r="V251" t="s">
        <v>48</v>
      </c>
      <c r="W251" t="s">
        <v>48</v>
      </c>
      <c r="X251" t="s">
        <v>760</v>
      </c>
      <c r="Y251" s="3" t="s">
        <v>1427</v>
      </c>
      <c r="Z251" s="3" t="s">
        <v>48</v>
      </c>
      <c r="AA251" s="3" t="s">
        <v>48</v>
      </c>
      <c r="AB251" s="1" t="s">
        <v>48</v>
      </c>
      <c r="AC251" s="1" t="s">
        <v>48</v>
      </c>
      <c r="AD251" t="s">
        <v>48</v>
      </c>
      <c r="AE251"/>
      <c r="AF251" t="s">
        <v>48</v>
      </c>
      <c r="AG251" t="s">
        <v>48</v>
      </c>
      <c r="AH251" t="s">
        <v>48</v>
      </c>
      <c r="AI251" t="s">
        <v>48</v>
      </c>
      <c r="AL251" t="s">
        <v>48</v>
      </c>
      <c r="AO251" t="s">
        <v>48</v>
      </c>
      <c r="AP251" t="s">
        <v>48</v>
      </c>
      <c r="AQ251" t="s">
        <v>48</v>
      </c>
      <c r="AV251" t="s">
        <v>48</v>
      </c>
      <c r="AW251" t="s">
        <v>48</v>
      </c>
      <c r="AX251" s="2" t="s">
        <v>365</v>
      </c>
      <c r="AY251" s="2" t="s">
        <v>279</v>
      </c>
      <c r="BC251">
        <f>SUM(cna_product_database_catalog_website[[#This Row],[Box Length (cm)]]*cna_product_database_catalog_website[[#This Row],[Box Width (cm)]]*cna_product_database_catalog_website[[#This Row],[Box Height (cm)]]/1000000)</f>
        <v>0</v>
      </c>
      <c r="BD251">
        <f>SUM(cna_product_database_catalog_website[[#This Row],[Box CBM]]*35.3147)</f>
        <v>0</v>
      </c>
      <c r="BE251" t="s">
        <v>48</v>
      </c>
      <c r="BI25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51">
        <f>SUM(cna_product_database_catalog_website[[#This Row],[Carton CFT]]/61024)</f>
        <v>0</v>
      </c>
      <c r="BM251" t="s">
        <v>48</v>
      </c>
      <c r="BN251" t="s">
        <v>48</v>
      </c>
      <c r="BO251" t="s">
        <v>48</v>
      </c>
      <c r="BP251" t="s">
        <v>48</v>
      </c>
      <c r="BQ251" t="s">
        <v>48</v>
      </c>
      <c r="BS251" t="s">
        <v>48</v>
      </c>
      <c r="BT251" t="s">
        <v>48</v>
      </c>
      <c r="BU251" t="s">
        <v>48</v>
      </c>
      <c r="BW251" t="s">
        <v>48</v>
      </c>
      <c r="BX251" t="s">
        <v>48</v>
      </c>
      <c r="BY251" t="s">
        <v>48</v>
      </c>
      <c r="BZ251" t="s">
        <v>48</v>
      </c>
      <c r="CA251" t="s">
        <v>48</v>
      </c>
      <c r="CB251" t="s">
        <v>48</v>
      </c>
      <c r="CC251" t="s">
        <v>48</v>
      </c>
      <c r="CD251" t="s">
        <v>48</v>
      </c>
      <c r="CE251" t="s">
        <v>48</v>
      </c>
      <c r="CF251" t="s">
        <v>48</v>
      </c>
      <c r="CG251" t="s">
        <v>48</v>
      </c>
      <c r="CH251" t="s">
        <v>48</v>
      </c>
      <c r="CI251" t="s">
        <v>48</v>
      </c>
      <c r="CJ251" t="s">
        <v>48</v>
      </c>
    </row>
    <row r="252" spans="1:88" x14ac:dyDescent="0.25">
      <c r="A252" s="4" t="s">
        <v>2152</v>
      </c>
      <c r="B252" s="4" t="s">
        <v>389</v>
      </c>
      <c r="C252" s="4" t="s">
        <v>1396</v>
      </c>
      <c r="D252" s="4" t="str">
        <f>cna_product_database_catalog_website[[#This Row],[MainCategory]]&amp;"&gt;"&amp;cna_product_database_catalog_website[[#This Row],[SubCategory1]]&amp;"&gt;"&amp;cna_product_database_catalog_website[[#This Row],[SubCategory2]]</f>
        <v>Halogen&gt;MR16&gt;MR16 50W EXN+C Frosted</v>
      </c>
      <c r="E252">
        <v>2435</v>
      </c>
      <c r="F252" t="s">
        <v>796</v>
      </c>
      <c r="G252" s="3">
        <v>314</v>
      </c>
      <c r="H252" s="8">
        <v>1.5</v>
      </c>
      <c r="I252" t="s">
        <v>796</v>
      </c>
      <c r="J252" t="s">
        <v>796</v>
      </c>
      <c r="K252" t="s">
        <v>787</v>
      </c>
      <c r="L252" t="s">
        <v>46</v>
      </c>
      <c r="M252" s="12"/>
      <c r="N252" t="s">
        <v>47</v>
      </c>
      <c r="O252" s="3">
        <v>1</v>
      </c>
      <c r="P252" s="3">
        <v>1</v>
      </c>
      <c r="Q252" t="s">
        <v>768</v>
      </c>
      <c r="R252" t="s">
        <v>788</v>
      </c>
      <c r="S252" t="s">
        <v>48</v>
      </c>
      <c r="T252" t="s">
        <v>48</v>
      </c>
      <c r="U252" t="s">
        <v>48</v>
      </c>
      <c r="V252" t="s">
        <v>48</v>
      </c>
      <c r="W252" t="s">
        <v>48</v>
      </c>
      <c r="X252" t="s">
        <v>760</v>
      </c>
      <c r="Y252" s="3" t="s">
        <v>1427</v>
      </c>
      <c r="Z252" s="3" t="s">
        <v>48</v>
      </c>
      <c r="AA252" s="3" t="s">
        <v>48</v>
      </c>
      <c r="AB252" s="1" t="s">
        <v>48</v>
      </c>
      <c r="AC252" s="1" t="s">
        <v>48</v>
      </c>
      <c r="AD252" t="s">
        <v>48</v>
      </c>
      <c r="AE252"/>
      <c r="AF252" t="s">
        <v>48</v>
      </c>
      <c r="AG252" t="s">
        <v>48</v>
      </c>
      <c r="AH252" t="s">
        <v>48</v>
      </c>
      <c r="AI252" t="s">
        <v>48</v>
      </c>
      <c r="AL252" t="s">
        <v>48</v>
      </c>
      <c r="AO252" t="s">
        <v>48</v>
      </c>
      <c r="AP252" t="s">
        <v>48</v>
      </c>
      <c r="AQ252" t="s">
        <v>48</v>
      </c>
      <c r="AV252" t="s">
        <v>48</v>
      </c>
      <c r="AW252" t="s">
        <v>48</v>
      </c>
      <c r="AX252" s="2" t="s">
        <v>365</v>
      </c>
      <c r="AY252" s="2" t="s">
        <v>279</v>
      </c>
      <c r="BC252">
        <f>SUM(cna_product_database_catalog_website[[#This Row],[Box Length (cm)]]*cna_product_database_catalog_website[[#This Row],[Box Width (cm)]]*cna_product_database_catalog_website[[#This Row],[Box Height (cm)]]/1000000)</f>
        <v>0</v>
      </c>
      <c r="BD252">
        <f>SUM(cna_product_database_catalog_website[[#This Row],[Box CBM]]*35.3147)</f>
        <v>0</v>
      </c>
      <c r="BE252" t="s">
        <v>48</v>
      </c>
      <c r="BI25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52">
        <f>SUM(cna_product_database_catalog_website[[#This Row],[Carton CFT]]/61024)</f>
        <v>0</v>
      </c>
      <c r="BM252" t="s">
        <v>48</v>
      </c>
      <c r="BN252" t="s">
        <v>48</v>
      </c>
      <c r="BO252" t="s">
        <v>48</v>
      </c>
      <c r="BP252" t="s">
        <v>48</v>
      </c>
      <c r="BQ252" t="s">
        <v>48</v>
      </c>
      <c r="BS252" t="s">
        <v>48</v>
      </c>
      <c r="BT252" t="s">
        <v>48</v>
      </c>
      <c r="BU252" t="s">
        <v>48</v>
      </c>
      <c r="BW252" t="s">
        <v>48</v>
      </c>
      <c r="BX252" t="s">
        <v>48</v>
      </c>
      <c r="BY252" t="s">
        <v>48</v>
      </c>
      <c r="BZ252" t="s">
        <v>48</v>
      </c>
      <c r="CA252" t="s">
        <v>48</v>
      </c>
      <c r="CB252" t="s">
        <v>48</v>
      </c>
      <c r="CC252" t="s">
        <v>48</v>
      </c>
      <c r="CD252" t="s">
        <v>48</v>
      </c>
      <c r="CE252" t="s">
        <v>48</v>
      </c>
      <c r="CF252" t="s">
        <v>48</v>
      </c>
      <c r="CG252" t="s">
        <v>48</v>
      </c>
      <c r="CH252" t="s">
        <v>48</v>
      </c>
      <c r="CI252" t="s">
        <v>48</v>
      </c>
      <c r="CJ252" t="s">
        <v>48</v>
      </c>
    </row>
    <row r="253" spans="1:88" x14ac:dyDescent="0.25">
      <c r="A253" s="4" t="s">
        <v>2152</v>
      </c>
      <c r="B253" s="4" t="s">
        <v>389</v>
      </c>
      <c r="C253" s="4" t="s">
        <v>1403</v>
      </c>
      <c r="D253" s="4" t="str">
        <f>cna_product_database_catalog_website[[#This Row],[MainCategory]]&amp;"&gt;"&amp;cna_product_database_catalog_website[[#This Row],[SubCategory1]]&amp;"&gt;"&amp;cna_product_database_catalog_website[[#This Row],[SubCategory2]]</f>
        <v>Halogen&gt;MR16&gt;XENON MR16 50W BAB+C</v>
      </c>
      <c r="E253">
        <v>2440</v>
      </c>
      <c r="F253" t="s">
        <v>797</v>
      </c>
      <c r="G253" s="3">
        <v>436</v>
      </c>
      <c r="H253" s="8">
        <v>2.4</v>
      </c>
      <c r="I253" t="s">
        <v>797</v>
      </c>
      <c r="J253" t="s">
        <v>797</v>
      </c>
      <c r="K253" t="s">
        <v>798</v>
      </c>
      <c r="L253" t="s">
        <v>46</v>
      </c>
      <c r="M253" s="12"/>
      <c r="N253" t="s">
        <v>47</v>
      </c>
      <c r="O253" s="3">
        <v>1</v>
      </c>
      <c r="P253" s="3">
        <v>1</v>
      </c>
      <c r="Q253" t="s">
        <v>262</v>
      </c>
      <c r="R253" t="s">
        <v>788</v>
      </c>
      <c r="S253" t="s">
        <v>48</v>
      </c>
      <c r="T253" t="s">
        <v>48</v>
      </c>
      <c r="U253" t="s">
        <v>48</v>
      </c>
      <c r="V253" t="s">
        <v>48</v>
      </c>
      <c r="W253" t="s">
        <v>48</v>
      </c>
      <c r="X253" t="s">
        <v>760</v>
      </c>
      <c r="Y253" s="3" t="s">
        <v>1427</v>
      </c>
      <c r="Z253" s="3" t="s">
        <v>48</v>
      </c>
      <c r="AA253" s="3" t="s">
        <v>48</v>
      </c>
      <c r="AB253" s="1" t="s">
        <v>48</v>
      </c>
      <c r="AC253" s="1" t="s">
        <v>48</v>
      </c>
      <c r="AD253" t="s">
        <v>48</v>
      </c>
      <c r="AE253"/>
      <c r="AF253" t="s">
        <v>48</v>
      </c>
      <c r="AG253" t="s">
        <v>48</v>
      </c>
      <c r="AH253" t="s">
        <v>48</v>
      </c>
      <c r="AI253" t="s">
        <v>48</v>
      </c>
      <c r="AL253" t="s">
        <v>48</v>
      </c>
      <c r="AO253" t="s">
        <v>48</v>
      </c>
      <c r="AP253" t="s">
        <v>48</v>
      </c>
      <c r="AQ253" t="s">
        <v>48</v>
      </c>
      <c r="AV253" t="s">
        <v>48</v>
      </c>
      <c r="AW253" t="s">
        <v>48</v>
      </c>
      <c r="AX253" s="2" t="s">
        <v>365</v>
      </c>
      <c r="AY253" s="2" t="s">
        <v>279</v>
      </c>
      <c r="BC253">
        <f>SUM(cna_product_database_catalog_website[[#This Row],[Box Length (cm)]]*cna_product_database_catalog_website[[#This Row],[Box Width (cm)]]*cna_product_database_catalog_website[[#This Row],[Box Height (cm)]]/1000000)</f>
        <v>0</v>
      </c>
      <c r="BD253">
        <f>SUM(cna_product_database_catalog_website[[#This Row],[Box CBM]]*35.3147)</f>
        <v>0</v>
      </c>
      <c r="BE253" t="s">
        <v>48</v>
      </c>
      <c r="BI25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53">
        <f>SUM(cna_product_database_catalog_website[[#This Row],[Carton CFT]]/61024)</f>
        <v>0</v>
      </c>
      <c r="BM253" t="s">
        <v>48</v>
      </c>
      <c r="BN253" t="s">
        <v>48</v>
      </c>
      <c r="BO253" t="s">
        <v>48</v>
      </c>
      <c r="BP253" t="s">
        <v>48</v>
      </c>
      <c r="BQ253" t="s">
        <v>48</v>
      </c>
      <c r="BS253" t="s">
        <v>48</v>
      </c>
      <c r="BT253" t="s">
        <v>48</v>
      </c>
      <c r="BU253" t="s">
        <v>48</v>
      </c>
      <c r="BW253" t="s">
        <v>48</v>
      </c>
      <c r="BX253" t="s">
        <v>48</v>
      </c>
      <c r="BY253" t="s">
        <v>48</v>
      </c>
      <c r="BZ253" t="s">
        <v>48</v>
      </c>
      <c r="CA253" t="s">
        <v>48</v>
      </c>
      <c r="CB253" t="s">
        <v>48</v>
      </c>
      <c r="CC253" t="s">
        <v>48</v>
      </c>
      <c r="CD253" t="s">
        <v>48</v>
      </c>
      <c r="CE253" t="s">
        <v>48</v>
      </c>
      <c r="CF253" t="s">
        <v>48</v>
      </c>
      <c r="CG253" t="s">
        <v>48</v>
      </c>
      <c r="CH253" t="s">
        <v>48</v>
      </c>
      <c r="CI253" t="s">
        <v>48</v>
      </c>
      <c r="CJ253" t="s">
        <v>48</v>
      </c>
    </row>
    <row r="254" spans="1:88" x14ac:dyDescent="0.25">
      <c r="A254" s="4" t="s">
        <v>2152</v>
      </c>
      <c r="B254" s="4" t="s">
        <v>389</v>
      </c>
      <c r="C254" s="4" t="s">
        <v>1397</v>
      </c>
      <c r="D254" s="4" t="str">
        <f>cna_product_database_catalog_website[[#This Row],[MainCategory]]&amp;"&gt;"&amp;cna_product_database_catalog_website[[#This Row],[SubCategory1]]&amp;"&gt;"&amp;cna_product_database_catalog_website[[#This Row],[SubCategory2]]</f>
        <v>Halogen&gt;MR16&gt;IGLOO MR16 50W EXN+C</v>
      </c>
      <c r="E254">
        <v>2445</v>
      </c>
      <c r="F254" t="s">
        <v>1920</v>
      </c>
      <c r="G254" s="3">
        <v>412</v>
      </c>
      <c r="H254" s="8">
        <v>2.5</v>
      </c>
      <c r="I254" t="s">
        <v>1920</v>
      </c>
      <c r="J254" t="s">
        <v>799</v>
      </c>
      <c r="K254" t="s">
        <v>800</v>
      </c>
      <c r="L254" t="s">
        <v>46</v>
      </c>
      <c r="M254" s="12"/>
      <c r="N254" t="s">
        <v>47</v>
      </c>
      <c r="O254" s="3">
        <v>1</v>
      </c>
      <c r="P254" s="3">
        <v>1</v>
      </c>
      <c r="Q254" t="s">
        <v>768</v>
      </c>
      <c r="R254" t="s">
        <v>788</v>
      </c>
      <c r="S254" t="s">
        <v>48</v>
      </c>
      <c r="T254" t="s">
        <v>48</v>
      </c>
      <c r="U254" t="s">
        <v>48</v>
      </c>
      <c r="V254" t="s">
        <v>48</v>
      </c>
      <c r="W254" t="s">
        <v>48</v>
      </c>
      <c r="X254" t="s">
        <v>760</v>
      </c>
      <c r="Y254" s="3" t="s">
        <v>1427</v>
      </c>
      <c r="Z254" s="3" t="s">
        <v>48</v>
      </c>
      <c r="AA254" s="3" t="s">
        <v>48</v>
      </c>
      <c r="AB254" s="1" t="s">
        <v>48</v>
      </c>
      <c r="AC254" s="1" t="s">
        <v>48</v>
      </c>
      <c r="AD254" t="s">
        <v>48</v>
      </c>
      <c r="AE254"/>
      <c r="AF254" t="s">
        <v>48</v>
      </c>
      <c r="AG254" t="s">
        <v>48</v>
      </c>
      <c r="AH254" t="s">
        <v>48</v>
      </c>
      <c r="AI254" t="s">
        <v>48</v>
      </c>
      <c r="AL254" t="s">
        <v>48</v>
      </c>
      <c r="AO254" t="s">
        <v>48</v>
      </c>
      <c r="AP254" t="s">
        <v>48</v>
      </c>
      <c r="AQ254" t="s">
        <v>48</v>
      </c>
      <c r="AV254" t="s">
        <v>48</v>
      </c>
      <c r="AW254" t="s">
        <v>48</v>
      </c>
      <c r="AX254" s="2" t="s">
        <v>365</v>
      </c>
      <c r="AY254" s="2" t="s">
        <v>279</v>
      </c>
      <c r="BC254">
        <f>SUM(cna_product_database_catalog_website[[#This Row],[Box Length (cm)]]*cna_product_database_catalog_website[[#This Row],[Box Width (cm)]]*cna_product_database_catalog_website[[#This Row],[Box Height (cm)]]/1000000)</f>
        <v>0</v>
      </c>
      <c r="BD254">
        <f>SUM(cna_product_database_catalog_website[[#This Row],[Box CBM]]*35.3147)</f>
        <v>0</v>
      </c>
      <c r="BE254" t="s">
        <v>48</v>
      </c>
      <c r="BI25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54">
        <f>SUM(cna_product_database_catalog_website[[#This Row],[Carton CFT]]/61024)</f>
        <v>0</v>
      </c>
      <c r="BM254" t="s">
        <v>48</v>
      </c>
      <c r="BN254" t="s">
        <v>48</v>
      </c>
      <c r="BO254" t="s">
        <v>48</v>
      </c>
      <c r="BP254" t="s">
        <v>48</v>
      </c>
      <c r="BQ254" t="s">
        <v>48</v>
      </c>
      <c r="BS254" t="s">
        <v>48</v>
      </c>
      <c r="BT254" t="s">
        <v>48</v>
      </c>
      <c r="BU254" t="s">
        <v>48</v>
      </c>
      <c r="BW254" t="s">
        <v>48</v>
      </c>
      <c r="BX254" t="s">
        <v>48</v>
      </c>
      <c r="BY254" t="s">
        <v>48</v>
      </c>
      <c r="BZ254" t="s">
        <v>48</v>
      </c>
      <c r="CA254" t="s">
        <v>48</v>
      </c>
      <c r="CB254" t="s">
        <v>48</v>
      </c>
      <c r="CC254" t="s">
        <v>48</v>
      </c>
      <c r="CD254" t="s">
        <v>48</v>
      </c>
      <c r="CE254" t="s">
        <v>48</v>
      </c>
      <c r="CF254" t="s">
        <v>48</v>
      </c>
      <c r="CG254" t="s">
        <v>48</v>
      </c>
      <c r="CH254" t="s">
        <v>48</v>
      </c>
      <c r="CI254" t="s">
        <v>48</v>
      </c>
      <c r="CJ254" t="s">
        <v>48</v>
      </c>
    </row>
    <row r="255" spans="1:88" x14ac:dyDescent="0.25">
      <c r="A255" s="4" t="s">
        <v>2152</v>
      </c>
      <c r="B255" s="4" t="s">
        <v>389</v>
      </c>
      <c r="C255" s="4" t="s">
        <v>1398</v>
      </c>
      <c r="D255" s="4" t="str">
        <f>cna_product_database_catalog_website[[#This Row],[MainCategory]]&amp;"&gt;"&amp;cna_product_database_catalog_website[[#This Row],[SubCategory1]]&amp;"&gt;"&amp;cna_product_database_catalog_website[[#This Row],[SubCategory2]]</f>
        <v>Halogen&gt;MR16&gt;DAYLIGHT MR16 50W EXN+C</v>
      </c>
      <c r="E255">
        <v>2450</v>
      </c>
      <c r="F255" t="s">
        <v>1921</v>
      </c>
      <c r="G255" s="3">
        <v>459</v>
      </c>
      <c r="H255" s="8">
        <v>2.5</v>
      </c>
      <c r="I255" t="s">
        <v>1921</v>
      </c>
      <c r="J255" t="s">
        <v>802</v>
      </c>
      <c r="K255" t="s">
        <v>801</v>
      </c>
      <c r="L255" t="s">
        <v>46</v>
      </c>
      <c r="M255" s="12"/>
      <c r="N255" t="s">
        <v>47</v>
      </c>
      <c r="O255" s="3">
        <v>1</v>
      </c>
      <c r="P255" s="3">
        <v>1</v>
      </c>
      <c r="Q255" t="s">
        <v>768</v>
      </c>
      <c r="R255" t="s">
        <v>788</v>
      </c>
      <c r="S255" t="s">
        <v>48</v>
      </c>
      <c r="T255" t="s">
        <v>48</v>
      </c>
      <c r="U255" t="s">
        <v>48</v>
      </c>
      <c r="V255" t="s">
        <v>48</v>
      </c>
      <c r="W255" t="s">
        <v>48</v>
      </c>
      <c r="X255" t="s">
        <v>803</v>
      </c>
      <c r="Y255" s="3" t="s">
        <v>1427</v>
      </c>
      <c r="Z255" s="3" t="s">
        <v>48</v>
      </c>
      <c r="AA255" s="3" t="s">
        <v>48</v>
      </c>
      <c r="AB255" s="1" t="s">
        <v>48</v>
      </c>
      <c r="AC255" s="1" t="s">
        <v>48</v>
      </c>
      <c r="AD255" t="s">
        <v>48</v>
      </c>
      <c r="AE255"/>
      <c r="AF255" t="s">
        <v>48</v>
      </c>
      <c r="AG255" t="s">
        <v>48</v>
      </c>
      <c r="AH255" t="s">
        <v>48</v>
      </c>
      <c r="AI255" t="s">
        <v>48</v>
      </c>
      <c r="AL255" t="s">
        <v>48</v>
      </c>
      <c r="AO255" t="s">
        <v>48</v>
      </c>
      <c r="AP255" t="s">
        <v>48</v>
      </c>
      <c r="AQ255" t="s">
        <v>48</v>
      </c>
      <c r="AV255" t="s">
        <v>48</v>
      </c>
      <c r="AW255" t="s">
        <v>48</v>
      </c>
      <c r="AX255" s="2" t="s">
        <v>365</v>
      </c>
      <c r="AY255" s="2" t="s">
        <v>279</v>
      </c>
      <c r="BC255">
        <f>SUM(cna_product_database_catalog_website[[#This Row],[Box Length (cm)]]*cna_product_database_catalog_website[[#This Row],[Box Width (cm)]]*cna_product_database_catalog_website[[#This Row],[Box Height (cm)]]/1000000)</f>
        <v>0</v>
      </c>
      <c r="BD255">
        <f>SUM(cna_product_database_catalog_website[[#This Row],[Box CBM]]*35.3147)</f>
        <v>0</v>
      </c>
      <c r="BE255" t="s">
        <v>48</v>
      </c>
      <c r="BI25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55">
        <f>SUM(cna_product_database_catalog_website[[#This Row],[Carton CFT]]/61024)</f>
        <v>0</v>
      </c>
      <c r="BM255" t="s">
        <v>48</v>
      </c>
      <c r="BN255" t="s">
        <v>48</v>
      </c>
      <c r="BO255" t="s">
        <v>48</v>
      </c>
      <c r="BP255" t="s">
        <v>48</v>
      </c>
      <c r="BQ255" t="s">
        <v>48</v>
      </c>
      <c r="BS255" t="s">
        <v>48</v>
      </c>
      <c r="BT255" t="s">
        <v>48</v>
      </c>
      <c r="BU255" t="s">
        <v>48</v>
      </c>
      <c r="BW255" t="s">
        <v>48</v>
      </c>
      <c r="BX255" t="s">
        <v>48</v>
      </c>
      <c r="BY255" t="s">
        <v>48</v>
      </c>
      <c r="BZ255" t="s">
        <v>48</v>
      </c>
      <c r="CA255" t="s">
        <v>48</v>
      </c>
      <c r="CB255" t="s">
        <v>48</v>
      </c>
      <c r="CC255" t="s">
        <v>48</v>
      </c>
      <c r="CD255" t="s">
        <v>48</v>
      </c>
      <c r="CE255" t="s">
        <v>48</v>
      </c>
      <c r="CF255" t="s">
        <v>48</v>
      </c>
      <c r="CG255" t="s">
        <v>48</v>
      </c>
      <c r="CH255" t="s">
        <v>48</v>
      </c>
      <c r="CI255" t="s">
        <v>48</v>
      </c>
      <c r="CJ255" t="s">
        <v>48</v>
      </c>
    </row>
    <row r="256" spans="1:88" x14ac:dyDescent="0.25">
      <c r="A256" s="4" t="s">
        <v>2152</v>
      </c>
      <c r="B256" s="4" t="s">
        <v>389</v>
      </c>
      <c r="C256" s="4" t="s">
        <v>1399</v>
      </c>
      <c r="D256" s="4" t="str">
        <f>cna_product_database_catalog_website[[#This Row],[MainCategory]]&amp;"&gt;"&amp;cna_product_database_catalog_website[[#This Row],[SubCategory1]]&amp;"&gt;"&amp;cna_product_database_catalog_website[[#This Row],[SubCategory2]]</f>
        <v>Halogen&gt;MR16&gt;DAYLIGHT MR16 50W EXZ+C</v>
      </c>
      <c r="E256">
        <v>2455</v>
      </c>
      <c r="F256" t="s">
        <v>1922</v>
      </c>
      <c r="G256" s="3">
        <v>460</v>
      </c>
      <c r="H256" s="8">
        <v>2.5</v>
      </c>
      <c r="I256" t="s">
        <v>1922</v>
      </c>
      <c r="J256" t="s">
        <v>804</v>
      </c>
      <c r="K256" t="s">
        <v>801</v>
      </c>
      <c r="L256" t="s">
        <v>46</v>
      </c>
      <c r="M256" s="12"/>
      <c r="N256" t="s">
        <v>47</v>
      </c>
      <c r="O256" s="3">
        <v>1</v>
      </c>
      <c r="P256" s="3">
        <v>1</v>
      </c>
      <c r="Q256" t="s">
        <v>768</v>
      </c>
      <c r="R256" t="s">
        <v>788</v>
      </c>
      <c r="S256" t="s">
        <v>48</v>
      </c>
      <c r="T256" t="s">
        <v>48</v>
      </c>
      <c r="U256" t="s">
        <v>48</v>
      </c>
      <c r="V256" t="s">
        <v>48</v>
      </c>
      <c r="W256" t="s">
        <v>48</v>
      </c>
      <c r="X256" t="s">
        <v>803</v>
      </c>
      <c r="Y256" s="3" t="s">
        <v>1426</v>
      </c>
      <c r="Z256" s="3" t="s">
        <v>48</v>
      </c>
      <c r="AA256" s="3" t="s">
        <v>48</v>
      </c>
      <c r="AB256" s="1" t="s">
        <v>48</v>
      </c>
      <c r="AC256" s="1" t="s">
        <v>48</v>
      </c>
      <c r="AD256" t="s">
        <v>48</v>
      </c>
      <c r="AE256"/>
      <c r="AF256" t="s">
        <v>48</v>
      </c>
      <c r="AG256" t="s">
        <v>48</v>
      </c>
      <c r="AH256" t="s">
        <v>48</v>
      </c>
      <c r="AI256" t="s">
        <v>48</v>
      </c>
      <c r="AL256" t="s">
        <v>48</v>
      </c>
      <c r="AO256" t="s">
        <v>48</v>
      </c>
      <c r="AP256" t="s">
        <v>48</v>
      </c>
      <c r="AQ256" t="s">
        <v>48</v>
      </c>
      <c r="AV256" t="s">
        <v>48</v>
      </c>
      <c r="AW256" t="s">
        <v>48</v>
      </c>
      <c r="AX256" s="2" t="s">
        <v>365</v>
      </c>
      <c r="AY256" s="2" t="s">
        <v>279</v>
      </c>
      <c r="BC256">
        <f>SUM(cna_product_database_catalog_website[[#This Row],[Box Length (cm)]]*cna_product_database_catalog_website[[#This Row],[Box Width (cm)]]*cna_product_database_catalog_website[[#This Row],[Box Height (cm)]]/1000000)</f>
        <v>0</v>
      </c>
      <c r="BD256">
        <f>SUM(cna_product_database_catalog_website[[#This Row],[Box CBM]]*35.3147)</f>
        <v>0</v>
      </c>
      <c r="BE256" t="s">
        <v>48</v>
      </c>
      <c r="BI25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56">
        <f>SUM(cna_product_database_catalog_website[[#This Row],[Carton CFT]]/61024)</f>
        <v>0</v>
      </c>
      <c r="BM256" t="s">
        <v>48</v>
      </c>
      <c r="BN256" t="s">
        <v>48</v>
      </c>
      <c r="BO256" t="s">
        <v>48</v>
      </c>
      <c r="BP256" t="s">
        <v>48</v>
      </c>
      <c r="BQ256" t="s">
        <v>48</v>
      </c>
      <c r="BS256" t="s">
        <v>48</v>
      </c>
      <c r="BT256" t="s">
        <v>48</v>
      </c>
      <c r="BU256" t="s">
        <v>48</v>
      </c>
      <c r="BW256" t="s">
        <v>48</v>
      </c>
      <c r="BX256" t="s">
        <v>48</v>
      </c>
      <c r="BY256" t="s">
        <v>48</v>
      </c>
      <c r="BZ256" t="s">
        <v>48</v>
      </c>
      <c r="CA256" t="s">
        <v>48</v>
      </c>
      <c r="CB256" t="s">
        <v>48</v>
      </c>
      <c r="CC256" t="s">
        <v>48</v>
      </c>
      <c r="CD256" t="s">
        <v>48</v>
      </c>
      <c r="CE256" t="s">
        <v>48</v>
      </c>
      <c r="CF256" t="s">
        <v>48</v>
      </c>
      <c r="CG256" t="s">
        <v>48</v>
      </c>
      <c r="CH256" t="s">
        <v>48</v>
      </c>
      <c r="CI256" t="s">
        <v>48</v>
      </c>
      <c r="CJ256" t="s">
        <v>48</v>
      </c>
    </row>
    <row r="257" spans="1:88" x14ac:dyDescent="0.25">
      <c r="A257" s="4" t="s">
        <v>2152</v>
      </c>
      <c r="B257" s="4" t="s">
        <v>383</v>
      </c>
      <c r="C257" s="4" t="s">
        <v>1400</v>
      </c>
      <c r="D257" s="4" t="str">
        <f>cna_product_database_catalog_website[[#This Row],[MainCategory]]&amp;"&gt;"&amp;cna_product_database_catalog_website[[#This Row],[SubCategory1]]&amp;"&gt;"&amp;cna_product_database_catalog_website[[#This Row],[SubCategory2]]</f>
        <v>Halogen&gt;MR11&gt;MR11 20W FTD</v>
      </c>
      <c r="E257">
        <v>2500</v>
      </c>
      <c r="F257" t="s">
        <v>805</v>
      </c>
      <c r="G257" s="3">
        <v>88</v>
      </c>
      <c r="H257" s="8">
        <v>1.5</v>
      </c>
      <c r="I257" t="s">
        <v>805</v>
      </c>
      <c r="J257" t="s">
        <v>805</v>
      </c>
      <c r="K257" t="s">
        <v>806</v>
      </c>
      <c r="L257" t="s">
        <v>46</v>
      </c>
      <c r="M257" s="12"/>
      <c r="N257" t="s">
        <v>47</v>
      </c>
      <c r="O257" s="3">
        <v>1</v>
      </c>
      <c r="P257" s="3">
        <v>1</v>
      </c>
      <c r="Q257" t="s">
        <v>262</v>
      </c>
      <c r="R257" t="s">
        <v>788</v>
      </c>
      <c r="S257" t="s">
        <v>48</v>
      </c>
      <c r="T257" t="s">
        <v>48</v>
      </c>
      <c r="U257" t="s">
        <v>48</v>
      </c>
      <c r="V257" t="s">
        <v>48</v>
      </c>
      <c r="W257" t="s">
        <v>48</v>
      </c>
      <c r="X257" t="s">
        <v>760</v>
      </c>
      <c r="Y257" s="3" t="s">
        <v>1013</v>
      </c>
      <c r="Z257" s="3" t="s">
        <v>48</v>
      </c>
      <c r="AA257" s="3" t="s">
        <v>48</v>
      </c>
      <c r="AB257" s="1" t="s">
        <v>48</v>
      </c>
      <c r="AC257" s="1" t="s">
        <v>48</v>
      </c>
      <c r="AD257" t="s">
        <v>48</v>
      </c>
      <c r="AE257"/>
      <c r="AF257" t="s">
        <v>48</v>
      </c>
      <c r="AG257" t="s">
        <v>48</v>
      </c>
      <c r="AH257" t="s">
        <v>48</v>
      </c>
      <c r="AI257" t="s">
        <v>48</v>
      </c>
      <c r="AL257" t="s">
        <v>48</v>
      </c>
      <c r="AO257" t="s">
        <v>48</v>
      </c>
      <c r="AP257" t="s">
        <v>48</v>
      </c>
      <c r="AQ257" t="s">
        <v>48</v>
      </c>
      <c r="AV257" t="s">
        <v>48</v>
      </c>
      <c r="AW257" t="s">
        <v>48</v>
      </c>
      <c r="AX257" s="2" t="s">
        <v>80</v>
      </c>
      <c r="AY257" s="2" t="s">
        <v>279</v>
      </c>
      <c r="BC257">
        <f>SUM(cna_product_database_catalog_website[[#This Row],[Box Length (cm)]]*cna_product_database_catalog_website[[#This Row],[Box Width (cm)]]*cna_product_database_catalog_website[[#This Row],[Box Height (cm)]]/1000000)</f>
        <v>0</v>
      </c>
      <c r="BD257">
        <f>SUM(cna_product_database_catalog_website[[#This Row],[Box CBM]]*35.3147)</f>
        <v>0</v>
      </c>
      <c r="BE257" t="s">
        <v>48</v>
      </c>
      <c r="BI25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57">
        <f>SUM(cna_product_database_catalog_website[[#This Row],[Carton CFT]]/61024)</f>
        <v>0</v>
      </c>
      <c r="BM257" t="s">
        <v>48</v>
      </c>
      <c r="BN257" t="s">
        <v>48</v>
      </c>
      <c r="BO257" t="s">
        <v>48</v>
      </c>
      <c r="BP257" t="s">
        <v>48</v>
      </c>
      <c r="BQ257" t="s">
        <v>48</v>
      </c>
      <c r="BS257" t="s">
        <v>48</v>
      </c>
      <c r="BT257" t="s">
        <v>48</v>
      </c>
      <c r="BU257" t="s">
        <v>48</v>
      </c>
      <c r="BW257" t="s">
        <v>48</v>
      </c>
      <c r="BX257" t="s">
        <v>48</v>
      </c>
      <c r="BY257" t="s">
        <v>48</v>
      </c>
      <c r="BZ257" t="s">
        <v>48</v>
      </c>
      <c r="CA257" t="s">
        <v>48</v>
      </c>
      <c r="CB257" t="s">
        <v>48</v>
      </c>
      <c r="CC257" t="s">
        <v>48</v>
      </c>
      <c r="CD257" t="s">
        <v>48</v>
      </c>
      <c r="CE257" t="s">
        <v>48</v>
      </c>
      <c r="CF257" t="s">
        <v>48</v>
      </c>
      <c r="CG257" t="s">
        <v>48</v>
      </c>
      <c r="CH257" t="s">
        <v>48</v>
      </c>
      <c r="CI257" t="s">
        <v>48</v>
      </c>
      <c r="CJ257" t="s">
        <v>48</v>
      </c>
    </row>
    <row r="258" spans="1:88" x14ac:dyDescent="0.25">
      <c r="A258" s="4" t="s">
        <v>2152</v>
      </c>
      <c r="B258" s="4" t="s">
        <v>383</v>
      </c>
      <c r="C258" s="4" t="s">
        <v>1401</v>
      </c>
      <c r="D258" s="4" t="str">
        <f>cna_product_database_catalog_website[[#This Row],[MainCategory]]&amp;"&gt;"&amp;cna_product_database_catalog_website[[#This Row],[SubCategory1]]&amp;"&gt;"&amp;cna_product_database_catalog_website[[#This Row],[SubCategory2]]</f>
        <v>Halogen&gt;MR11&gt;MR11 20W FTD+C</v>
      </c>
      <c r="E258">
        <v>2505</v>
      </c>
      <c r="F258" t="s">
        <v>807</v>
      </c>
      <c r="G258" s="3">
        <v>134</v>
      </c>
      <c r="H258" s="8">
        <v>1.5</v>
      </c>
      <c r="I258" t="s">
        <v>807</v>
      </c>
      <c r="J258" t="s">
        <v>807</v>
      </c>
      <c r="K258" t="s">
        <v>806</v>
      </c>
      <c r="L258" t="s">
        <v>46</v>
      </c>
      <c r="M258" s="12"/>
      <c r="N258" t="s">
        <v>47</v>
      </c>
      <c r="O258" s="3">
        <v>1</v>
      </c>
      <c r="P258" s="3">
        <v>1</v>
      </c>
      <c r="Q258" t="s">
        <v>262</v>
      </c>
      <c r="R258" t="s">
        <v>788</v>
      </c>
      <c r="S258" t="s">
        <v>48</v>
      </c>
      <c r="T258" t="s">
        <v>48</v>
      </c>
      <c r="U258" t="s">
        <v>48</v>
      </c>
      <c r="V258" t="s">
        <v>48</v>
      </c>
      <c r="W258" t="s">
        <v>48</v>
      </c>
      <c r="X258" t="s">
        <v>760</v>
      </c>
      <c r="Y258" s="3" t="s">
        <v>1013</v>
      </c>
      <c r="Z258" s="3" t="s">
        <v>48</v>
      </c>
      <c r="AA258" s="3" t="s">
        <v>48</v>
      </c>
      <c r="AB258" s="1" t="s">
        <v>48</v>
      </c>
      <c r="AC258" s="1" t="s">
        <v>48</v>
      </c>
      <c r="AD258" t="s">
        <v>48</v>
      </c>
      <c r="AE258"/>
      <c r="AF258" t="s">
        <v>48</v>
      </c>
      <c r="AG258" t="s">
        <v>48</v>
      </c>
      <c r="AH258" t="s">
        <v>48</v>
      </c>
      <c r="AI258" t="s">
        <v>48</v>
      </c>
      <c r="AL258" t="s">
        <v>48</v>
      </c>
      <c r="AO258" t="s">
        <v>48</v>
      </c>
      <c r="AP258" t="s">
        <v>48</v>
      </c>
      <c r="AQ258" t="s">
        <v>48</v>
      </c>
      <c r="AV258" t="s">
        <v>48</v>
      </c>
      <c r="AW258" t="s">
        <v>48</v>
      </c>
      <c r="AX258" s="2" t="s">
        <v>80</v>
      </c>
      <c r="AY258" s="2" t="s">
        <v>279</v>
      </c>
      <c r="BC258">
        <f>SUM(cna_product_database_catalog_website[[#This Row],[Box Length (cm)]]*cna_product_database_catalog_website[[#This Row],[Box Width (cm)]]*cna_product_database_catalog_website[[#This Row],[Box Height (cm)]]/1000000)</f>
        <v>0</v>
      </c>
      <c r="BD258">
        <f>SUM(cna_product_database_catalog_website[[#This Row],[Box CBM]]*35.3147)</f>
        <v>0</v>
      </c>
      <c r="BE258" t="s">
        <v>48</v>
      </c>
      <c r="BI25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58">
        <f>SUM(cna_product_database_catalog_website[[#This Row],[Carton CFT]]/61024)</f>
        <v>0</v>
      </c>
      <c r="BM258" t="s">
        <v>48</v>
      </c>
      <c r="BN258" t="s">
        <v>48</v>
      </c>
      <c r="BO258" t="s">
        <v>48</v>
      </c>
      <c r="BP258" t="s">
        <v>48</v>
      </c>
      <c r="BQ258" t="s">
        <v>48</v>
      </c>
      <c r="BS258" t="s">
        <v>48</v>
      </c>
      <c r="BT258" t="s">
        <v>48</v>
      </c>
      <c r="BU258" t="s">
        <v>48</v>
      </c>
      <c r="BW258" t="s">
        <v>48</v>
      </c>
      <c r="BX258" t="s">
        <v>48</v>
      </c>
      <c r="BY258" t="s">
        <v>48</v>
      </c>
      <c r="BZ258" t="s">
        <v>48</v>
      </c>
      <c r="CA258" t="s">
        <v>48</v>
      </c>
      <c r="CB258" t="s">
        <v>48</v>
      </c>
      <c r="CC258" t="s">
        <v>48</v>
      </c>
      <c r="CD258" t="s">
        <v>48</v>
      </c>
      <c r="CE258" t="s">
        <v>48</v>
      </c>
      <c r="CF258" t="s">
        <v>48</v>
      </c>
      <c r="CG258" t="s">
        <v>48</v>
      </c>
      <c r="CH258" t="s">
        <v>48</v>
      </c>
      <c r="CI258" t="s">
        <v>48</v>
      </c>
      <c r="CJ258" t="s">
        <v>48</v>
      </c>
    </row>
    <row r="259" spans="1:88" x14ac:dyDescent="0.25">
      <c r="A259" s="4" t="s">
        <v>2152</v>
      </c>
      <c r="B259" s="4" t="s">
        <v>383</v>
      </c>
      <c r="C259" s="4" t="s">
        <v>1402</v>
      </c>
      <c r="D259" s="4" t="str">
        <f>cna_product_database_catalog_website[[#This Row],[MainCategory]]&amp;"&gt;"&amp;cna_product_database_catalog_website[[#This Row],[SubCategory1]]&amp;"&gt;"&amp;cna_product_database_catalog_website[[#This Row],[SubCategory2]]</f>
        <v>Halogen&gt;MR11&gt;MR11 20W FTD+C XENON</v>
      </c>
      <c r="E259">
        <v>2510</v>
      </c>
      <c r="F259" t="s">
        <v>808</v>
      </c>
      <c r="G259" s="3">
        <v>440</v>
      </c>
      <c r="H259" s="8">
        <v>2.8</v>
      </c>
      <c r="I259" t="s">
        <v>808</v>
      </c>
      <c r="J259" t="s">
        <v>808</v>
      </c>
      <c r="K259" t="s">
        <v>806</v>
      </c>
      <c r="L259" t="s">
        <v>46</v>
      </c>
      <c r="M259" s="12"/>
      <c r="N259" t="s">
        <v>47</v>
      </c>
      <c r="O259" s="3">
        <v>1</v>
      </c>
      <c r="P259" s="3">
        <v>1</v>
      </c>
      <c r="Q259" t="s">
        <v>779</v>
      </c>
      <c r="R259" t="s">
        <v>788</v>
      </c>
      <c r="S259" t="s">
        <v>48</v>
      </c>
      <c r="T259" t="s">
        <v>48</v>
      </c>
      <c r="U259" t="s">
        <v>48</v>
      </c>
      <c r="V259" t="s">
        <v>48</v>
      </c>
      <c r="W259" t="s">
        <v>48</v>
      </c>
      <c r="X259" t="s">
        <v>760</v>
      </c>
      <c r="Y259" s="3" t="s">
        <v>1013</v>
      </c>
      <c r="Z259" s="3" t="s">
        <v>48</v>
      </c>
      <c r="AA259" s="3" t="s">
        <v>48</v>
      </c>
      <c r="AB259" s="1" t="s">
        <v>48</v>
      </c>
      <c r="AC259" s="1" t="s">
        <v>48</v>
      </c>
      <c r="AD259" t="s">
        <v>48</v>
      </c>
      <c r="AE259"/>
      <c r="AF259" t="s">
        <v>48</v>
      </c>
      <c r="AG259" t="s">
        <v>48</v>
      </c>
      <c r="AH259" t="s">
        <v>48</v>
      </c>
      <c r="AI259" t="s">
        <v>48</v>
      </c>
      <c r="AL259" t="s">
        <v>48</v>
      </c>
      <c r="AO259" t="s">
        <v>48</v>
      </c>
      <c r="AP259" t="s">
        <v>48</v>
      </c>
      <c r="AQ259" t="s">
        <v>48</v>
      </c>
      <c r="AV259" t="s">
        <v>48</v>
      </c>
      <c r="AW259" t="s">
        <v>48</v>
      </c>
      <c r="AX259" s="2" t="s">
        <v>80</v>
      </c>
      <c r="AY259" s="2" t="s">
        <v>279</v>
      </c>
      <c r="BC259">
        <f>SUM(cna_product_database_catalog_website[[#This Row],[Box Length (cm)]]*cna_product_database_catalog_website[[#This Row],[Box Width (cm)]]*cna_product_database_catalog_website[[#This Row],[Box Height (cm)]]/1000000)</f>
        <v>0</v>
      </c>
      <c r="BD259">
        <f>SUM(cna_product_database_catalog_website[[#This Row],[Box CBM]]*35.3147)</f>
        <v>0</v>
      </c>
      <c r="BE259" t="s">
        <v>48</v>
      </c>
      <c r="BI25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59">
        <f>SUM(cna_product_database_catalog_website[[#This Row],[Carton CFT]]/61024)</f>
        <v>0</v>
      </c>
      <c r="BM259" t="s">
        <v>48</v>
      </c>
      <c r="BN259" t="s">
        <v>48</v>
      </c>
      <c r="BO259" t="s">
        <v>48</v>
      </c>
      <c r="BP259" t="s">
        <v>48</v>
      </c>
      <c r="BQ259" t="s">
        <v>48</v>
      </c>
      <c r="BS259" t="s">
        <v>48</v>
      </c>
      <c r="BT259" t="s">
        <v>48</v>
      </c>
      <c r="BU259" t="s">
        <v>48</v>
      </c>
      <c r="BW259" t="s">
        <v>48</v>
      </c>
      <c r="BX259" t="s">
        <v>48</v>
      </c>
      <c r="BY259" t="s">
        <v>48</v>
      </c>
      <c r="BZ259" t="s">
        <v>48</v>
      </c>
      <c r="CA259" t="s">
        <v>48</v>
      </c>
      <c r="CB259" t="s">
        <v>48</v>
      </c>
      <c r="CC259" t="s">
        <v>48</v>
      </c>
      <c r="CD259" t="s">
        <v>48</v>
      </c>
      <c r="CE259" t="s">
        <v>48</v>
      </c>
      <c r="CF259" t="s">
        <v>48</v>
      </c>
      <c r="CG259" t="s">
        <v>48</v>
      </c>
      <c r="CH259" t="s">
        <v>48</v>
      </c>
      <c r="CI259" t="s">
        <v>48</v>
      </c>
      <c r="CJ259" t="s">
        <v>48</v>
      </c>
    </row>
    <row r="260" spans="1:88" x14ac:dyDescent="0.25">
      <c r="A260" s="4" t="s">
        <v>2152</v>
      </c>
      <c r="B260" s="4" t="s">
        <v>1203</v>
      </c>
      <c r="C260" s="4" t="s">
        <v>1404</v>
      </c>
      <c r="D260" s="4" t="str">
        <f>cna_product_database_catalog_website[[#This Row],[MainCategory]]&amp;"&gt;"&amp;cna_product_database_catalog_website[[#This Row],[SubCategory1]]&amp;"&gt;"&amp;cna_product_database_catalog_website[[#This Row],[SubCategory2]]</f>
        <v>Halogen&gt;JC Type 12V&gt;JC 12V 75W G6.35</v>
      </c>
      <c r="E260">
        <v>2600</v>
      </c>
      <c r="F260" t="s">
        <v>809</v>
      </c>
      <c r="G260" s="3">
        <v>392</v>
      </c>
      <c r="H260" s="8">
        <v>0.5</v>
      </c>
      <c r="I260" t="s">
        <v>809</v>
      </c>
      <c r="J260" t="s">
        <v>809</v>
      </c>
      <c r="K260" t="s">
        <v>850</v>
      </c>
      <c r="L260" t="s">
        <v>46</v>
      </c>
      <c r="M260" s="12"/>
      <c r="N260" t="s">
        <v>47</v>
      </c>
      <c r="O260" s="3">
        <v>1</v>
      </c>
      <c r="P260" s="3">
        <v>1</v>
      </c>
      <c r="Q260" t="s">
        <v>758</v>
      </c>
      <c r="R260" t="s">
        <v>788</v>
      </c>
      <c r="S260" t="s">
        <v>48</v>
      </c>
      <c r="T260" t="s">
        <v>48</v>
      </c>
      <c r="U260" t="s">
        <v>48</v>
      </c>
      <c r="V260" t="s">
        <v>48</v>
      </c>
      <c r="W260" t="s">
        <v>810</v>
      </c>
      <c r="X260" t="s">
        <v>760</v>
      </c>
      <c r="Y260" s="3" t="s">
        <v>48</v>
      </c>
      <c r="Z260" s="3" t="s">
        <v>48</v>
      </c>
      <c r="AA260" s="3" t="s">
        <v>48</v>
      </c>
      <c r="AB260" s="1" t="s">
        <v>48</v>
      </c>
      <c r="AC260" s="1" t="s">
        <v>48</v>
      </c>
      <c r="AD260" t="s">
        <v>48</v>
      </c>
      <c r="AE260"/>
      <c r="AF260" t="s">
        <v>48</v>
      </c>
      <c r="AG260" t="s">
        <v>48</v>
      </c>
      <c r="AH260" t="s">
        <v>48</v>
      </c>
      <c r="AI260" t="s">
        <v>48</v>
      </c>
      <c r="AL260" t="s">
        <v>48</v>
      </c>
      <c r="AO260" t="s">
        <v>48</v>
      </c>
      <c r="AP260" t="s">
        <v>48</v>
      </c>
      <c r="AQ260" t="s">
        <v>48</v>
      </c>
      <c r="AV260" t="s">
        <v>48</v>
      </c>
      <c r="AW260" t="s">
        <v>48</v>
      </c>
      <c r="AX260" s="2" t="s">
        <v>229</v>
      </c>
      <c r="AY260" s="2" t="s">
        <v>63</v>
      </c>
      <c r="BC260">
        <f>SUM(cna_product_database_catalog_website[[#This Row],[Box Length (cm)]]*cna_product_database_catalog_website[[#This Row],[Box Width (cm)]]*cna_product_database_catalog_website[[#This Row],[Box Height (cm)]]/1000000)</f>
        <v>0</v>
      </c>
      <c r="BD260">
        <f>SUM(cna_product_database_catalog_website[[#This Row],[Box CBM]]*35.3147)</f>
        <v>0</v>
      </c>
      <c r="BE260" t="s">
        <v>48</v>
      </c>
      <c r="BI26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0">
        <f>SUM(cna_product_database_catalog_website[[#This Row],[Carton CFT]]/61024)</f>
        <v>0</v>
      </c>
      <c r="BM260" t="s">
        <v>48</v>
      </c>
      <c r="BN260" t="s">
        <v>48</v>
      </c>
      <c r="BO260" t="s">
        <v>48</v>
      </c>
      <c r="BP260" t="s">
        <v>48</v>
      </c>
      <c r="BQ260" t="s">
        <v>48</v>
      </c>
      <c r="BS260" t="s">
        <v>48</v>
      </c>
      <c r="BT260" t="s">
        <v>48</v>
      </c>
      <c r="BU260" t="s">
        <v>48</v>
      </c>
      <c r="BW260" t="s">
        <v>48</v>
      </c>
      <c r="BX260" t="s">
        <v>48</v>
      </c>
      <c r="BY260" t="s">
        <v>48</v>
      </c>
      <c r="BZ260" t="s">
        <v>48</v>
      </c>
      <c r="CA260" t="s">
        <v>48</v>
      </c>
      <c r="CB260" t="s">
        <v>48</v>
      </c>
      <c r="CC260" t="s">
        <v>48</v>
      </c>
      <c r="CD260" t="s">
        <v>48</v>
      </c>
      <c r="CE260" t="s">
        <v>48</v>
      </c>
      <c r="CF260" t="s">
        <v>48</v>
      </c>
      <c r="CG260" t="s">
        <v>48</v>
      </c>
      <c r="CH260" t="s">
        <v>48</v>
      </c>
      <c r="CI260" t="s">
        <v>48</v>
      </c>
      <c r="CJ260" t="s">
        <v>48</v>
      </c>
    </row>
    <row r="261" spans="1:88" x14ac:dyDescent="0.25">
      <c r="A261" s="4" t="s">
        <v>2152</v>
      </c>
      <c r="B261" s="4" t="s">
        <v>1203</v>
      </c>
      <c r="C261" s="4" t="s">
        <v>1405</v>
      </c>
      <c r="D261" s="4" t="str">
        <f>cna_product_database_catalog_website[[#This Row],[MainCategory]]&amp;"&gt;"&amp;cna_product_database_catalog_website[[#This Row],[SubCategory1]]&amp;"&gt;"&amp;cna_product_database_catalog_website[[#This Row],[SubCategory2]]</f>
        <v>Halogen&gt;JC Type 12V&gt;JC 12V 50W G6.35 XENON</v>
      </c>
      <c r="E261">
        <v>2605</v>
      </c>
      <c r="F261" t="s">
        <v>811</v>
      </c>
      <c r="G261" s="3">
        <v>373</v>
      </c>
      <c r="H261" s="8">
        <v>1.25</v>
      </c>
      <c r="I261" t="s">
        <v>811</v>
      </c>
      <c r="J261" t="s">
        <v>811</v>
      </c>
      <c r="K261" t="s">
        <v>850</v>
      </c>
      <c r="L261" t="s">
        <v>46</v>
      </c>
      <c r="M261" s="12"/>
      <c r="N261" t="s">
        <v>47</v>
      </c>
      <c r="O261" s="3">
        <v>1</v>
      </c>
      <c r="P261" s="3">
        <v>1</v>
      </c>
      <c r="Q261" t="s">
        <v>768</v>
      </c>
      <c r="R261" t="s">
        <v>788</v>
      </c>
      <c r="S261" t="s">
        <v>48</v>
      </c>
      <c r="T261" t="s">
        <v>48</v>
      </c>
      <c r="U261" t="s">
        <v>48</v>
      </c>
      <c r="V261" t="s">
        <v>48</v>
      </c>
      <c r="W261" t="s">
        <v>810</v>
      </c>
      <c r="X261" t="s">
        <v>760</v>
      </c>
      <c r="Y261" s="3" t="s">
        <v>48</v>
      </c>
      <c r="Z261" s="3" t="s">
        <v>48</v>
      </c>
      <c r="AA261" s="3" t="s">
        <v>48</v>
      </c>
      <c r="AB261" s="1" t="s">
        <v>48</v>
      </c>
      <c r="AC261" s="1" t="s">
        <v>48</v>
      </c>
      <c r="AD261" t="s">
        <v>48</v>
      </c>
      <c r="AE261"/>
      <c r="AF261" t="s">
        <v>48</v>
      </c>
      <c r="AG261" t="s">
        <v>48</v>
      </c>
      <c r="AH261" t="s">
        <v>48</v>
      </c>
      <c r="AI261" t="s">
        <v>48</v>
      </c>
      <c r="AL261" t="s">
        <v>48</v>
      </c>
      <c r="AO261" t="s">
        <v>48</v>
      </c>
      <c r="AP261" t="s">
        <v>48</v>
      </c>
      <c r="AQ261" t="s">
        <v>48</v>
      </c>
      <c r="AV261" t="s">
        <v>48</v>
      </c>
      <c r="AW261" t="s">
        <v>48</v>
      </c>
      <c r="AX261" s="2" t="s">
        <v>229</v>
      </c>
      <c r="AY261" s="2" t="s">
        <v>63</v>
      </c>
      <c r="BC261">
        <f>SUM(cna_product_database_catalog_website[[#This Row],[Box Length (cm)]]*cna_product_database_catalog_website[[#This Row],[Box Width (cm)]]*cna_product_database_catalog_website[[#This Row],[Box Height (cm)]]/1000000)</f>
        <v>0</v>
      </c>
      <c r="BD261">
        <f>SUM(cna_product_database_catalog_website[[#This Row],[Box CBM]]*35.3147)</f>
        <v>0</v>
      </c>
      <c r="BE261" t="s">
        <v>48</v>
      </c>
      <c r="BI26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1">
        <f>SUM(cna_product_database_catalog_website[[#This Row],[Carton CFT]]/61024)</f>
        <v>0</v>
      </c>
      <c r="BM261" t="s">
        <v>48</v>
      </c>
      <c r="BN261" t="s">
        <v>48</v>
      </c>
      <c r="BO261" t="s">
        <v>48</v>
      </c>
      <c r="BP261" t="s">
        <v>48</v>
      </c>
      <c r="BQ261" t="s">
        <v>48</v>
      </c>
      <c r="BS261" t="s">
        <v>48</v>
      </c>
      <c r="BT261" t="s">
        <v>48</v>
      </c>
      <c r="BU261" t="s">
        <v>48</v>
      </c>
      <c r="BW261" t="s">
        <v>48</v>
      </c>
      <c r="BX261" t="s">
        <v>48</v>
      </c>
      <c r="BY261" t="s">
        <v>48</v>
      </c>
      <c r="BZ261" t="s">
        <v>48</v>
      </c>
      <c r="CA261" t="s">
        <v>48</v>
      </c>
      <c r="CB261" t="s">
        <v>48</v>
      </c>
      <c r="CC261" t="s">
        <v>48</v>
      </c>
      <c r="CD261" t="s">
        <v>48</v>
      </c>
      <c r="CE261" t="s">
        <v>48</v>
      </c>
      <c r="CF261" t="s">
        <v>48</v>
      </c>
      <c r="CG261" t="s">
        <v>48</v>
      </c>
      <c r="CH261" t="s">
        <v>48</v>
      </c>
      <c r="CI261" t="s">
        <v>48</v>
      </c>
      <c r="CJ261" t="s">
        <v>48</v>
      </c>
    </row>
    <row r="262" spans="1:88" x14ac:dyDescent="0.25">
      <c r="A262" s="4" t="s">
        <v>2152</v>
      </c>
      <c r="B262" s="4" t="s">
        <v>1204</v>
      </c>
      <c r="C262" s="4" t="s">
        <v>1749</v>
      </c>
      <c r="D262" s="4" t="str">
        <f>cna_product_database_catalog_website[[#This Row],[MainCategory]]&amp;"&gt;"&amp;cna_product_database_catalog_website[[#This Row],[SubCategory1]]&amp;"&gt;"&amp;cna_product_database_catalog_website[[#This Row],[SubCategory2]]</f>
        <v>Halogen&gt;J-Type Linear 120V&gt;78 mm 120V 150W</v>
      </c>
      <c r="E262">
        <v>2700</v>
      </c>
      <c r="F262" t="s">
        <v>812</v>
      </c>
      <c r="G262" s="3">
        <v>422</v>
      </c>
      <c r="H262" s="8">
        <v>1</v>
      </c>
      <c r="I262" t="s">
        <v>812</v>
      </c>
      <c r="J262" t="s">
        <v>812</v>
      </c>
      <c r="K262" s="11" t="s">
        <v>1923</v>
      </c>
      <c r="L262" t="s">
        <v>46</v>
      </c>
      <c r="M262" s="12"/>
      <c r="N262" t="s">
        <v>47</v>
      </c>
      <c r="O262" s="3">
        <v>1</v>
      </c>
      <c r="P262" s="3">
        <v>1</v>
      </c>
      <c r="Q262" t="s">
        <v>813</v>
      </c>
      <c r="R262" t="s">
        <v>53</v>
      </c>
      <c r="S262" t="s">
        <v>48</v>
      </c>
      <c r="T262" t="s">
        <v>48</v>
      </c>
      <c r="U262" t="s">
        <v>48</v>
      </c>
      <c r="V262" t="s">
        <v>48</v>
      </c>
      <c r="W262" t="s">
        <v>305</v>
      </c>
      <c r="X262" t="s">
        <v>760</v>
      </c>
      <c r="Y262" s="3" t="s">
        <v>48</v>
      </c>
      <c r="Z262" s="3" t="s">
        <v>48</v>
      </c>
      <c r="AA262" s="3" t="s">
        <v>48</v>
      </c>
      <c r="AB262" s="1" t="s">
        <v>48</v>
      </c>
      <c r="AC262" s="1" t="s">
        <v>48</v>
      </c>
      <c r="AD262" t="s">
        <v>48</v>
      </c>
      <c r="AE262"/>
      <c r="AF262" t="s">
        <v>48</v>
      </c>
      <c r="AG262" t="s">
        <v>48</v>
      </c>
      <c r="AH262" t="s">
        <v>48</v>
      </c>
      <c r="AI262" t="s">
        <v>48</v>
      </c>
      <c r="AL262" t="s">
        <v>48</v>
      </c>
      <c r="AO262" t="s">
        <v>48</v>
      </c>
      <c r="AP262" t="s">
        <v>48</v>
      </c>
      <c r="AQ262" t="s">
        <v>48</v>
      </c>
      <c r="AV262" t="s">
        <v>48</v>
      </c>
      <c r="AW262" t="s">
        <v>48</v>
      </c>
      <c r="AX262" s="2" t="s">
        <v>169</v>
      </c>
      <c r="AY262" s="2" t="s">
        <v>169</v>
      </c>
      <c r="BC262">
        <f>SUM(cna_product_database_catalog_website[[#This Row],[Box Length (cm)]]*cna_product_database_catalog_website[[#This Row],[Box Width (cm)]]*cna_product_database_catalog_website[[#This Row],[Box Height (cm)]]/1000000)</f>
        <v>0</v>
      </c>
      <c r="BD262">
        <f>SUM(cna_product_database_catalog_website[[#This Row],[Box CBM]]*35.3147)</f>
        <v>0</v>
      </c>
      <c r="BE262" t="s">
        <v>48</v>
      </c>
      <c r="BI26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2">
        <f>SUM(cna_product_database_catalog_website[[#This Row],[Carton CFT]]/61024)</f>
        <v>0</v>
      </c>
      <c r="BM262" t="s">
        <v>48</v>
      </c>
      <c r="BN262" t="s">
        <v>48</v>
      </c>
      <c r="BO262" t="s">
        <v>48</v>
      </c>
      <c r="BP262" t="s">
        <v>48</v>
      </c>
      <c r="BQ262" t="s">
        <v>48</v>
      </c>
      <c r="BS262" t="s">
        <v>48</v>
      </c>
      <c r="BT262" t="s">
        <v>48</v>
      </c>
      <c r="BU262" t="s">
        <v>48</v>
      </c>
      <c r="BW262" t="s">
        <v>48</v>
      </c>
      <c r="BX262" t="s">
        <v>48</v>
      </c>
      <c r="BY262" t="s">
        <v>48</v>
      </c>
      <c r="BZ262" t="s">
        <v>48</v>
      </c>
      <c r="CA262" t="s">
        <v>48</v>
      </c>
      <c r="CB262" t="s">
        <v>48</v>
      </c>
      <c r="CC262" t="s">
        <v>48</v>
      </c>
      <c r="CD262" t="s">
        <v>48</v>
      </c>
      <c r="CE262" t="s">
        <v>48</v>
      </c>
      <c r="CF262" t="s">
        <v>48</v>
      </c>
      <c r="CG262" t="s">
        <v>48</v>
      </c>
      <c r="CH262" t="s">
        <v>48</v>
      </c>
      <c r="CI262" t="s">
        <v>48</v>
      </c>
      <c r="CJ262" t="s">
        <v>48</v>
      </c>
    </row>
    <row r="263" spans="1:88" x14ac:dyDescent="0.25">
      <c r="A263" s="4" t="s">
        <v>2152</v>
      </c>
      <c r="B263" s="4" t="s">
        <v>1204</v>
      </c>
      <c r="C263" s="4" t="s">
        <v>1750</v>
      </c>
      <c r="D263" s="4" t="str">
        <f>cna_product_database_catalog_website[[#This Row],[MainCategory]]&amp;"&gt;"&amp;cna_product_database_catalog_website[[#This Row],[SubCategory1]]&amp;"&gt;"&amp;cna_product_database_catalog_website[[#This Row],[SubCategory2]]</f>
        <v>Halogen&gt;J-Type Linear 120V&gt;118 mm 120V 100W</v>
      </c>
      <c r="E263">
        <v>2705</v>
      </c>
      <c r="F263" t="s">
        <v>814</v>
      </c>
      <c r="G263" s="3">
        <v>194</v>
      </c>
      <c r="H263" s="8">
        <v>1</v>
      </c>
      <c r="I263" t="s">
        <v>814</v>
      </c>
      <c r="J263" t="s">
        <v>814</v>
      </c>
      <c r="K263" s="11" t="s">
        <v>1923</v>
      </c>
      <c r="L263" t="s">
        <v>46</v>
      </c>
      <c r="M263" s="12"/>
      <c r="N263" t="s">
        <v>47</v>
      </c>
      <c r="O263" s="3">
        <v>1</v>
      </c>
      <c r="P263" s="3">
        <v>1</v>
      </c>
      <c r="Q263" t="s">
        <v>762</v>
      </c>
      <c r="R263" t="s">
        <v>53</v>
      </c>
      <c r="S263" t="s">
        <v>48</v>
      </c>
      <c r="T263" t="s">
        <v>48</v>
      </c>
      <c r="U263" t="s">
        <v>48</v>
      </c>
      <c r="V263" t="s">
        <v>48</v>
      </c>
      <c r="W263" t="s">
        <v>305</v>
      </c>
      <c r="X263" t="s">
        <v>760</v>
      </c>
      <c r="Y263" s="3" t="s">
        <v>48</v>
      </c>
      <c r="Z263" s="3" t="s">
        <v>48</v>
      </c>
      <c r="AA263" s="3" t="s">
        <v>48</v>
      </c>
      <c r="AB263" s="1" t="s">
        <v>48</v>
      </c>
      <c r="AC263" s="1" t="s">
        <v>48</v>
      </c>
      <c r="AD263" t="s">
        <v>48</v>
      </c>
      <c r="AE263"/>
      <c r="AF263" t="s">
        <v>48</v>
      </c>
      <c r="AG263" t="s">
        <v>48</v>
      </c>
      <c r="AH263" t="s">
        <v>48</v>
      </c>
      <c r="AI263" t="s">
        <v>48</v>
      </c>
      <c r="AL263" t="s">
        <v>48</v>
      </c>
      <c r="AO263" t="s">
        <v>48</v>
      </c>
      <c r="AP263" t="s">
        <v>48</v>
      </c>
      <c r="AQ263" t="s">
        <v>48</v>
      </c>
      <c r="AV263" t="s">
        <v>48</v>
      </c>
      <c r="AW263" t="s">
        <v>48</v>
      </c>
      <c r="AX263" s="2" t="s">
        <v>169</v>
      </c>
      <c r="AY263" s="2" t="s">
        <v>169</v>
      </c>
      <c r="BC263">
        <f>SUM(cna_product_database_catalog_website[[#This Row],[Box Length (cm)]]*cna_product_database_catalog_website[[#This Row],[Box Width (cm)]]*cna_product_database_catalog_website[[#This Row],[Box Height (cm)]]/1000000)</f>
        <v>0</v>
      </c>
      <c r="BD263">
        <f>SUM(cna_product_database_catalog_website[[#This Row],[Box CBM]]*35.3147)</f>
        <v>0</v>
      </c>
      <c r="BE263" t="s">
        <v>48</v>
      </c>
      <c r="BI26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3">
        <f>SUM(cna_product_database_catalog_website[[#This Row],[Carton CFT]]/61024)</f>
        <v>0</v>
      </c>
      <c r="BM263" t="s">
        <v>48</v>
      </c>
      <c r="BN263" t="s">
        <v>48</v>
      </c>
      <c r="BO263" t="s">
        <v>48</v>
      </c>
      <c r="BP263" t="s">
        <v>48</v>
      </c>
      <c r="BQ263" t="s">
        <v>48</v>
      </c>
      <c r="BS263" t="s">
        <v>48</v>
      </c>
      <c r="BT263" t="s">
        <v>48</v>
      </c>
      <c r="BU263" t="s">
        <v>48</v>
      </c>
      <c r="BW263" t="s">
        <v>48</v>
      </c>
      <c r="BX263" t="s">
        <v>48</v>
      </c>
      <c r="BY263" t="s">
        <v>48</v>
      </c>
      <c r="BZ263" t="s">
        <v>48</v>
      </c>
      <c r="CA263" t="s">
        <v>48</v>
      </c>
      <c r="CB263" t="s">
        <v>48</v>
      </c>
      <c r="CC263" t="s">
        <v>48</v>
      </c>
      <c r="CD263" t="s">
        <v>48</v>
      </c>
      <c r="CE263" t="s">
        <v>48</v>
      </c>
      <c r="CF263" t="s">
        <v>48</v>
      </c>
      <c r="CG263" t="s">
        <v>48</v>
      </c>
      <c r="CH263" t="s">
        <v>48</v>
      </c>
      <c r="CI263" t="s">
        <v>48</v>
      </c>
      <c r="CJ263" t="s">
        <v>48</v>
      </c>
    </row>
    <row r="264" spans="1:88" x14ac:dyDescent="0.25">
      <c r="A264" s="4" t="s">
        <v>2152</v>
      </c>
      <c r="B264" s="4" t="s">
        <v>1204</v>
      </c>
      <c r="C264" s="4" t="s">
        <v>1751</v>
      </c>
      <c r="D264" s="4" t="str">
        <f>cna_product_database_catalog_website[[#This Row],[MainCategory]]&amp;"&gt;"&amp;cna_product_database_catalog_website[[#This Row],[SubCategory1]]&amp;"&gt;"&amp;cna_product_database_catalog_website[[#This Row],[SubCategory2]]</f>
        <v>Halogen&gt;J-Type Linear 120V&gt;118 mm 120V 150W</v>
      </c>
      <c r="E264">
        <v>2710</v>
      </c>
      <c r="F264" t="s">
        <v>815</v>
      </c>
      <c r="G264" s="3">
        <v>416</v>
      </c>
      <c r="H264" s="8">
        <v>1</v>
      </c>
      <c r="I264" t="s">
        <v>815</v>
      </c>
      <c r="J264" t="s">
        <v>815</v>
      </c>
      <c r="K264" s="11" t="s">
        <v>1923</v>
      </c>
      <c r="L264" t="s">
        <v>46</v>
      </c>
      <c r="M264" s="12"/>
      <c r="N264" t="s">
        <v>47</v>
      </c>
      <c r="O264" s="3">
        <v>1</v>
      </c>
      <c r="P264" s="3">
        <v>1</v>
      </c>
      <c r="Q264" t="s">
        <v>813</v>
      </c>
      <c r="R264" t="s">
        <v>53</v>
      </c>
      <c r="S264" t="s">
        <v>48</v>
      </c>
      <c r="T264" t="s">
        <v>48</v>
      </c>
      <c r="U264" t="s">
        <v>48</v>
      </c>
      <c r="V264" t="s">
        <v>48</v>
      </c>
      <c r="W264" t="s">
        <v>305</v>
      </c>
      <c r="X264" t="s">
        <v>760</v>
      </c>
      <c r="Y264" s="3" t="s">
        <v>48</v>
      </c>
      <c r="Z264" s="3" t="s">
        <v>48</v>
      </c>
      <c r="AA264" s="3" t="s">
        <v>48</v>
      </c>
      <c r="AB264" s="1" t="s">
        <v>48</v>
      </c>
      <c r="AC264" s="1" t="s">
        <v>48</v>
      </c>
      <c r="AD264" t="s">
        <v>48</v>
      </c>
      <c r="AE264"/>
      <c r="AF264" t="s">
        <v>48</v>
      </c>
      <c r="AG264" t="s">
        <v>48</v>
      </c>
      <c r="AH264" t="s">
        <v>48</v>
      </c>
      <c r="AI264" t="s">
        <v>48</v>
      </c>
      <c r="AL264" t="s">
        <v>48</v>
      </c>
      <c r="AO264" t="s">
        <v>48</v>
      </c>
      <c r="AP264" t="s">
        <v>48</v>
      </c>
      <c r="AQ264" t="s">
        <v>48</v>
      </c>
      <c r="AV264" t="s">
        <v>48</v>
      </c>
      <c r="AW264" t="s">
        <v>48</v>
      </c>
      <c r="AX264" s="2" t="s">
        <v>169</v>
      </c>
      <c r="AY264" s="2" t="s">
        <v>169</v>
      </c>
      <c r="BC264">
        <f>SUM(cna_product_database_catalog_website[[#This Row],[Box Length (cm)]]*cna_product_database_catalog_website[[#This Row],[Box Width (cm)]]*cna_product_database_catalog_website[[#This Row],[Box Height (cm)]]/1000000)</f>
        <v>0</v>
      </c>
      <c r="BD264">
        <f>SUM(cna_product_database_catalog_website[[#This Row],[Box CBM]]*35.3147)</f>
        <v>0</v>
      </c>
      <c r="BE264" t="s">
        <v>48</v>
      </c>
      <c r="BI26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4">
        <f>SUM(cna_product_database_catalog_website[[#This Row],[Carton CFT]]/61024)</f>
        <v>0</v>
      </c>
      <c r="BM264" t="s">
        <v>48</v>
      </c>
      <c r="BN264" t="s">
        <v>48</v>
      </c>
      <c r="BO264" t="s">
        <v>48</v>
      </c>
      <c r="BP264" t="s">
        <v>48</v>
      </c>
      <c r="BQ264" t="s">
        <v>48</v>
      </c>
      <c r="BS264" t="s">
        <v>48</v>
      </c>
      <c r="BT264" t="s">
        <v>48</v>
      </c>
      <c r="BU264" t="s">
        <v>48</v>
      </c>
      <c r="BW264" t="s">
        <v>48</v>
      </c>
      <c r="BX264" t="s">
        <v>48</v>
      </c>
      <c r="BY264" t="s">
        <v>48</v>
      </c>
      <c r="BZ264" t="s">
        <v>48</v>
      </c>
      <c r="CA264" t="s">
        <v>48</v>
      </c>
      <c r="CB264" t="s">
        <v>48</v>
      </c>
      <c r="CC264" t="s">
        <v>48</v>
      </c>
      <c r="CD264" t="s">
        <v>48</v>
      </c>
      <c r="CE264" t="s">
        <v>48</v>
      </c>
      <c r="CF264" t="s">
        <v>48</v>
      </c>
      <c r="CG264" t="s">
        <v>48</v>
      </c>
      <c r="CH264" t="s">
        <v>48</v>
      </c>
      <c r="CI264" t="s">
        <v>48</v>
      </c>
      <c r="CJ264" t="s">
        <v>48</v>
      </c>
    </row>
    <row r="265" spans="1:88" x14ac:dyDescent="0.25">
      <c r="A265" s="4" t="s">
        <v>2152</v>
      </c>
      <c r="B265" s="4" t="s">
        <v>1204</v>
      </c>
      <c r="C265" s="4" t="s">
        <v>1752</v>
      </c>
      <c r="D265" s="4" t="str">
        <f>cna_product_database_catalog_website[[#This Row],[MainCategory]]&amp;"&gt;"&amp;cna_product_database_catalog_website[[#This Row],[SubCategory1]]&amp;"&gt;"&amp;cna_product_database_catalog_website[[#This Row],[SubCategory2]]</f>
        <v>Halogen&gt;J-Type Linear 120V&gt;118 mm 120V 200W</v>
      </c>
      <c r="E265">
        <v>2715</v>
      </c>
      <c r="F265" t="s">
        <v>816</v>
      </c>
      <c r="G265" s="3">
        <v>417</v>
      </c>
      <c r="H265" s="8">
        <v>1</v>
      </c>
      <c r="I265" t="s">
        <v>816</v>
      </c>
      <c r="J265" t="s">
        <v>816</v>
      </c>
      <c r="K265" s="11" t="s">
        <v>1923</v>
      </c>
      <c r="L265" t="s">
        <v>46</v>
      </c>
      <c r="M265" s="12"/>
      <c r="N265" t="s">
        <v>47</v>
      </c>
      <c r="O265" s="3">
        <v>1</v>
      </c>
      <c r="P265" s="3">
        <v>1</v>
      </c>
      <c r="Q265" t="s">
        <v>817</v>
      </c>
      <c r="R265" t="s">
        <v>53</v>
      </c>
      <c r="S265" t="s">
        <v>48</v>
      </c>
      <c r="T265" t="s">
        <v>48</v>
      </c>
      <c r="U265" t="s">
        <v>48</v>
      </c>
      <c r="V265" t="s">
        <v>48</v>
      </c>
      <c r="W265" t="s">
        <v>305</v>
      </c>
      <c r="X265" t="s">
        <v>760</v>
      </c>
      <c r="Y265" s="3" t="s">
        <v>48</v>
      </c>
      <c r="Z265" s="3" t="s">
        <v>48</v>
      </c>
      <c r="AA265" s="3" t="s">
        <v>48</v>
      </c>
      <c r="AB265" s="1" t="s">
        <v>48</v>
      </c>
      <c r="AC265" s="1" t="s">
        <v>48</v>
      </c>
      <c r="AD265" t="s">
        <v>48</v>
      </c>
      <c r="AE265"/>
      <c r="AF265" t="s">
        <v>48</v>
      </c>
      <c r="AG265" t="s">
        <v>48</v>
      </c>
      <c r="AH265" t="s">
        <v>48</v>
      </c>
      <c r="AI265" t="s">
        <v>48</v>
      </c>
      <c r="AL265" t="s">
        <v>48</v>
      </c>
      <c r="AO265" t="s">
        <v>48</v>
      </c>
      <c r="AP265" t="s">
        <v>48</v>
      </c>
      <c r="AQ265" t="s">
        <v>48</v>
      </c>
      <c r="AV265" t="s">
        <v>48</v>
      </c>
      <c r="AW265" t="s">
        <v>48</v>
      </c>
      <c r="AX265" s="2" t="s">
        <v>169</v>
      </c>
      <c r="AY265" s="2" t="s">
        <v>169</v>
      </c>
      <c r="BC265">
        <f>SUM(cna_product_database_catalog_website[[#This Row],[Box Length (cm)]]*cna_product_database_catalog_website[[#This Row],[Box Width (cm)]]*cna_product_database_catalog_website[[#This Row],[Box Height (cm)]]/1000000)</f>
        <v>0</v>
      </c>
      <c r="BD265">
        <f>SUM(cna_product_database_catalog_website[[#This Row],[Box CBM]]*35.3147)</f>
        <v>0</v>
      </c>
      <c r="BE265" t="s">
        <v>48</v>
      </c>
      <c r="BI26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5">
        <f>SUM(cna_product_database_catalog_website[[#This Row],[Carton CFT]]/61024)</f>
        <v>0</v>
      </c>
      <c r="BM265" t="s">
        <v>48</v>
      </c>
      <c r="BN265" t="s">
        <v>48</v>
      </c>
      <c r="BO265" t="s">
        <v>48</v>
      </c>
      <c r="BP265" t="s">
        <v>48</v>
      </c>
      <c r="BQ265" t="s">
        <v>48</v>
      </c>
      <c r="BS265" t="s">
        <v>48</v>
      </c>
      <c r="BT265" t="s">
        <v>48</v>
      </c>
      <c r="BU265" t="s">
        <v>48</v>
      </c>
      <c r="BW265" t="s">
        <v>48</v>
      </c>
      <c r="BX265" t="s">
        <v>48</v>
      </c>
      <c r="BY265" t="s">
        <v>48</v>
      </c>
      <c r="BZ265" t="s">
        <v>48</v>
      </c>
      <c r="CA265" t="s">
        <v>48</v>
      </c>
      <c r="CB265" t="s">
        <v>48</v>
      </c>
      <c r="CC265" t="s">
        <v>48</v>
      </c>
      <c r="CD265" t="s">
        <v>48</v>
      </c>
      <c r="CE265" t="s">
        <v>48</v>
      </c>
      <c r="CF265" t="s">
        <v>48</v>
      </c>
      <c r="CG265" t="s">
        <v>48</v>
      </c>
      <c r="CH265" t="s">
        <v>48</v>
      </c>
      <c r="CI265" t="s">
        <v>48</v>
      </c>
      <c r="CJ265" t="s">
        <v>48</v>
      </c>
    </row>
    <row r="266" spans="1:88" x14ac:dyDescent="0.25">
      <c r="A266" s="4" t="s">
        <v>2152</v>
      </c>
      <c r="B266" s="4" t="s">
        <v>1204</v>
      </c>
      <c r="C266" s="4" t="s">
        <v>1753</v>
      </c>
      <c r="D266" s="4" t="str">
        <f>cna_product_database_catalog_website[[#This Row],[MainCategory]]&amp;"&gt;"&amp;cna_product_database_catalog_website[[#This Row],[SubCategory1]]&amp;"&gt;"&amp;cna_product_database_catalog_website[[#This Row],[SubCategory2]]</f>
        <v>Halogen&gt;J-Type Linear 120V&gt;118 mm 120V 300W</v>
      </c>
      <c r="E266">
        <v>2720</v>
      </c>
      <c r="F266" t="s">
        <v>818</v>
      </c>
      <c r="G266" s="3">
        <v>418</v>
      </c>
      <c r="H266" s="8">
        <v>1</v>
      </c>
      <c r="I266" t="s">
        <v>818</v>
      </c>
      <c r="J266" t="s">
        <v>818</v>
      </c>
      <c r="K266" s="11" t="s">
        <v>1923</v>
      </c>
      <c r="L266" t="s">
        <v>46</v>
      </c>
      <c r="M266" s="12"/>
      <c r="N266" t="s">
        <v>47</v>
      </c>
      <c r="O266" s="3">
        <v>1</v>
      </c>
      <c r="P266" s="3">
        <v>1</v>
      </c>
      <c r="Q266" t="s">
        <v>819</v>
      </c>
      <c r="R266" t="s">
        <v>53</v>
      </c>
      <c r="S266" t="s">
        <v>48</v>
      </c>
      <c r="T266" t="s">
        <v>48</v>
      </c>
      <c r="U266" t="s">
        <v>48</v>
      </c>
      <c r="V266" t="s">
        <v>48</v>
      </c>
      <c r="W266" t="s">
        <v>305</v>
      </c>
      <c r="X266" t="s">
        <v>760</v>
      </c>
      <c r="Y266" s="3" t="s">
        <v>48</v>
      </c>
      <c r="Z266" s="3" t="s">
        <v>48</v>
      </c>
      <c r="AA266" s="3" t="s">
        <v>48</v>
      </c>
      <c r="AB266" s="1" t="s">
        <v>48</v>
      </c>
      <c r="AC266" s="1" t="s">
        <v>48</v>
      </c>
      <c r="AD266" t="s">
        <v>48</v>
      </c>
      <c r="AE266"/>
      <c r="AF266" t="s">
        <v>48</v>
      </c>
      <c r="AG266" t="s">
        <v>48</v>
      </c>
      <c r="AH266" t="s">
        <v>48</v>
      </c>
      <c r="AI266" t="s">
        <v>48</v>
      </c>
      <c r="AL266" t="s">
        <v>48</v>
      </c>
      <c r="AO266" t="s">
        <v>48</v>
      </c>
      <c r="AP266" t="s">
        <v>48</v>
      </c>
      <c r="AQ266" t="s">
        <v>48</v>
      </c>
      <c r="AV266" t="s">
        <v>48</v>
      </c>
      <c r="AW266" t="s">
        <v>48</v>
      </c>
      <c r="AX266" s="2" t="s">
        <v>169</v>
      </c>
      <c r="AY266" s="2" t="s">
        <v>169</v>
      </c>
      <c r="BC266">
        <f>SUM(cna_product_database_catalog_website[[#This Row],[Box Length (cm)]]*cna_product_database_catalog_website[[#This Row],[Box Width (cm)]]*cna_product_database_catalog_website[[#This Row],[Box Height (cm)]]/1000000)</f>
        <v>0</v>
      </c>
      <c r="BD266">
        <f>SUM(cna_product_database_catalog_website[[#This Row],[Box CBM]]*35.3147)</f>
        <v>0</v>
      </c>
      <c r="BE266" t="s">
        <v>48</v>
      </c>
      <c r="BI26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6">
        <f>SUM(cna_product_database_catalog_website[[#This Row],[Carton CFT]]/61024)</f>
        <v>0</v>
      </c>
      <c r="BM266" t="s">
        <v>48</v>
      </c>
      <c r="BN266" t="s">
        <v>48</v>
      </c>
      <c r="BO266" t="s">
        <v>48</v>
      </c>
      <c r="BP266" t="s">
        <v>48</v>
      </c>
      <c r="BQ266" t="s">
        <v>48</v>
      </c>
      <c r="BS266" t="s">
        <v>48</v>
      </c>
      <c r="BT266" t="s">
        <v>48</v>
      </c>
      <c r="BU266" t="s">
        <v>48</v>
      </c>
      <c r="BW266" t="s">
        <v>48</v>
      </c>
      <c r="BX266" t="s">
        <v>48</v>
      </c>
      <c r="BY266" t="s">
        <v>48</v>
      </c>
      <c r="BZ266" t="s">
        <v>48</v>
      </c>
      <c r="CA266" t="s">
        <v>48</v>
      </c>
      <c r="CB266" t="s">
        <v>48</v>
      </c>
      <c r="CC266" t="s">
        <v>48</v>
      </c>
      <c r="CD266" t="s">
        <v>48</v>
      </c>
      <c r="CE266" t="s">
        <v>48</v>
      </c>
      <c r="CF266" t="s">
        <v>48</v>
      </c>
      <c r="CG266" t="s">
        <v>48</v>
      </c>
      <c r="CH266" t="s">
        <v>48</v>
      </c>
      <c r="CI266" t="s">
        <v>48</v>
      </c>
      <c r="CJ266" t="s">
        <v>48</v>
      </c>
    </row>
    <row r="267" spans="1:88" x14ac:dyDescent="0.25">
      <c r="A267" s="4" t="s">
        <v>2152</v>
      </c>
      <c r="B267" s="4" t="s">
        <v>1205</v>
      </c>
      <c r="C267" s="4" t="s">
        <v>1754</v>
      </c>
      <c r="D267" s="4" t="str">
        <f>cna_product_database_catalog_website[[#This Row],[MainCategory]]&amp;"&gt;"&amp;cna_product_database_catalog_website[[#This Row],[SubCategory1]]&amp;"&gt;"&amp;cna_product_database_catalog_website[[#This Row],[SubCategory2]]</f>
        <v>Halogen&gt;J-Type Linear 130V&gt;78 mm 130V 150W</v>
      </c>
      <c r="E267">
        <v>2755</v>
      </c>
      <c r="F267" t="s">
        <v>821</v>
      </c>
      <c r="G267" s="3">
        <v>14</v>
      </c>
      <c r="H267" s="8">
        <v>1</v>
      </c>
      <c r="I267" t="s">
        <v>821</v>
      </c>
      <c r="J267" t="s">
        <v>821</v>
      </c>
      <c r="K267" s="11" t="s">
        <v>1923</v>
      </c>
      <c r="L267" t="s">
        <v>46</v>
      </c>
      <c r="M267" s="12"/>
      <c r="N267" t="s">
        <v>47</v>
      </c>
      <c r="O267" s="3">
        <v>1</v>
      </c>
      <c r="P267" s="3">
        <v>1</v>
      </c>
      <c r="Q267" t="s">
        <v>813</v>
      </c>
      <c r="R267" t="s">
        <v>820</v>
      </c>
      <c r="S267" t="s">
        <v>48</v>
      </c>
      <c r="T267" t="s">
        <v>48</v>
      </c>
      <c r="U267" t="s">
        <v>48</v>
      </c>
      <c r="V267" t="s">
        <v>48</v>
      </c>
      <c r="W267" t="s">
        <v>305</v>
      </c>
      <c r="X267" t="s">
        <v>760</v>
      </c>
      <c r="Y267" s="3" t="s">
        <v>48</v>
      </c>
      <c r="Z267" s="3" t="s">
        <v>48</v>
      </c>
      <c r="AA267" s="3" t="s">
        <v>48</v>
      </c>
      <c r="AB267" s="1" t="s">
        <v>48</v>
      </c>
      <c r="AC267" s="1" t="s">
        <v>48</v>
      </c>
      <c r="AD267" t="s">
        <v>48</v>
      </c>
      <c r="AE267"/>
      <c r="AF267" t="s">
        <v>48</v>
      </c>
      <c r="AG267" t="s">
        <v>48</v>
      </c>
      <c r="AH267" t="s">
        <v>48</v>
      </c>
      <c r="AI267" t="s">
        <v>48</v>
      </c>
      <c r="AL267" t="s">
        <v>48</v>
      </c>
      <c r="AO267" t="s">
        <v>48</v>
      </c>
      <c r="AP267" t="s">
        <v>48</v>
      </c>
      <c r="AQ267" t="s">
        <v>48</v>
      </c>
      <c r="AV267" t="s">
        <v>48</v>
      </c>
      <c r="AW267" t="s">
        <v>48</v>
      </c>
      <c r="AX267" s="2" t="s">
        <v>169</v>
      </c>
      <c r="AY267" s="2" t="s">
        <v>169</v>
      </c>
      <c r="BC267">
        <f>SUM(cna_product_database_catalog_website[[#This Row],[Box Length (cm)]]*cna_product_database_catalog_website[[#This Row],[Box Width (cm)]]*cna_product_database_catalog_website[[#This Row],[Box Height (cm)]]/1000000)</f>
        <v>0</v>
      </c>
      <c r="BD267">
        <f>SUM(cna_product_database_catalog_website[[#This Row],[Box CBM]]*35.3147)</f>
        <v>0</v>
      </c>
      <c r="BE267" t="s">
        <v>48</v>
      </c>
      <c r="BI26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7">
        <f>SUM(cna_product_database_catalog_website[[#This Row],[Carton CFT]]/61024)</f>
        <v>0</v>
      </c>
      <c r="BM267" t="s">
        <v>48</v>
      </c>
      <c r="BN267" t="s">
        <v>48</v>
      </c>
      <c r="BO267" t="s">
        <v>48</v>
      </c>
      <c r="BP267" t="s">
        <v>48</v>
      </c>
      <c r="BQ267" t="s">
        <v>48</v>
      </c>
      <c r="BS267" t="s">
        <v>48</v>
      </c>
      <c r="BT267" t="s">
        <v>48</v>
      </c>
      <c r="BU267" t="s">
        <v>48</v>
      </c>
      <c r="BW267" t="s">
        <v>48</v>
      </c>
      <c r="BX267" t="s">
        <v>48</v>
      </c>
      <c r="BY267" t="s">
        <v>48</v>
      </c>
      <c r="BZ267" t="s">
        <v>48</v>
      </c>
      <c r="CA267" t="s">
        <v>48</v>
      </c>
      <c r="CB267" t="s">
        <v>48</v>
      </c>
      <c r="CC267" t="s">
        <v>48</v>
      </c>
      <c r="CD267" t="s">
        <v>48</v>
      </c>
      <c r="CE267" t="s">
        <v>48</v>
      </c>
      <c r="CF267" t="s">
        <v>48</v>
      </c>
      <c r="CG267" t="s">
        <v>48</v>
      </c>
      <c r="CH267" t="s">
        <v>48</v>
      </c>
      <c r="CI267" t="s">
        <v>48</v>
      </c>
      <c r="CJ267" t="s">
        <v>48</v>
      </c>
    </row>
    <row r="268" spans="1:88" x14ac:dyDescent="0.25">
      <c r="A268" s="4" t="s">
        <v>2152</v>
      </c>
      <c r="B268" s="4" t="s">
        <v>1205</v>
      </c>
      <c r="C268" s="4" t="s">
        <v>1755</v>
      </c>
      <c r="D268" s="4" t="str">
        <f>cna_product_database_catalog_website[[#This Row],[MainCategory]]&amp;"&gt;"&amp;cna_product_database_catalog_website[[#This Row],[SubCategory1]]&amp;"&gt;"&amp;cna_product_database_catalog_website[[#This Row],[SubCategory2]]</f>
        <v>Halogen&gt;J-Type Linear 130V&gt;78 mm 130V 200W</v>
      </c>
      <c r="E268">
        <v>2760</v>
      </c>
      <c r="F268" t="s">
        <v>822</v>
      </c>
      <c r="G268" s="3">
        <v>183</v>
      </c>
      <c r="H268" s="8">
        <v>1</v>
      </c>
      <c r="I268" t="s">
        <v>822</v>
      </c>
      <c r="J268" t="s">
        <v>822</v>
      </c>
      <c r="K268" s="11" t="s">
        <v>1923</v>
      </c>
      <c r="L268" t="s">
        <v>46</v>
      </c>
      <c r="M268" s="12"/>
      <c r="N268" t="s">
        <v>47</v>
      </c>
      <c r="O268" s="3">
        <v>1</v>
      </c>
      <c r="P268" s="3">
        <v>1</v>
      </c>
      <c r="Q268" t="s">
        <v>817</v>
      </c>
      <c r="R268" t="s">
        <v>820</v>
      </c>
      <c r="S268" t="s">
        <v>48</v>
      </c>
      <c r="T268" t="s">
        <v>48</v>
      </c>
      <c r="U268" t="s">
        <v>48</v>
      </c>
      <c r="V268" t="s">
        <v>48</v>
      </c>
      <c r="W268" t="s">
        <v>305</v>
      </c>
      <c r="X268" t="s">
        <v>760</v>
      </c>
      <c r="Y268" s="3" t="s">
        <v>48</v>
      </c>
      <c r="Z268" s="3" t="s">
        <v>48</v>
      </c>
      <c r="AA268" s="3" t="s">
        <v>48</v>
      </c>
      <c r="AB268" s="1" t="s">
        <v>48</v>
      </c>
      <c r="AC268" s="1" t="s">
        <v>48</v>
      </c>
      <c r="AD268" t="s">
        <v>48</v>
      </c>
      <c r="AE268"/>
      <c r="AF268" t="s">
        <v>48</v>
      </c>
      <c r="AG268" t="s">
        <v>48</v>
      </c>
      <c r="AH268" t="s">
        <v>48</v>
      </c>
      <c r="AI268" t="s">
        <v>48</v>
      </c>
      <c r="AL268" t="s">
        <v>48</v>
      </c>
      <c r="AO268" t="s">
        <v>48</v>
      </c>
      <c r="AP268" t="s">
        <v>48</v>
      </c>
      <c r="AQ268" t="s">
        <v>48</v>
      </c>
      <c r="AV268" t="s">
        <v>48</v>
      </c>
      <c r="AW268" t="s">
        <v>48</v>
      </c>
      <c r="AX268" s="2" t="s">
        <v>169</v>
      </c>
      <c r="AY268" s="2" t="s">
        <v>169</v>
      </c>
      <c r="BC268">
        <f>SUM(cna_product_database_catalog_website[[#This Row],[Box Length (cm)]]*cna_product_database_catalog_website[[#This Row],[Box Width (cm)]]*cna_product_database_catalog_website[[#This Row],[Box Height (cm)]]/1000000)</f>
        <v>0</v>
      </c>
      <c r="BD268">
        <f>SUM(cna_product_database_catalog_website[[#This Row],[Box CBM]]*35.3147)</f>
        <v>0</v>
      </c>
      <c r="BE268" t="s">
        <v>48</v>
      </c>
      <c r="BI26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8">
        <f>SUM(cna_product_database_catalog_website[[#This Row],[Carton CFT]]/61024)</f>
        <v>0</v>
      </c>
      <c r="BM268" t="s">
        <v>48</v>
      </c>
      <c r="BN268" t="s">
        <v>48</v>
      </c>
      <c r="BO268" t="s">
        <v>48</v>
      </c>
      <c r="BP268" t="s">
        <v>48</v>
      </c>
      <c r="BQ268" t="s">
        <v>48</v>
      </c>
      <c r="BS268" t="s">
        <v>48</v>
      </c>
      <c r="BT268" t="s">
        <v>48</v>
      </c>
      <c r="BU268" t="s">
        <v>48</v>
      </c>
      <c r="BW268" t="s">
        <v>48</v>
      </c>
      <c r="BX268" t="s">
        <v>48</v>
      </c>
      <c r="BY268" t="s">
        <v>48</v>
      </c>
      <c r="BZ268" t="s">
        <v>48</v>
      </c>
      <c r="CA268" t="s">
        <v>48</v>
      </c>
      <c r="CB268" t="s">
        <v>48</v>
      </c>
      <c r="CC268" t="s">
        <v>48</v>
      </c>
      <c r="CD268" t="s">
        <v>48</v>
      </c>
      <c r="CE268" t="s">
        <v>48</v>
      </c>
      <c r="CF268" t="s">
        <v>48</v>
      </c>
      <c r="CG268" t="s">
        <v>48</v>
      </c>
      <c r="CH268" t="s">
        <v>48</v>
      </c>
      <c r="CI268" t="s">
        <v>48</v>
      </c>
      <c r="CJ268" t="s">
        <v>48</v>
      </c>
    </row>
    <row r="269" spans="1:88" x14ac:dyDescent="0.25">
      <c r="A269" s="4" t="s">
        <v>2152</v>
      </c>
      <c r="B269" s="4" t="s">
        <v>1205</v>
      </c>
      <c r="C269" s="4" t="s">
        <v>1756</v>
      </c>
      <c r="D269" s="4" t="str">
        <f>cna_product_database_catalog_website[[#This Row],[MainCategory]]&amp;"&gt;"&amp;cna_product_database_catalog_website[[#This Row],[SubCategory1]]&amp;"&gt;"&amp;cna_product_database_catalog_website[[#This Row],[SubCategory2]]</f>
        <v>Halogen&gt;J-Type Linear 130V&gt;78 mm 130V 250W</v>
      </c>
      <c r="E269">
        <v>2765</v>
      </c>
      <c r="F269" t="s">
        <v>823</v>
      </c>
      <c r="G269" s="3">
        <v>224</v>
      </c>
      <c r="H269" s="8">
        <v>1</v>
      </c>
      <c r="I269" t="s">
        <v>823</v>
      </c>
      <c r="J269" t="s">
        <v>823</v>
      </c>
      <c r="K269" s="11" t="s">
        <v>1923</v>
      </c>
      <c r="L269" t="s">
        <v>46</v>
      </c>
      <c r="M269" s="12"/>
      <c r="N269" t="s">
        <v>47</v>
      </c>
      <c r="O269" s="3">
        <v>1</v>
      </c>
      <c r="P269" s="3">
        <v>1</v>
      </c>
      <c r="Q269" t="s">
        <v>824</v>
      </c>
      <c r="R269" t="s">
        <v>820</v>
      </c>
      <c r="S269" t="s">
        <v>48</v>
      </c>
      <c r="T269" t="s">
        <v>48</v>
      </c>
      <c r="U269" t="s">
        <v>48</v>
      </c>
      <c r="V269" t="s">
        <v>48</v>
      </c>
      <c r="W269" t="s">
        <v>305</v>
      </c>
      <c r="X269" t="s">
        <v>760</v>
      </c>
      <c r="Y269" s="3" t="s">
        <v>48</v>
      </c>
      <c r="Z269" s="3" t="s">
        <v>48</v>
      </c>
      <c r="AA269" s="3" t="s">
        <v>48</v>
      </c>
      <c r="AB269" s="1" t="s">
        <v>48</v>
      </c>
      <c r="AC269" s="1" t="s">
        <v>48</v>
      </c>
      <c r="AD269" t="s">
        <v>48</v>
      </c>
      <c r="AE269"/>
      <c r="AF269" t="s">
        <v>48</v>
      </c>
      <c r="AG269" t="s">
        <v>48</v>
      </c>
      <c r="AH269" t="s">
        <v>48</v>
      </c>
      <c r="AI269" t="s">
        <v>48</v>
      </c>
      <c r="AL269" t="s">
        <v>48</v>
      </c>
      <c r="AO269" t="s">
        <v>48</v>
      </c>
      <c r="AP269" t="s">
        <v>48</v>
      </c>
      <c r="AQ269" t="s">
        <v>48</v>
      </c>
      <c r="AV269" t="s">
        <v>48</v>
      </c>
      <c r="AW269" t="s">
        <v>48</v>
      </c>
      <c r="AX269" s="2" t="s">
        <v>169</v>
      </c>
      <c r="AY269" s="2" t="s">
        <v>169</v>
      </c>
      <c r="BC269">
        <f>SUM(cna_product_database_catalog_website[[#This Row],[Box Length (cm)]]*cna_product_database_catalog_website[[#This Row],[Box Width (cm)]]*cna_product_database_catalog_website[[#This Row],[Box Height (cm)]]/1000000)</f>
        <v>0</v>
      </c>
      <c r="BD269">
        <f>SUM(cna_product_database_catalog_website[[#This Row],[Box CBM]]*35.3147)</f>
        <v>0</v>
      </c>
      <c r="BE269" t="s">
        <v>48</v>
      </c>
      <c r="BI26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9">
        <f>SUM(cna_product_database_catalog_website[[#This Row],[Carton CFT]]/61024)</f>
        <v>0</v>
      </c>
      <c r="BM269" t="s">
        <v>48</v>
      </c>
      <c r="BN269" t="s">
        <v>48</v>
      </c>
      <c r="BO269" t="s">
        <v>48</v>
      </c>
      <c r="BP269" t="s">
        <v>48</v>
      </c>
      <c r="BQ269" t="s">
        <v>48</v>
      </c>
      <c r="BS269" t="s">
        <v>48</v>
      </c>
      <c r="BT269" t="s">
        <v>48</v>
      </c>
      <c r="BU269" t="s">
        <v>48</v>
      </c>
      <c r="BW269" t="s">
        <v>48</v>
      </c>
      <c r="BX269" t="s">
        <v>48</v>
      </c>
      <c r="BY269" t="s">
        <v>48</v>
      </c>
      <c r="BZ269" t="s">
        <v>48</v>
      </c>
      <c r="CA269" t="s">
        <v>48</v>
      </c>
      <c r="CB269" t="s">
        <v>48</v>
      </c>
      <c r="CC269" t="s">
        <v>48</v>
      </c>
      <c r="CD269" t="s">
        <v>48</v>
      </c>
      <c r="CE269" t="s">
        <v>48</v>
      </c>
      <c r="CF269" t="s">
        <v>48</v>
      </c>
      <c r="CG269" t="s">
        <v>48</v>
      </c>
      <c r="CH269" t="s">
        <v>48</v>
      </c>
      <c r="CI269" t="s">
        <v>48</v>
      </c>
      <c r="CJ269" t="s">
        <v>48</v>
      </c>
    </row>
    <row r="270" spans="1:88" x14ac:dyDescent="0.25">
      <c r="A270" s="4" t="s">
        <v>2152</v>
      </c>
      <c r="B270" s="4" t="s">
        <v>1205</v>
      </c>
      <c r="C270" s="4" t="s">
        <v>1758</v>
      </c>
      <c r="D270" s="4" t="str">
        <f>cna_product_database_catalog_website[[#This Row],[MainCategory]]&amp;"&gt;"&amp;cna_product_database_catalog_website[[#This Row],[SubCategory1]]&amp;"&gt;"&amp;cna_product_database_catalog_website[[#This Row],[SubCategory2]]</f>
        <v>Halogen&gt;J-Type Linear 130V&gt;118 mm 130V 100W</v>
      </c>
      <c r="E270">
        <v>2770</v>
      </c>
      <c r="F270" t="s">
        <v>825</v>
      </c>
      <c r="G270" s="3">
        <v>118</v>
      </c>
      <c r="H270" s="8">
        <v>1</v>
      </c>
      <c r="I270" t="s">
        <v>825</v>
      </c>
      <c r="J270" t="s">
        <v>825</v>
      </c>
      <c r="K270" s="11" t="s">
        <v>1923</v>
      </c>
      <c r="L270" t="s">
        <v>46</v>
      </c>
      <c r="M270" s="12"/>
      <c r="N270" t="s">
        <v>47</v>
      </c>
      <c r="O270" s="3">
        <v>1</v>
      </c>
      <c r="P270" s="3">
        <v>1</v>
      </c>
      <c r="Q270" t="s">
        <v>762</v>
      </c>
      <c r="R270" t="s">
        <v>820</v>
      </c>
      <c r="S270" t="s">
        <v>48</v>
      </c>
      <c r="T270" t="s">
        <v>48</v>
      </c>
      <c r="U270" t="s">
        <v>48</v>
      </c>
      <c r="V270" t="s">
        <v>48</v>
      </c>
      <c r="W270" t="s">
        <v>305</v>
      </c>
      <c r="X270" t="s">
        <v>760</v>
      </c>
      <c r="Y270" s="3" t="s">
        <v>48</v>
      </c>
      <c r="Z270" s="3" t="s">
        <v>48</v>
      </c>
      <c r="AA270" s="3" t="s">
        <v>48</v>
      </c>
      <c r="AB270" s="1" t="s">
        <v>48</v>
      </c>
      <c r="AC270" s="1" t="s">
        <v>48</v>
      </c>
      <c r="AD270" t="s">
        <v>48</v>
      </c>
      <c r="AE270"/>
      <c r="AF270" t="s">
        <v>48</v>
      </c>
      <c r="AG270" t="s">
        <v>48</v>
      </c>
      <c r="AH270" t="s">
        <v>48</v>
      </c>
      <c r="AI270" t="s">
        <v>48</v>
      </c>
      <c r="AL270" t="s">
        <v>48</v>
      </c>
      <c r="AO270" t="s">
        <v>48</v>
      </c>
      <c r="AP270" t="s">
        <v>48</v>
      </c>
      <c r="AQ270" t="s">
        <v>48</v>
      </c>
      <c r="AV270" t="s">
        <v>48</v>
      </c>
      <c r="AW270" t="s">
        <v>48</v>
      </c>
      <c r="AX270" s="2" t="s">
        <v>169</v>
      </c>
      <c r="AY270" s="2" t="s">
        <v>169</v>
      </c>
      <c r="BC270">
        <f>SUM(cna_product_database_catalog_website[[#This Row],[Box Length (cm)]]*cna_product_database_catalog_website[[#This Row],[Box Width (cm)]]*cna_product_database_catalog_website[[#This Row],[Box Height (cm)]]/1000000)</f>
        <v>0</v>
      </c>
      <c r="BD270">
        <f>SUM(cna_product_database_catalog_website[[#This Row],[Box CBM]]*35.3147)</f>
        <v>0</v>
      </c>
      <c r="BE270" t="s">
        <v>48</v>
      </c>
      <c r="BI27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0">
        <f>SUM(cna_product_database_catalog_website[[#This Row],[Carton CFT]]/61024)</f>
        <v>0</v>
      </c>
      <c r="BM270" t="s">
        <v>48</v>
      </c>
      <c r="BN270" t="s">
        <v>48</v>
      </c>
      <c r="BO270" t="s">
        <v>48</v>
      </c>
      <c r="BP270" t="s">
        <v>48</v>
      </c>
      <c r="BQ270" t="s">
        <v>48</v>
      </c>
      <c r="BS270" t="s">
        <v>48</v>
      </c>
      <c r="BT270" t="s">
        <v>48</v>
      </c>
      <c r="BU270" t="s">
        <v>48</v>
      </c>
      <c r="BW270" t="s">
        <v>48</v>
      </c>
      <c r="BX270" t="s">
        <v>48</v>
      </c>
      <c r="BY270" t="s">
        <v>48</v>
      </c>
      <c r="BZ270" t="s">
        <v>48</v>
      </c>
      <c r="CA270" t="s">
        <v>48</v>
      </c>
      <c r="CB270" t="s">
        <v>48</v>
      </c>
      <c r="CC270" t="s">
        <v>48</v>
      </c>
      <c r="CD270" t="s">
        <v>48</v>
      </c>
      <c r="CE270" t="s">
        <v>48</v>
      </c>
      <c r="CF270" t="s">
        <v>48</v>
      </c>
      <c r="CG270" t="s">
        <v>48</v>
      </c>
      <c r="CH270" t="s">
        <v>48</v>
      </c>
      <c r="CI270" t="s">
        <v>48</v>
      </c>
      <c r="CJ270" t="s">
        <v>48</v>
      </c>
    </row>
    <row r="271" spans="1:88" x14ac:dyDescent="0.25">
      <c r="A271" s="4" t="s">
        <v>2152</v>
      </c>
      <c r="B271" s="4" t="s">
        <v>1205</v>
      </c>
      <c r="C271" s="4" t="s">
        <v>1757</v>
      </c>
      <c r="D271" s="4" t="str">
        <f>cna_product_database_catalog_website[[#This Row],[MainCategory]]&amp;"&gt;"&amp;cna_product_database_catalog_website[[#This Row],[SubCategory1]]&amp;"&gt;"&amp;cna_product_database_catalog_website[[#This Row],[SubCategory2]]</f>
        <v>Halogen&gt;J-Type Linear 130V&gt;118 mm 130V 150W</v>
      </c>
      <c r="E271">
        <v>2775</v>
      </c>
      <c r="F271" t="s">
        <v>826</v>
      </c>
      <c r="G271" s="3">
        <v>119</v>
      </c>
      <c r="H271" s="8">
        <v>1</v>
      </c>
      <c r="I271" t="s">
        <v>826</v>
      </c>
      <c r="J271" t="s">
        <v>826</v>
      </c>
      <c r="K271" s="11" t="s">
        <v>1923</v>
      </c>
      <c r="L271" t="s">
        <v>46</v>
      </c>
      <c r="M271" s="12"/>
      <c r="N271" t="s">
        <v>47</v>
      </c>
      <c r="O271" s="3">
        <v>1</v>
      </c>
      <c r="P271" s="3">
        <v>1</v>
      </c>
      <c r="Q271" t="s">
        <v>813</v>
      </c>
      <c r="R271" t="s">
        <v>820</v>
      </c>
      <c r="S271" t="s">
        <v>48</v>
      </c>
      <c r="T271" t="s">
        <v>48</v>
      </c>
      <c r="U271" t="s">
        <v>48</v>
      </c>
      <c r="V271" t="s">
        <v>48</v>
      </c>
      <c r="W271" t="s">
        <v>305</v>
      </c>
      <c r="X271" t="s">
        <v>760</v>
      </c>
      <c r="Y271" s="3" t="s">
        <v>48</v>
      </c>
      <c r="Z271" s="3" t="s">
        <v>48</v>
      </c>
      <c r="AA271" s="3" t="s">
        <v>48</v>
      </c>
      <c r="AB271" s="1" t="s">
        <v>48</v>
      </c>
      <c r="AC271" s="1" t="s">
        <v>48</v>
      </c>
      <c r="AD271" t="s">
        <v>48</v>
      </c>
      <c r="AE271"/>
      <c r="AF271" t="s">
        <v>48</v>
      </c>
      <c r="AG271" t="s">
        <v>48</v>
      </c>
      <c r="AH271" t="s">
        <v>48</v>
      </c>
      <c r="AI271" t="s">
        <v>48</v>
      </c>
      <c r="AL271" t="s">
        <v>48</v>
      </c>
      <c r="AO271" t="s">
        <v>48</v>
      </c>
      <c r="AP271" t="s">
        <v>48</v>
      </c>
      <c r="AQ271" t="s">
        <v>48</v>
      </c>
      <c r="AV271" t="s">
        <v>48</v>
      </c>
      <c r="AW271" t="s">
        <v>48</v>
      </c>
      <c r="AX271" s="2" t="s">
        <v>169</v>
      </c>
      <c r="AY271" s="2" t="s">
        <v>169</v>
      </c>
      <c r="BC271">
        <f>SUM(cna_product_database_catalog_website[[#This Row],[Box Length (cm)]]*cna_product_database_catalog_website[[#This Row],[Box Width (cm)]]*cna_product_database_catalog_website[[#This Row],[Box Height (cm)]]/1000000)</f>
        <v>0</v>
      </c>
      <c r="BD271">
        <f>SUM(cna_product_database_catalog_website[[#This Row],[Box CBM]]*35.3147)</f>
        <v>0</v>
      </c>
      <c r="BE271" t="s">
        <v>48</v>
      </c>
      <c r="BI27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1">
        <f>SUM(cna_product_database_catalog_website[[#This Row],[Carton CFT]]/61024)</f>
        <v>0</v>
      </c>
      <c r="BM271" t="s">
        <v>48</v>
      </c>
      <c r="BN271" t="s">
        <v>48</v>
      </c>
      <c r="BO271" t="s">
        <v>48</v>
      </c>
      <c r="BP271" t="s">
        <v>48</v>
      </c>
      <c r="BQ271" t="s">
        <v>48</v>
      </c>
      <c r="BS271" t="s">
        <v>48</v>
      </c>
      <c r="BT271" t="s">
        <v>48</v>
      </c>
      <c r="BU271" t="s">
        <v>48</v>
      </c>
      <c r="BW271" t="s">
        <v>48</v>
      </c>
      <c r="BX271" t="s">
        <v>48</v>
      </c>
      <c r="BY271" t="s">
        <v>48</v>
      </c>
      <c r="BZ271" t="s">
        <v>48</v>
      </c>
      <c r="CA271" t="s">
        <v>48</v>
      </c>
      <c r="CB271" t="s">
        <v>48</v>
      </c>
      <c r="CC271" t="s">
        <v>48</v>
      </c>
      <c r="CD271" t="s">
        <v>48</v>
      </c>
      <c r="CE271" t="s">
        <v>48</v>
      </c>
      <c r="CF271" t="s">
        <v>48</v>
      </c>
      <c r="CG271" t="s">
        <v>48</v>
      </c>
      <c r="CH271" t="s">
        <v>48</v>
      </c>
      <c r="CI271" t="s">
        <v>48</v>
      </c>
      <c r="CJ271" t="s">
        <v>48</v>
      </c>
    </row>
    <row r="272" spans="1:88" x14ac:dyDescent="0.25">
      <c r="A272" s="4" t="s">
        <v>2152</v>
      </c>
      <c r="B272" s="4" t="s">
        <v>1205</v>
      </c>
      <c r="C272" s="4" t="s">
        <v>1759</v>
      </c>
      <c r="D272" s="4" t="str">
        <f>cna_product_database_catalog_website[[#This Row],[MainCategory]]&amp;"&gt;"&amp;cna_product_database_catalog_website[[#This Row],[SubCategory1]]&amp;"&gt;"&amp;cna_product_database_catalog_website[[#This Row],[SubCategory2]]</f>
        <v>Halogen&gt;J-Type Linear 130V&gt;118 mm 130V 300W</v>
      </c>
      <c r="E272">
        <v>2780</v>
      </c>
      <c r="F272" t="s">
        <v>827</v>
      </c>
      <c r="G272" s="3">
        <v>16</v>
      </c>
      <c r="H272" s="8">
        <v>1</v>
      </c>
      <c r="I272" t="s">
        <v>827</v>
      </c>
      <c r="J272" t="s">
        <v>827</v>
      </c>
      <c r="K272" s="11" t="s">
        <v>1923</v>
      </c>
      <c r="L272" t="s">
        <v>46</v>
      </c>
      <c r="M272" s="12"/>
      <c r="N272" t="s">
        <v>47</v>
      </c>
      <c r="O272" s="3">
        <v>1</v>
      </c>
      <c r="P272" s="3">
        <v>1</v>
      </c>
      <c r="Q272" t="s">
        <v>819</v>
      </c>
      <c r="R272" t="s">
        <v>820</v>
      </c>
      <c r="S272" t="s">
        <v>48</v>
      </c>
      <c r="T272" t="s">
        <v>48</v>
      </c>
      <c r="U272" t="s">
        <v>48</v>
      </c>
      <c r="V272" t="s">
        <v>48</v>
      </c>
      <c r="W272" t="s">
        <v>305</v>
      </c>
      <c r="X272" t="s">
        <v>760</v>
      </c>
      <c r="Y272" s="3" t="s">
        <v>48</v>
      </c>
      <c r="Z272" s="3" t="s">
        <v>48</v>
      </c>
      <c r="AA272" s="3" t="s">
        <v>48</v>
      </c>
      <c r="AB272" s="1" t="s">
        <v>48</v>
      </c>
      <c r="AC272" s="1" t="s">
        <v>48</v>
      </c>
      <c r="AD272" t="s">
        <v>48</v>
      </c>
      <c r="AE272"/>
      <c r="AF272" t="s">
        <v>48</v>
      </c>
      <c r="AG272" t="s">
        <v>48</v>
      </c>
      <c r="AH272" t="s">
        <v>48</v>
      </c>
      <c r="AI272" t="s">
        <v>48</v>
      </c>
      <c r="AL272" t="s">
        <v>48</v>
      </c>
      <c r="AO272" t="s">
        <v>48</v>
      </c>
      <c r="AP272" t="s">
        <v>48</v>
      </c>
      <c r="AQ272" t="s">
        <v>48</v>
      </c>
      <c r="AV272" t="s">
        <v>48</v>
      </c>
      <c r="AW272" t="s">
        <v>48</v>
      </c>
      <c r="AX272" s="2" t="s">
        <v>169</v>
      </c>
      <c r="AY272" s="2" t="s">
        <v>169</v>
      </c>
      <c r="BC272">
        <f>SUM(cna_product_database_catalog_website[[#This Row],[Box Length (cm)]]*cna_product_database_catalog_website[[#This Row],[Box Width (cm)]]*cna_product_database_catalog_website[[#This Row],[Box Height (cm)]]/1000000)</f>
        <v>0</v>
      </c>
      <c r="BD272">
        <f>SUM(cna_product_database_catalog_website[[#This Row],[Box CBM]]*35.3147)</f>
        <v>0</v>
      </c>
      <c r="BE272" t="s">
        <v>48</v>
      </c>
      <c r="BI27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2">
        <f>SUM(cna_product_database_catalog_website[[#This Row],[Carton CFT]]/61024)</f>
        <v>0</v>
      </c>
      <c r="BM272" t="s">
        <v>48</v>
      </c>
      <c r="BN272" t="s">
        <v>48</v>
      </c>
      <c r="BO272" t="s">
        <v>48</v>
      </c>
      <c r="BP272" t="s">
        <v>48</v>
      </c>
      <c r="BQ272" t="s">
        <v>48</v>
      </c>
      <c r="BS272" t="s">
        <v>48</v>
      </c>
      <c r="BT272" t="s">
        <v>48</v>
      </c>
      <c r="BU272" t="s">
        <v>48</v>
      </c>
      <c r="BW272" t="s">
        <v>48</v>
      </c>
      <c r="BX272" t="s">
        <v>48</v>
      </c>
      <c r="BY272" t="s">
        <v>48</v>
      </c>
      <c r="BZ272" t="s">
        <v>48</v>
      </c>
      <c r="CA272" t="s">
        <v>48</v>
      </c>
      <c r="CB272" t="s">
        <v>48</v>
      </c>
      <c r="CC272" t="s">
        <v>48</v>
      </c>
      <c r="CD272" t="s">
        <v>48</v>
      </c>
      <c r="CE272" t="s">
        <v>48</v>
      </c>
      <c r="CF272" t="s">
        <v>48</v>
      </c>
      <c r="CG272" t="s">
        <v>48</v>
      </c>
      <c r="CH272" t="s">
        <v>48</v>
      </c>
      <c r="CI272" t="s">
        <v>48</v>
      </c>
      <c r="CJ272" t="s">
        <v>48</v>
      </c>
    </row>
    <row r="273" spans="1:88" x14ac:dyDescent="0.25">
      <c r="A273" s="4" t="s">
        <v>2152</v>
      </c>
      <c r="B273" s="4" t="s">
        <v>1205</v>
      </c>
      <c r="C273" s="4" t="s">
        <v>1760</v>
      </c>
      <c r="D273" s="4" t="str">
        <f>cna_product_database_catalog_website[[#This Row],[MainCategory]]&amp;"&gt;"&amp;cna_product_database_catalog_website[[#This Row],[SubCategory1]]&amp;"&gt;"&amp;cna_product_database_catalog_website[[#This Row],[SubCategory2]]</f>
        <v>Halogen&gt;J-Type Linear 130V&gt;189 mm 130V 1000W</v>
      </c>
      <c r="E273">
        <v>2790</v>
      </c>
      <c r="F273" t="s">
        <v>829</v>
      </c>
      <c r="G273" s="3">
        <v>19</v>
      </c>
      <c r="H273" s="8">
        <v>2.25</v>
      </c>
      <c r="I273" t="s">
        <v>829</v>
      </c>
      <c r="J273" t="s">
        <v>829</v>
      </c>
      <c r="K273" s="11" t="s">
        <v>1923</v>
      </c>
      <c r="L273" t="s">
        <v>46</v>
      </c>
      <c r="M273" s="12"/>
      <c r="N273" t="s">
        <v>47</v>
      </c>
      <c r="O273" s="3">
        <v>1</v>
      </c>
      <c r="P273" s="3">
        <v>1</v>
      </c>
      <c r="Q273" t="s">
        <v>830</v>
      </c>
      <c r="R273" t="s">
        <v>820</v>
      </c>
      <c r="S273" t="s">
        <v>48</v>
      </c>
      <c r="T273" t="s">
        <v>48</v>
      </c>
      <c r="U273" t="s">
        <v>48</v>
      </c>
      <c r="V273" t="s">
        <v>48</v>
      </c>
      <c r="W273" t="s">
        <v>305</v>
      </c>
      <c r="X273" t="s">
        <v>760</v>
      </c>
      <c r="Y273" s="3" t="s">
        <v>48</v>
      </c>
      <c r="Z273" s="3" t="s">
        <v>48</v>
      </c>
      <c r="AA273" s="3" t="s">
        <v>48</v>
      </c>
      <c r="AB273" s="1" t="s">
        <v>48</v>
      </c>
      <c r="AC273" s="1" t="s">
        <v>48</v>
      </c>
      <c r="AD273" t="s">
        <v>48</v>
      </c>
      <c r="AE273"/>
      <c r="AF273" t="s">
        <v>48</v>
      </c>
      <c r="AG273" t="s">
        <v>48</v>
      </c>
      <c r="AH273" t="s">
        <v>48</v>
      </c>
      <c r="AI273" t="s">
        <v>48</v>
      </c>
      <c r="AL273" t="s">
        <v>48</v>
      </c>
      <c r="AO273" t="s">
        <v>48</v>
      </c>
      <c r="AP273" t="s">
        <v>48</v>
      </c>
      <c r="AQ273" t="s">
        <v>48</v>
      </c>
      <c r="AV273" t="s">
        <v>48</v>
      </c>
      <c r="AW273" t="s">
        <v>48</v>
      </c>
      <c r="AX273" s="2" t="s">
        <v>169</v>
      </c>
      <c r="AY273" s="2" t="s">
        <v>169</v>
      </c>
      <c r="BC273">
        <f>SUM(cna_product_database_catalog_website[[#This Row],[Box Length (cm)]]*cna_product_database_catalog_website[[#This Row],[Box Width (cm)]]*cna_product_database_catalog_website[[#This Row],[Box Height (cm)]]/1000000)</f>
        <v>0</v>
      </c>
      <c r="BD273">
        <f>SUM(cna_product_database_catalog_website[[#This Row],[Box CBM]]*35.3147)</f>
        <v>0</v>
      </c>
      <c r="BE273" t="s">
        <v>48</v>
      </c>
      <c r="BI27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3">
        <f>SUM(cna_product_database_catalog_website[[#This Row],[Carton CFT]]/61024)</f>
        <v>0</v>
      </c>
      <c r="BM273" t="s">
        <v>48</v>
      </c>
      <c r="BN273" t="s">
        <v>48</v>
      </c>
      <c r="BO273" t="s">
        <v>48</v>
      </c>
      <c r="BP273" t="s">
        <v>48</v>
      </c>
      <c r="BQ273" t="s">
        <v>48</v>
      </c>
      <c r="BS273" t="s">
        <v>48</v>
      </c>
      <c r="BT273" t="s">
        <v>48</v>
      </c>
      <c r="BU273" t="s">
        <v>48</v>
      </c>
      <c r="BW273" t="s">
        <v>48</v>
      </c>
      <c r="BX273" t="s">
        <v>48</v>
      </c>
      <c r="BY273" t="s">
        <v>48</v>
      </c>
      <c r="BZ273" t="s">
        <v>48</v>
      </c>
      <c r="CA273" t="s">
        <v>48</v>
      </c>
      <c r="CB273" t="s">
        <v>48</v>
      </c>
      <c r="CC273" t="s">
        <v>48</v>
      </c>
      <c r="CD273" t="s">
        <v>48</v>
      </c>
      <c r="CE273" t="s">
        <v>48</v>
      </c>
      <c r="CF273" t="s">
        <v>48</v>
      </c>
      <c r="CG273" t="s">
        <v>48</v>
      </c>
      <c r="CH273" t="s">
        <v>48</v>
      </c>
      <c r="CI273" t="s">
        <v>48</v>
      </c>
      <c r="CJ273" t="s">
        <v>48</v>
      </c>
    </row>
    <row r="274" spans="1:88" x14ac:dyDescent="0.25">
      <c r="A274" s="4" t="s">
        <v>2152</v>
      </c>
      <c r="B274" s="4" t="s">
        <v>1205</v>
      </c>
      <c r="C274" s="4" t="s">
        <v>1761</v>
      </c>
      <c r="D274" s="4" t="str">
        <f>cna_product_database_catalog_website[[#This Row],[MainCategory]]&amp;"&gt;"&amp;cna_product_database_catalog_website[[#This Row],[SubCategory1]]&amp;"&gt;"&amp;cna_product_database_catalog_website[[#This Row],[SubCategory2]]</f>
        <v>Halogen&gt;J-Type Linear 130V&gt;254 mm 130V 1000W</v>
      </c>
      <c r="E274">
        <v>2795</v>
      </c>
      <c r="F274" t="s">
        <v>831</v>
      </c>
      <c r="G274" s="3">
        <v>21</v>
      </c>
      <c r="H274" s="8">
        <v>2.75</v>
      </c>
      <c r="I274" t="s">
        <v>831</v>
      </c>
      <c r="J274" t="s">
        <v>831</v>
      </c>
      <c r="K274" s="11" t="s">
        <v>1923</v>
      </c>
      <c r="L274" t="s">
        <v>46</v>
      </c>
      <c r="M274" s="12"/>
      <c r="N274" t="s">
        <v>47</v>
      </c>
      <c r="O274" s="3">
        <v>1</v>
      </c>
      <c r="P274" s="3">
        <v>1</v>
      </c>
      <c r="Q274" t="s">
        <v>830</v>
      </c>
      <c r="R274" t="s">
        <v>820</v>
      </c>
      <c r="S274" t="s">
        <v>48</v>
      </c>
      <c r="T274" t="s">
        <v>48</v>
      </c>
      <c r="U274" t="s">
        <v>48</v>
      </c>
      <c r="V274" t="s">
        <v>48</v>
      </c>
      <c r="W274" t="s">
        <v>305</v>
      </c>
      <c r="X274" t="s">
        <v>760</v>
      </c>
      <c r="Y274" s="3" t="s">
        <v>48</v>
      </c>
      <c r="Z274" s="3" t="s">
        <v>48</v>
      </c>
      <c r="AA274" s="3" t="s">
        <v>48</v>
      </c>
      <c r="AB274" s="1" t="s">
        <v>48</v>
      </c>
      <c r="AC274" s="1" t="s">
        <v>48</v>
      </c>
      <c r="AD274" t="s">
        <v>48</v>
      </c>
      <c r="AE274"/>
      <c r="AF274" t="s">
        <v>48</v>
      </c>
      <c r="AG274" t="s">
        <v>48</v>
      </c>
      <c r="AH274" t="s">
        <v>48</v>
      </c>
      <c r="AI274" t="s">
        <v>48</v>
      </c>
      <c r="AL274" t="s">
        <v>48</v>
      </c>
      <c r="AO274" t="s">
        <v>48</v>
      </c>
      <c r="AP274" t="s">
        <v>48</v>
      </c>
      <c r="AQ274" t="s">
        <v>48</v>
      </c>
      <c r="AV274" t="s">
        <v>48</v>
      </c>
      <c r="AW274" t="s">
        <v>48</v>
      </c>
      <c r="AX274" s="2" t="s">
        <v>169</v>
      </c>
      <c r="AY274" s="2" t="s">
        <v>169</v>
      </c>
      <c r="BC274">
        <f>SUM(cna_product_database_catalog_website[[#This Row],[Box Length (cm)]]*cna_product_database_catalog_website[[#This Row],[Box Width (cm)]]*cna_product_database_catalog_website[[#This Row],[Box Height (cm)]]/1000000)</f>
        <v>0</v>
      </c>
      <c r="BD274">
        <f>SUM(cna_product_database_catalog_website[[#This Row],[Box CBM]]*35.3147)</f>
        <v>0</v>
      </c>
      <c r="BE274" t="s">
        <v>48</v>
      </c>
      <c r="BI27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4">
        <f>SUM(cna_product_database_catalog_website[[#This Row],[Carton CFT]]/61024)</f>
        <v>0</v>
      </c>
      <c r="BM274" t="s">
        <v>48</v>
      </c>
      <c r="BN274" t="s">
        <v>48</v>
      </c>
      <c r="BO274" t="s">
        <v>48</v>
      </c>
      <c r="BP274" t="s">
        <v>48</v>
      </c>
      <c r="BQ274" t="s">
        <v>48</v>
      </c>
      <c r="BS274" t="s">
        <v>48</v>
      </c>
      <c r="BT274" t="s">
        <v>48</v>
      </c>
      <c r="BU274" t="s">
        <v>48</v>
      </c>
      <c r="BW274" t="s">
        <v>48</v>
      </c>
      <c r="BX274" t="s">
        <v>48</v>
      </c>
      <c r="BY274" t="s">
        <v>48</v>
      </c>
      <c r="BZ274" t="s">
        <v>48</v>
      </c>
      <c r="CA274" t="s">
        <v>48</v>
      </c>
      <c r="CB274" t="s">
        <v>48</v>
      </c>
      <c r="CC274" t="s">
        <v>48</v>
      </c>
      <c r="CD274" t="s">
        <v>48</v>
      </c>
      <c r="CE274" t="s">
        <v>48</v>
      </c>
      <c r="CF274" t="s">
        <v>48</v>
      </c>
      <c r="CG274" t="s">
        <v>48</v>
      </c>
      <c r="CH274" t="s">
        <v>48</v>
      </c>
      <c r="CI274" t="s">
        <v>48</v>
      </c>
      <c r="CJ274" t="s">
        <v>48</v>
      </c>
    </row>
    <row r="275" spans="1:88" x14ac:dyDescent="0.25">
      <c r="A275" s="4" t="s">
        <v>2152</v>
      </c>
      <c r="B275" s="4" t="s">
        <v>1206</v>
      </c>
      <c r="C275" s="4" t="s">
        <v>1762</v>
      </c>
      <c r="D275" s="4" t="str">
        <f>cna_product_database_catalog_website[[#This Row],[MainCategory]]&amp;"&gt;"&amp;cna_product_database_catalog_website[[#This Row],[SubCategory1]]&amp;"&gt;"&amp;cna_product_database_catalog_website[[#This Row],[SubCategory2]]</f>
        <v>Halogen&gt;J-Type Linear 240V&gt;118 mm 240V 500W</v>
      </c>
      <c r="E275">
        <v>2800</v>
      </c>
      <c r="F275" t="s">
        <v>832</v>
      </c>
      <c r="G275" s="3">
        <v>18</v>
      </c>
      <c r="H275" s="8">
        <v>1.99</v>
      </c>
      <c r="I275" t="s">
        <v>832</v>
      </c>
      <c r="J275" t="s">
        <v>832</v>
      </c>
      <c r="K275" s="11" t="s">
        <v>1923</v>
      </c>
      <c r="L275" t="s">
        <v>46</v>
      </c>
      <c r="M275" s="12"/>
      <c r="N275" t="s">
        <v>47</v>
      </c>
      <c r="O275" s="3">
        <v>1</v>
      </c>
      <c r="P275" s="3">
        <v>1</v>
      </c>
      <c r="Q275" t="s">
        <v>828</v>
      </c>
      <c r="R275" t="s">
        <v>833</v>
      </c>
      <c r="S275" t="s">
        <v>48</v>
      </c>
      <c r="T275" t="s">
        <v>48</v>
      </c>
      <c r="U275" t="s">
        <v>48</v>
      </c>
      <c r="V275" t="s">
        <v>48</v>
      </c>
      <c r="W275" t="s">
        <v>305</v>
      </c>
      <c r="X275" t="s">
        <v>760</v>
      </c>
      <c r="Y275" s="3" t="s">
        <v>48</v>
      </c>
      <c r="Z275" s="3" t="s">
        <v>48</v>
      </c>
      <c r="AA275" s="3" t="s">
        <v>48</v>
      </c>
      <c r="AB275" s="1" t="s">
        <v>48</v>
      </c>
      <c r="AC275" s="1" t="s">
        <v>48</v>
      </c>
      <c r="AD275" t="s">
        <v>48</v>
      </c>
      <c r="AE275"/>
      <c r="AF275" t="s">
        <v>48</v>
      </c>
      <c r="AG275" t="s">
        <v>48</v>
      </c>
      <c r="AH275" t="s">
        <v>48</v>
      </c>
      <c r="AI275" t="s">
        <v>48</v>
      </c>
      <c r="AL275" t="s">
        <v>48</v>
      </c>
      <c r="AO275" t="s">
        <v>48</v>
      </c>
      <c r="AP275" t="s">
        <v>48</v>
      </c>
      <c r="AQ275" t="s">
        <v>48</v>
      </c>
      <c r="AV275" t="s">
        <v>48</v>
      </c>
      <c r="AW275" t="s">
        <v>48</v>
      </c>
      <c r="AX275" s="2" t="s">
        <v>169</v>
      </c>
      <c r="AY275" s="2" t="s">
        <v>169</v>
      </c>
      <c r="BC275">
        <f>SUM(cna_product_database_catalog_website[[#This Row],[Box Length (cm)]]*cna_product_database_catalog_website[[#This Row],[Box Width (cm)]]*cna_product_database_catalog_website[[#This Row],[Box Height (cm)]]/1000000)</f>
        <v>0</v>
      </c>
      <c r="BD275">
        <f>SUM(cna_product_database_catalog_website[[#This Row],[Box CBM]]*35.3147)</f>
        <v>0</v>
      </c>
      <c r="BE275" t="s">
        <v>48</v>
      </c>
      <c r="BI27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5">
        <f>SUM(cna_product_database_catalog_website[[#This Row],[Carton CFT]]/61024)</f>
        <v>0</v>
      </c>
      <c r="BM275" t="s">
        <v>48</v>
      </c>
      <c r="BN275" t="s">
        <v>48</v>
      </c>
      <c r="BO275" t="s">
        <v>48</v>
      </c>
      <c r="BP275" t="s">
        <v>48</v>
      </c>
      <c r="BQ275" t="s">
        <v>48</v>
      </c>
      <c r="BS275" t="s">
        <v>48</v>
      </c>
      <c r="BT275" t="s">
        <v>48</v>
      </c>
      <c r="BU275" t="s">
        <v>48</v>
      </c>
      <c r="BW275" t="s">
        <v>48</v>
      </c>
      <c r="BX275" t="s">
        <v>48</v>
      </c>
      <c r="BY275" t="s">
        <v>48</v>
      </c>
      <c r="BZ275" t="s">
        <v>48</v>
      </c>
      <c r="CA275" t="s">
        <v>48</v>
      </c>
      <c r="CB275" t="s">
        <v>48</v>
      </c>
      <c r="CC275" t="s">
        <v>48</v>
      </c>
      <c r="CD275" t="s">
        <v>48</v>
      </c>
      <c r="CE275" t="s">
        <v>48</v>
      </c>
      <c r="CF275" t="s">
        <v>48</v>
      </c>
      <c r="CG275" t="s">
        <v>48</v>
      </c>
      <c r="CH275" t="s">
        <v>48</v>
      </c>
      <c r="CI275" t="s">
        <v>48</v>
      </c>
      <c r="CJ275" t="s">
        <v>48</v>
      </c>
    </row>
    <row r="276" spans="1:88" x14ac:dyDescent="0.25">
      <c r="A276" s="4" t="s">
        <v>2152</v>
      </c>
      <c r="B276" s="4" t="s">
        <v>1206</v>
      </c>
      <c r="C276" s="4" t="s">
        <v>1763</v>
      </c>
      <c r="D276" s="4" t="str">
        <f>cna_product_database_catalog_website[[#This Row],[MainCategory]]&amp;"&gt;"&amp;cna_product_database_catalog_website[[#This Row],[SubCategory1]]&amp;"&gt;"&amp;cna_product_database_catalog_website[[#This Row],[SubCategory2]]</f>
        <v>Halogen&gt;J-Type Linear 240V&gt;189 mm 240V 1000W</v>
      </c>
      <c r="E276">
        <v>2805</v>
      </c>
      <c r="F276" t="s">
        <v>834</v>
      </c>
      <c r="G276" s="3">
        <v>20</v>
      </c>
      <c r="H276" s="8">
        <v>2.25</v>
      </c>
      <c r="I276" t="s">
        <v>834</v>
      </c>
      <c r="J276" t="s">
        <v>835</v>
      </c>
      <c r="K276" s="11" t="s">
        <v>1923</v>
      </c>
      <c r="L276" t="s">
        <v>46</v>
      </c>
      <c r="M276" s="12"/>
      <c r="N276" t="s">
        <v>47</v>
      </c>
      <c r="O276" s="3">
        <v>1</v>
      </c>
      <c r="P276" s="3">
        <v>1</v>
      </c>
      <c r="Q276" t="s">
        <v>830</v>
      </c>
      <c r="R276" t="s">
        <v>833</v>
      </c>
      <c r="S276" t="s">
        <v>48</v>
      </c>
      <c r="T276" t="s">
        <v>48</v>
      </c>
      <c r="U276" t="s">
        <v>48</v>
      </c>
      <c r="V276" t="s">
        <v>48</v>
      </c>
      <c r="W276" t="s">
        <v>305</v>
      </c>
      <c r="X276" t="s">
        <v>760</v>
      </c>
      <c r="Y276" s="3" t="s">
        <v>48</v>
      </c>
      <c r="Z276" s="3" t="s">
        <v>48</v>
      </c>
      <c r="AA276" s="3" t="s">
        <v>48</v>
      </c>
      <c r="AB276" s="1" t="s">
        <v>48</v>
      </c>
      <c r="AC276" s="1" t="s">
        <v>48</v>
      </c>
      <c r="AD276" t="s">
        <v>48</v>
      </c>
      <c r="AE276"/>
      <c r="AF276" t="s">
        <v>48</v>
      </c>
      <c r="AG276" t="s">
        <v>48</v>
      </c>
      <c r="AH276" t="s">
        <v>48</v>
      </c>
      <c r="AI276" t="s">
        <v>48</v>
      </c>
      <c r="AL276" t="s">
        <v>48</v>
      </c>
      <c r="AO276" t="s">
        <v>48</v>
      </c>
      <c r="AP276" t="s">
        <v>48</v>
      </c>
      <c r="AQ276" t="s">
        <v>48</v>
      </c>
      <c r="AV276" t="s">
        <v>48</v>
      </c>
      <c r="AW276" t="s">
        <v>48</v>
      </c>
      <c r="AX276" s="2" t="s">
        <v>169</v>
      </c>
      <c r="AY276" s="2" t="s">
        <v>169</v>
      </c>
      <c r="BC276">
        <f>SUM(cna_product_database_catalog_website[[#This Row],[Box Length (cm)]]*cna_product_database_catalog_website[[#This Row],[Box Width (cm)]]*cna_product_database_catalog_website[[#This Row],[Box Height (cm)]]/1000000)</f>
        <v>0</v>
      </c>
      <c r="BD276">
        <f>SUM(cna_product_database_catalog_website[[#This Row],[Box CBM]]*35.3147)</f>
        <v>0</v>
      </c>
      <c r="BE276" t="s">
        <v>48</v>
      </c>
      <c r="BI27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6">
        <f>SUM(cna_product_database_catalog_website[[#This Row],[Carton CFT]]/61024)</f>
        <v>0</v>
      </c>
      <c r="BM276" t="s">
        <v>48</v>
      </c>
      <c r="BN276" t="s">
        <v>48</v>
      </c>
      <c r="BO276" t="s">
        <v>48</v>
      </c>
      <c r="BP276" t="s">
        <v>48</v>
      </c>
      <c r="BQ276" t="s">
        <v>48</v>
      </c>
      <c r="BS276" t="s">
        <v>48</v>
      </c>
      <c r="BT276" t="s">
        <v>48</v>
      </c>
      <c r="BU276" t="s">
        <v>48</v>
      </c>
      <c r="BW276" t="s">
        <v>48</v>
      </c>
      <c r="BX276" t="s">
        <v>48</v>
      </c>
      <c r="BY276" t="s">
        <v>48</v>
      </c>
      <c r="BZ276" t="s">
        <v>48</v>
      </c>
      <c r="CA276" t="s">
        <v>48</v>
      </c>
      <c r="CB276" t="s">
        <v>48</v>
      </c>
      <c r="CC276" t="s">
        <v>48</v>
      </c>
      <c r="CD276" t="s">
        <v>48</v>
      </c>
      <c r="CE276" t="s">
        <v>48</v>
      </c>
      <c r="CF276" t="s">
        <v>48</v>
      </c>
      <c r="CG276" t="s">
        <v>48</v>
      </c>
      <c r="CH276" t="s">
        <v>48</v>
      </c>
      <c r="CI276" t="s">
        <v>48</v>
      </c>
      <c r="CJ276" t="s">
        <v>48</v>
      </c>
    </row>
    <row r="277" spans="1:88" x14ac:dyDescent="0.25">
      <c r="A277" s="4" t="s">
        <v>2152</v>
      </c>
      <c r="B277" s="4" t="s">
        <v>1206</v>
      </c>
      <c r="C277" s="4" t="s">
        <v>1764</v>
      </c>
      <c r="D277" s="4" t="str">
        <f>cna_product_database_catalog_website[[#This Row],[MainCategory]]&amp;"&gt;"&amp;cna_product_database_catalog_website[[#This Row],[SubCategory1]]&amp;"&gt;"&amp;cna_product_database_catalog_website[[#This Row],[SubCategory2]]</f>
        <v>Halogen&gt;J-Type Linear 240V&gt;254 mm 240V 1000W</v>
      </c>
      <c r="E277">
        <v>2810</v>
      </c>
      <c r="F277" t="s">
        <v>836</v>
      </c>
      <c r="G277" s="3">
        <v>283</v>
      </c>
      <c r="H277" s="8">
        <v>2.75</v>
      </c>
      <c r="I277" t="s">
        <v>836</v>
      </c>
      <c r="J277" t="s">
        <v>836</v>
      </c>
      <c r="K277" s="11" t="s">
        <v>1923</v>
      </c>
      <c r="L277" t="s">
        <v>46</v>
      </c>
      <c r="M277" s="12"/>
      <c r="N277" t="s">
        <v>47</v>
      </c>
      <c r="O277" s="3">
        <v>1</v>
      </c>
      <c r="P277" s="3">
        <v>1</v>
      </c>
      <c r="Q277" t="s">
        <v>830</v>
      </c>
      <c r="R277" t="s">
        <v>833</v>
      </c>
      <c r="S277" t="s">
        <v>48</v>
      </c>
      <c r="T277" t="s">
        <v>48</v>
      </c>
      <c r="U277" t="s">
        <v>48</v>
      </c>
      <c r="V277" t="s">
        <v>48</v>
      </c>
      <c r="W277" t="s">
        <v>305</v>
      </c>
      <c r="X277" t="s">
        <v>760</v>
      </c>
      <c r="Y277" s="3" t="s">
        <v>48</v>
      </c>
      <c r="Z277" s="3" t="s">
        <v>48</v>
      </c>
      <c r="AA277" s="3" t="s">
        <v>48</v>
      </c>
      <c r="AB277" s="1" t="s">
        <v>48</v>
      </c>
      <c r="AC277" s="1" t="s">
        <v>48</v>
      </c>
      <c r="AD277" t="s">
        <v>48</v>
      </c>
      <c r="AE277"/>
      <c r="AF277" t="s">
        <v>48</v>
      </c>
      <c r="AG277" t="s">
        <v>48</v>
      </c>
      <c r="AH277" t="s">
        <v>48</v>
      </c>
      <c r="AI277" t="s">
        <v>48</v>
      </c>
      <c r="AL277" t="s">
        <v>48</v>
      </c>
      <c r="AO277" t="s">
        <v>48</v>
      </c>
      <c r="AP277" t="s">
        <v>48</v>
      </c>
      <c r="AQ277" t="s">
        <v>48</v>
      </c>
      <c r="AV277" t="s">
        <v>48</v>
      </c>
      <c r="AW277" t="s">
        <v>48</v>
      </c>
      <c r="AX277" s="2" t="s">
        <v>169</v>
      </c>
      <c r="AY277" s="2" t="s">
        <v>169</v>
      </c>
      <c r="BC277">
        <f>SUM(cna_product_database_catalog_website[[#This Row],[Box Length (cm)]]*cna_product_database_catalog_website[[#This Row],[Box Width (cm)]]*cna_product_database_catalog_website[[#This Row],[Box Height (cm)]]/1000000)</f>
        <v>0</v>
      </c>
      <c r="BD277">
        <f>SUM(cna_product_database_catalog_website[[#This Row],[Box CBM]]*35.3147)</f>
        <v>0</v>
      </c>
      <c r="BE277" t="s">
        <v>48</v>
      </c>
      <c r="BI27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7">
        <f>SUM(cna_product_database_catalog_website[[#This Row],[Carton CFT]]/61024)</f>
        <v>0</v>
      </c>
      <c r="BM277" t="s">
        <v>48</v>
      </c>
      <c r="BN277" t="s">
        <v>48</v>
      </c>
      <c r="BO277" t="s">
        <v>48</v>
      </c>
      <c r="BP277" t="s">
        <v>48</v>
      </c>
      <c r="BQ277" t="s">
        <v>48</v>
      </c>
      <c r="BS277" t="s">
        <v>48</v>
      </c>
      <c r="BT277" t="s">
        <v>48</v>
      </c>
      <c r="BU277" t="s">
        <v>48</v>
      </c>
      <c r="BW277" t="s">
        <v>48</v>
      </c>
      <c r="BX277" t="s">
        <v>48</v>
      </c>
      <c r="BY277" t="s">
        <v>48</v>
      </c>
      <c r="BZ277" t="s">
        <v>48</v>
      </c>
      <c r="CA277" t="s">
        <v>48</v>
      </c>
      <c r="CB277" t="s">
        <v>48</v>
      </c>
      <c r="CC277" t="s">
        <v>48</v>
      </c>
      <c r="CD277" t="s">
        <v>48</v>
      </c>
      <c r="CE277" t="s">
        <v>48</v>
      </c>
      <c r="CF277" t="s">
        <v>48</v>
      </c>
      <c r="CG277" t="s">
        <v>48</v>
      </c>
      <c r="CH277" t="s">
        <v>48</v>
      </c>
      <c r="CI277" t="s">
        <v>48</v>
      </c>
      <c r="CJ277" t="s">
        <v>48</v>
      </c>
    </row>
    <row r="278" spans="1:88" x14ac:dyDescent="0.25">
      <c r="A278" s="4" t="s">
        <v>2152</v>
      </c>
      <c r="B278" s="4" t="s">
        <v>1206</v>
      </c>
      <c r="C278" s="4" t="s">
        <v>1765</v>
      </c>
      <c r="D278" s="4" t="str">
        <f>cna_product_database_catalog_website[[#This Row],[MainCategory]]&amp;"&gt;"&amp;cna_product_database_catalog_website[[#This Row],[SubCategory1]]&amp;"&gt;"&amp;cna_product_database_catalog_website[[#This Row],[SubCategory2]]</f>
        <v>Halogen&gt;J-Type Linear 240V&gt;254 mm 240V 1500W</v>
      </c>
      <c r="E278">
        <v>2815</v>
      </c>
      <c r="F278" t="s">
        <v>837</v>
      </c>
      <c r="G278" s="3">
        <v>23</v>
      </c>
      <c r="H278" s="8">
        <v>2.75</v>
      </c>
      <c r="I278" t="s">
        <v>837</v>
      </c>
      <c r="J278" t="s">
        <v>837</v>
      </c>
      <c r="K278" s="11" t="s">
        <v>1923</v>
      </c>
      <c r="L278" t="s">
        <v>46</v>
      </c>
      <c r="M278" s="12"/>
      <c r="N278" t="s">
        <v>47</v>
      </c>
      <c r="O278" s="3">
        <v>1</v>
      </c>
      <c r="P278" s="3">
        <v>1</v>
      </c>
      <c r="Q278" t="s">
        <v>838</v>
      </c>
      <c r="R278" t="s">
        <v>833</v>
      </c>
      <c r="S278" t="s">
        <v>48</v>
      </c>
      <c r="T278" t="s">
        <v>48</v>
      </c>
      <c r="U278" t="s">
        <v>48</v>
      </c>
      <c r="V278" t="s">
        <v>48</v>
      </c>
      <c r="W278" t="s">
        <v>305</v>
      </c>
      <c r="X278" t="s">
        <v>760</v>
      </c>
      <c r="Y278" s="3" t="s">
        <v>48</v>
      </c>
      <c r="Z278" s="3" t="s">
        <v>48</v>
      </c>
      <c r="AA278" s="3" t="s">
        <v>48</v>
      </c>
      <c r="AB278" s="1" t="s">
        <v>48</v>
      </c>
      <c r="AC278" s="1" t="s">
        <v>48</v>
      </c>
      <c r="AD278" t="s">
        <v>48</v>
      </c>
      <c r="AE278"/>
      <c r="AF278" t="s">
        <v>48</v>
      </c>
      <c r="AG278" t="s">
        <v>48</v>
      </c>
      <c r="AH278" t="s">
        <v>48</v>
      </c>
      <c r="AI278" t="s">
        <v>48</v>
      </c>
      <c r="AL278" t="s">
        <v>48</v>
      </c>
      <c r="AO278" t="s">
        <v>48</v>
      </c>
      <c r="AP278" t="s">
        <v>48</v>
      </c>
      <c r="AQ278" t="s">
        <v>48</v>
      </c>
      <c r="AV278" t="s">
        <v>48</v>
      </c>
      <c r="AW278" t="s">
        <v>48</v>
      </c>
      <c r="AX278" s="2" t="s">
        <v>169</v>
      </c>
      <c r="AY278" s="2" t="s">
        <v>169</v>
      </c>
      <c r="BC278">
        <f>SUM(cna_product_database_catalog_website[[#This Row],[Box Length (cm)]]*cna_product_database_catalog_website[[#This Row],[Box Width (cm)]]*cna_product_database_catalog_website[[#This Row],[Box Height (cm)]]/1000000)</f>
        <v>0</v>
      </c>
      <c r="BD278">
        <f>SUM(cna_product_database_catalog_website[[#This Row],[Box CBM]]*35.3147)</f>
        <v>0</v>
      </c>
      <c r="BE278" t="s">
        <v>48</v>
      </c>
      <c r="BI27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8">
        <f>SUM(cna_product_database_catalog_website[[#This Row],[Carton CFT]]/61024)</f>
        <v>0</v>
      </c>
      <c r="BM278" t="s">
        <v>48</v>
      </c>
      <c r="BN278" t="s">
        <v>48</v>
      </c>
      <c r="BO278" t="s">
        <v>48</v>
      </c>
      <c r="BP278" t="s">
        <v>48</v>
      </c>
      <c r="BQ278" t="s">
        <v>48</v>
      </c>
      <c r="BS278" t="s">
        <v>48</v>
      </c>
      <c r="BT278" t="s">
        <v>48</v>
      </c>
      <c r="BU278" t="s">
        <v>48</v>
      </c>
      <c r="BW278" t="s">
        <v>48</v>
      </c>
      <c r="BX278" t="s">
        <v>48</v>
      </c>
      <c r="BY278" t="s">
        <v>48</v>
      </c>
      <c r="BZ278" t="s">
        <v>48</v>
      </c>
      <c r="CA278" t="s">
        <v>48</v>
      </c>
      <c r="CB278" t="s">
        <v>48</v>
      </c>
      <c r="CC278" t="s">
        <v>48</v>
      </c>
      <c r="CD278" t="s">
        <v>48</v>
      </c>
      <c r="CE278" t="s">
        <v>48</v>
      </c>
      <c r="CF278" t="s">
        <v>48</v>
      </c>
      <c r="CG278" t="s">
        <v>48</v>
      </c>
      <c r="CH278" t="s">
        <v>48</v>
      </c>
      <c r="CI278" t="s">
        <v>48</v>
      </c>
      <c r="CJ278" t="s">
        <v>48</v>
      </c>
    </row>
    <row r="279" spans="1:88" x14ac:dyDescent="0.25">
      <c r="A279" s="4" t="s">
        <v>2152</v>
      </c>
      <c r="B279" s="4" t="s">
        <v>1207</v>
      </c>
      <c r="C279" s="4" t="s">
        <v>1766</v>
      </c>
      <c r="D279" s="4" t="str">
        <f>cna_product_database_catalog_website[[#This Row],[MainCategory]]&amp;"&gt;"&amp;cna_product_database_catalog_website[[#This Row],[SubCategory1]]&amp;"&gt;"&amp;cna_product_database_catalog_website[[#This Row],[SubCategory2]]</f>
        <v>Halogen&gt;JCD Type (120V/130V)&gt;G9 25W Frosted</v>
      </c>
      <c r="E279">
        <v>2900</v>
      </c>
      <c r="F279" t="s">
        <v>839</v>
      </c>
      <c r="G279" s="3">
        <v>369</v>
      </c>
      <c r="H279" s="8">
        <v>1.5</v>
      </c>
      <c r="I279" t="s">
        <v>839</v>
      </c>
      <c r="J279" t="s">
        <v>839</v>
      </c>
      <c r="K279" t="s">
        <v>840</v>
      </c>
      <c r="L279" t="s">
        <v>46</v>
      </c>
      <c r="M279" s="12"/>
      <c r="N279" t="s">
        <v>47</v>
      </c>
      <c r="O279" s="3">
        <v>1</v>
      </c>
      <c r="P279" s="3">
        <v>1</v>
      </c>
      <c r="Q279" t="s">
        <v>841</v>
      </c>
      <c r="R279" t="s">
        <v>820</v>
      </c>
      <c r="S279" t="s">
        <v>48</v>
      </c>
      <c r="T279" t="s">
        <v>48</v>
      </c>
      <c r="U279" t="s">
        <v>48</v>
      </c>
      <c r="V279" t="s">
        <v>48</v>
      </c>
      <c r="W279" t="s">
        <v>288</v>
      </c>
      <c r="X279" t="s">
        <v>760</v>
      </c>
      <c r="Y279" s="3" t="s">
        <v>48</v>
      </c>
      <c r="Z279" s="3" t="s">
        <v>48</v>
      </c>
      <c r="AA279" s="3" t="s">
        <v>48</v>
      </c>
      <c r="AB279" s="1" t="s">
        <v>48</v>
      </c>
      <c r="AC279" s="1" t="s">
        <v>48</v>
      </c>
      <c r="AD279" t="s">
        <v>48</v>
      </c>
      <c r="AE279"/>
      <c r="AF279" t="s">
        <v>48</v>
      </c>
      <c r="AG279" t="s">
        <v>48</v>
      </c>
      <c r="AH279" t="s">
        <v>48</v>
      </c>
      <c r="AI279" t="s">
        <v>48</v>
      </c>
      <c r="AL279" t="s">
        <v>48</v>
      </c>
      <c r="AO279" t="s">
        <v>48</v>
      </c>
      <c r="AP279" t="s">
        <v>48</v>
      </c>
      <c r="AQ279" t="s">
        <v>48</v>
      </c>
      <c r="AV279" t="s">
        <v>48</v>
      </c>
      <c r="AW279" t="s">
        <v>48</v>
      </c>
      <c r="AX279" s="2" t="s">
        <v>229</v>
      </c>
      <c r="AY279" s="2" t="s">
        <v>63</v>
      </c>
      <c r="BC279">
        <f>SUM(cna_product_database_catalog_website[[#This Row],[Box Length (cm)]]*cna_product_database_catalog_website[[#This Row],[Box Width (cm)]]*cna_product_database_catalog_website[[#This Row],[Box Height (cm)]]/1000000)</f>
        <v>0</v>
      </c>
      <c r="BD279">
        <f>SUM(cna_product_database_catalog_website[[#This Row],[Box CBM]]*35.3147)</f>
        <v>0</v>
      </c>
      <c r="BE279" t="s">
        <v>48</v>
      </c>
      <c r="BI27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9">
        <f>SUM(cna_product_database_catalog_website[[#This Row],[Carton CFT]]/61024)</f>
        <v>0</v>
      </c>
      <c r="BM279" t="s">
        <v>48</v>
      </c>
      <c r="BN279" t="s">
        <v>48</v>
      </c>
      <c r="BO279" t="s">
        <v>48</v>
      </c>
      <c r="BP279" t="s">
        <v>48</v>
      </c>
      <c r="BQ279" t="s">
        <v>48</v>
      </c>
      <c r="BS279" t="s">
        <v>48</v>
      </c>
      <c r="BT279" t="s">
        <v>48</v>
      </c>
      <c r="BU279" t="s">
        <v>48</v>
      </c>
      <c r="BW279" t="s">
        <v>48</v>
      </c>
      <c r="BX279" t="s">
        <v>48</v>
      </c>
      <c r="BY279" t="s">
        <v>48</v>
      </c>
      <c r="BZ279" t="s">
        <v>48</v>
      </c>
      <c r="CA279" t="s">
        <v>48</v>
      </c>
      <c r="CB279" t="s">
        <v>48</v>
      </c>
      <c r="CC279" t="s">
        <v>48</v>
      </c>
      <c r="CD279" t="s">
        <v>48</v>
      </c>
      <c r="CE279" t="s">
        <v>48</v>
      </c>
      <c r="CF279" t="s">
        <v>48</v>
      </c>
      <c r="CG279" t="s">
        <v>48</v>
      </c>
      <c r="CH279" t="s">
        <v>48</v>
      </c>
      <c r="CI279" t="s">
        <v>48</v>
      </c>
      <c r="CJ279" t="s">
        <v>48</v>
      </c>
    </row>
    <row r="280" spans="1:88" x14ac:dyDescent="0.25">
      <c r="A280" s="4" t="s">
        <v>2152</v>
      </c>
      <c r="B280" s="4" t="s">
        <v>1207</v>
      </c>
      <c r="C280" s="4" t="s">
        <v>1767</v>
      </c>
      <c r="D280" s="4" t="str">
        <f>cna_product_database_catalog_website[[#This Row],[MainCategory]]&amp;"&gt;"&amp;cna_product_database_catalog_website[[#This Row],[SubCategory1]]&amp;"&gt;"&amp;cna_product_database_catalog_website[[#This Row],[SubCategory2]]</f>
        <v>Halogen&gt;JCD Type (120V/130V)&gt;G9 75W</v>
      </c>
      <c r="E280">
        <v>2910</v>
      </c>
      <c r="F280" t="s">
        <v>843</v>
      </c>
      <c r="G280" s="3">
        <v>589</v>
      </c>
      <c r="H280" s="8">
        <v>1.5</v>
      </c>
      <c r="I280" t="s">
        <v>843</v>
      </c>
      <c r="J280" t="s">
        <v>843</v>
      </c>
      <c r="K280" t="s">
        <v>842</v>
      </c>
      <c r="L280" t="s">
        <v>46</v>
      </c>
      <c r="M280" s="12"/>
      <c r="N280" t="s">
        <v>47</v>
      </c>
      <c r="O280" s="3">
        <v>1</v>
      </c>
      <c r="P280" s="3">
        <v>1</v>
      </c>
      <c r="Q280" t="s">
        <v>758</v>
      </c>
      <c r="R280" t="s">
        <v>820</v>
      </c>
      <c r="S280" t="s">
        <v>48</v>
      </c>
      <c r="T280" t="s">
        <v>48</v>
      </c>
      <c r="U280" t="s">
        <v>48</v>
      </c>
      <c r="V280" t="s">
        <v>48</v>
      </c>
      <c r="W280" t="s">
        <v>288</v>
      </c>
      <c r="X280" t="s">
        <v>760</v>
      </c>
      <c r="Y280" s="3" t="s">
        <v>48</v>
      </c>
      <c r="Z280" s="3" t="s">
        <v>48</v>
      </c>
      <c r="AA280" s="3" t="s">
        <v>48</v>
      </c>
      <c r="AB280" s="1" t="s">
        <v>48</v>
      </c>
      <c r="AC280" s="1" t="s">
        <v>48</v>
      </c>
      <c r="AD280" t="s">
        <v>48</v>
      </c>
      <c r="AE280"/>
      <c r="AF280" t="s">
        <v>48</v>
      </c>
      <c r="AG280" t="s">
        <v>48</v>
      </c>
      <c r="AH280" t="s">
        <v>48</v>
      </c>
      <c r="AI280" t="s">
        <v>48</v>
      </c>
      <c r="AL280" t="s">
        <v>48</v>
      </c>
      <c r="AO280" t="s">
        <v>48</v>
      </c>
      <c r="AP280" t="s">
        <v>48</v>
      </c>
      <c r="AQ280" t="s">
        <v>48</v>
      </c>
      <c r="AV280" t="s">
        <v>48</v>
      </c>
      <c r="AW280" t="s">
        <v>48</v>
      </c>
      <c r="AX280" s="2" t="s">
        <v>229</v>
      </c>
      <c r="AY280" s="2" t="s">
        <v>63</v>
      </c>
      <c r="BC280">
        <f>SUM(cna_product_database_catalog_website[[#This Row],[Box Length (cm)]]*cna_product_database_catalog_website[[#This Row],[Box Width (cm)]]*cna_product_database_catalog_website[[#This Row],[Box Height (cm)]]/1000000)</f>
        <v>0</v>
      </c>
      <c r="BD280">
        <f>SUM(cna_product_database_catalog_website[[#This Row],[Box CBM]]*35.3147)</f>
        <v>0</v>
      </c>
      <c r="BE280" t="s">
        <v>48</v>
      </c>
      <c r="BI28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0">
        <f>SUM(cna_product_database_catalog_website[[#This Row],[Carton CFT]]/61024)</f>
        <v>0</v>
      </c>
      <c r="BM280" t="s">
        <v>48</v>
      </c>
      <c r="BN280" t="s">
        <v>48</v>
      </c>
      <c r="BO280" t="s">
        <v>48</v>
      </c>
      <c r="BP280" t="s">
        <v>48</v>
      </c>
      <c r="BQ280" t="s">
        <v>48</v>
      </c>
      <c r="BS280" t="s">
        <v>48</v>
      </c>
      <c r="BT280" t="s">
        <v>48</v>
      </c>
      <c r="BU280" t="s">
        <v>48</v>
      </c>
      <c r="BW280" t="s">
        <v>48</v>
      </c>
      <c r="BX280" t="s">
        <v>48</v>
      </c>
      <c r="BY280" t="s">
        <v>48</v>
      </c>
      <c r="BZ280" t="s">
        <v>48</v>
      </c>
      <c r="CA280" t="s">
        <v>48</v>
      </c>
      <c r="CB280" t="s">
        <v>48</v>
      </c>
      <c r="CC280" t="s">
        <v>48</v>
      </c>
      <c r="CD280" t="s">
        <v>48</v>
      </c>
      <c r="CE280" t="s">
        <v>48</v>
      </c>
      <c r="CF280" t="s">
        <v>48</v>
      </c>
      <c r="CG280" t="s">
        <v>48</v>
      </c>
      <c r="CH280" t="s">
        <v>48</v>
      </c>
      <c r="CI280" t="s">
        <v>48</v>
      </c>
      <c r="CJ280" t="s">
        <v>48</v>
      </c>
    </row>
    <row r="281" spans="1:88" x14ac:dyDescent="0.25">
      <c r="A281" s="4" t="s">
        <v>2152</v>
      </c>
      <c r="B281" s="4" t="s">
        <v>1207</v>
      </c>
      <c r="C281" s="4" t="s">
        <v>1768</v>
      </c>
      <c r="D281" s="4" t="str">
        <f>cna_product_database_catalog_website[[#This Row],[MainCategory]]&amp;"&gt;"&amp;cna_product_database_catalog_website[[#This Row],[SubCategory1]]&amp;"&gt;"&amp;cna_product_database_catalog_website[[#This Row],[SubCategory2]]</f>
        <v>Halogen&gt;JCD Type (120V/130V)&gt;G9 60W Frosted XENON</v>
      </c>
      <c r="E281">
        <v>2915</v>
      </c>
      <c r="F281" t="s">
        <v>844</v>
      </c>
      <c r="G281" s="3">
        <v>376</v>
      </c>
      <c r="H281" s="8">
        <v>1.9</v>
      </c>
      <c r="I281" t="s">
        <v>844</v>
      </c>
      <c r="J281" t="s">
        <v>844</v>
      </c>
      <c r="K281" t="s">
        <v>840</v>
      </c>
      <c r="L281" t="s">
        <v>46</v>
      </c>
      <c r="M281" s="12"/>
      <c r="N281" t="s">
        <v>47</v>
      </c>
      <c r="O281" s="3">
        <v>1</v>
      </c>
      <c r="P281" s="3">
        <v>1</v>
      </c>
      <c r="Q281" t="s">
        <v>845</v>
      </c>
      <c r="R281" t="s">
        <v>53</v>
      </c>
      <c r="S281" t="s">
        <v>48</v>
      </c>
      <c r="T281" t="s">
        <v>48</v>
      </c>
      <c r="U281" t="s">
        <v>48</v>
      </c>
      <c r="V281" t="s">
        <v>48</v>
      </c>
      <c r="W281" t="s">
        <v>288</v>
      </c>
      <c r="X281" t="s">
        <v>760</v>
      </c>
      <c r="Y281" s="3" t="s">
        <v>48</v>
      </c>
      <c r="Z281" s="3" t="s">
        <v>48</v>
      </c>
      <c r="AA281" s="3" t="s">
        <v>48</v>
      </c>
      <c r="AB281" s="1" t="s">
        <v>48</v>
      </c>
      <c r="AC281" s="1" t="s">
        <v>48</v>
      </c>
      <c r="AD281" t="s">
        <v>48</v>
      </c>
      <c r="AE281"/>
      <c r="AF281" t="s">
        <v>48</v>
      </c>
      <c r="AG281" t="s">
        <v>48</v>
      </c>
      <c r="AH281" t="s">
        <v>48</v>
      </c>
      <c r="AI281" t="s">
        <v>48</v>
      </c>
      <c r="AL281" t="s">
        <v>48</v>
      </c>
      <c r="AO281" t="s">
        <v>48</v>
      </c>
      <c r="AP281" t="s">
        <v>48</v>
      </c>
      <c r="AQ281" t="s">
        <v>48</v>
      </c>
      <c r="AV281" t="s">
        <v>48</v>
      </c>
      <c r="AW281" t="s">
        <v>48</v>
      </c>
      <c r="AX281" s="2" t="s">
        <v>229</v>
      </c>
      <c r="AY281" s="2" t="s">
        <v>63</v>
      </c>
      <c r="BC281">
        <f>SUM(cna_product_database_catalog_website[[#This Row],[Box Length (cm)]]*cna_product_database_catalog_website[[#This Row],[Box Width (cm)]]*cna_product_database_catalog_website[[#This Row],[Box Height (cm)]]/1000000)</f>
        <v>0</v>
      </c>
      <c r="BD281">
        <f>SUM(cna_product_database_catalog_website[[#This Row],[Box CBM]]*35.3147)</f>
        <v>0</v>
      </c>
      <c r="BE281" t="s">
        <v>48</v>
      </c>
      <c r="BI28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1">
        <f>SUM(cna_product_database_catalog_website[[#This Row],[Carton CFT]]/61024)</f>
        <v>0</v>
      </c>
      <c r="BM281" t="s">
        <v>48</v>
      </c>
      <c r="BN281" t="s">
        <v>48</v>
      </c>
      <c r="BO281" t="s">
        <v>48</v>
      </c>
      <c r="BP281" t="s">
        <v>48</v>
      </c>
      <c r="BQ281" t="s">
        <v>48</v>
      </c>
      <c r="BS281" t="s">
        <v>48</v>
      </c>
      <c r="BT281" t="s">
        <v>48</v>
      </c>
      <c r="BU281" t="s">
        <v>48</v>
      </c>
      <c r="BW281" t="s">
        <v>48</v>
      </c>
      <c r="BX281" t="s">
        <v>48</v>
      </c>
      <c r="BY281" t="s">
        <v>48</v>
      </c>
      <c r="BZ281" t="s">
        <v>48</v>
      </c>
      <c r="CA281" t="s">
        <v>48</v>
      </c>
      <c r="CB281" t="s">
        <v>48</v>
      </c>
      <c r="CC281" t="s">
        <v>48</v>
      </c>
      <c r="CD281" t="s">
        <v>48</v>
      </c>
      <c r="CE281" t="s">
        <v>48</v>
      </c>
      <c r="CF281" t="s">
        <v>48</v>
      </c>
      <c r="CG281" t="s">
        <v>48</v>
      </c>
      <c r="CH281" t="s">
        <v>48</v>
      </c>
      <c r="CI281" t="s">
        <v>48</v>
      </c>
      <c r="CJ281" t="s">
        <v>48</v>
      </c>
    </row>
    <row r="282" spans="1:88" x14ac:dyDescent="0.25">
      <c r="A282" s="4" t="s">
        <v>2152</v>
      </c>
      <c r="B282" s="4" t="s">
        <v>1207</v>
      </c>
      <c r="C282" s="4" t="s">
        <v>1769</v>
      </c>
      <c r="D282" s="4" t="str">
        <f>cna_product_database_catalog_website[[#This Row],[MainCategory]]&amp;"&gt;"&amp;cna_product_database_catalog_website[[#This Row],[SubCategory1]]&amp;"&gt;"&amp;cna_product_database_catalog_website[[#This Row],[SubCategory2]]</f>
        <v>Halogen&gt;JCD Type (120V/130V)&gt;G8 20W</v>
      </c>
      <c r="E282">
        <v>2920</v>
      </c>
      <c r="F282" t="s">
        <v>846</v>
      </c>
      <c r="G282" s="3">
        <v>610</v>
      </c>
      <c r="H282" s="8">
        <v>1.8</v>
      </c>
      <c r="I282" t="s">
        <v>846</v>
      </c>
      <c r="J282" t="s">
        <v>846</v>
      </c>
      <c r="K282" t="s">
        <v>1926</v>
      </c>
      <c r="L282" t="s">
        <v>46</v>
      </c>
      <c r="M282" s="12"/>
      <c r="N282" t="s">
        <v>47</v>
      </c>
      <c r="O282" s="3">
        <v>1</v>
      </c>
      <c r="P282" s="3">
        <v>1</v>
      </c>
      <c r="Q282" t="s">
        <v>262</v>
      </c>
      <c r="R282" t="s">
        <v>53</v>
      </c>
      <c r="S282" t="s">
        <v>48</v>
      </c>
      <c r="T282" t="s">
        <v>48</v>
      </c>
      <c r="U282" t="s">
        <v>48</v>
      </c>
      <c r="V282" t="s">
        <v>48</v>
      </c>
      <c r="W282" t="s">
        <v>847</v>
      </c>
      <c r="X282" t="s">
        <v>760</v>
      </c>
      <c r="Y282" s="3" t="s">
        <v>48</v>
      </c>
      <c r="Z282" s="3" t="s">
        <v>48</v>
      </c>
      <c r="AA282" s="3" t="s">
        <v>48</v>
      </c>
      <c r="AB282" s="1" t="s">
        <v>48</v>
      </c>
      <c r="AC282" s="1" t="s">
        <v>48</v>
      </c>
      <c r="AD282" t="s">
        <v>48</v>
      </c>
      <c r="AE282"/>
      <c r="AF282" t="s">
        <v>48</v>
      </c>
      <c r="AG282" t="s">
        <v>48</v>
      </c>
      <c r="AH282" t="s">
        <v>48</v>
      </c>
      <c r="AI282" t="s">
        <v>48</v>
      </c>
      <c r="AL282" t="s">
        <v>48</v>
      </c>
      <c r="AO282" t="s">
        <v>48</v>
      </c>
      <c r="AP282" t="s">
        <v>48</v>
      </c>
      <c r="AQ282" t="s">
        <v>48</v>
      </c>
      <c r="AV282" t="s">
        <v>48</v>
      </c>
      <c r="AW282" t="s">
        <v>48</v>
      </c>
      <c r="AX282" s="2" t="s">
        <v>229</v>
      </c>
      <c r="AY282" s="2" t="s">
        <v>63</v>
      </c>
      <c r="BC282">
        <f>SUM(cna_product_database_catalog_website[[#This Row],[Box Length (cm)]]*cna_product_database_catalog_website[[#This Row],[Box Width (cm)]]*cna_product_database_catalog_website[[#This Row],[Box Height (cm)]]/1000000)</f>
        <v>0</v>
      </c>
      <c r="BD282">
        <f>SUM(cna_product_database_catalog_website[[#This Row],[Box CBM]]*35.3147)</f>
        <v>0</v>
      </c>
      <c r="BE282" t="s">
        <v>48</v>
      </c>
      <c r="BI28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2">
        <f>SUM(cna_product_database_catalog_website[[#This Row],[Carton CFT]]/61024)</f>
        <v>0</v>
      </c>
      <c r="BM282" t="s">
        <v>48</v>
      </c>
      <c r="BN282" t="s">
        <v>48</v>
      </c>
      <c r="BO282" t="s">
        <v>48</v>
      </c>
      <c r="BP282" t="s">
        <v>48</v>
      </c>
      <c r="BQ282" t="s">
        <v>48</v>
      </c>
      <c r="BS282" t="s">
        <v>48</v>
      </c>
      <c r="BT282" t="s">
        <v>48</v>
      </c>
      <c r="BU282" t="s">
        <v>48</v>
      </c>
      <c r="BW282" t="s">
        <v>48</v>
      </c>
      <c r="BX282" t="s">
        <v>48</v>
      </c>
      <c r="BY282" t="s">
        <v>48</v>
      </c>
      <c r="BZ282" t="s">
        <v>48</v>
      </c>
      <c r="CA282" t="s">
        <v>48</v>
      </c>
      <c r="CB282" t="s">
        <v>48</v>
      </c>
      <c r="CC282" t="s">
        <v>48</v>
      </c>
      <c r="CD282" t="s">
        <v>48</v>
      </c>
      <c r="CE282" t="s">
        <v>48</v>
      </c>
      <c r="CF282" t="s">
        <v>48</v>
      </c>
      <c r="CG282" t="s">
        <v>48</v>
      </c>
      <c r="CH282" t="s">
        <v>48</v>
      </c>
      <c r="CI282" t="s">
        <v>48</v>
      </c>
      <c r="CJ282" t="s">
        <v>48</v>
      </c>
    </row>
    <row r="283" spans="1:88" x14ac:dyDescent="0.25">
      <c r="A283" s="4" t="s">
        <v>2152</v>
      </c>
      <c r="B283" s="4" t="s">
        <v>1207</v>
      </c>
      <c r="C283" s="4" t="s">
        <v>1770</v>
      </c>
      <c r="D283" s="4" t="str">
        <f>cna_product_database_catalog_website[[#This Row],[MainCategory]]&amp;"&gt;"&amp;cna_product_database_catalog_website[[#This Row],[SubCategory1]]&amp;"&gt;"&amp;cna_product_database_catalog_website[[#This Row],[SubCategory2]]</f>
        <v>Halogen&gt;JCD Type (120V/130V)&gt;G8 50W</v>
      </c>
      <c r="E283">
        <v>2925</v>
      </c>
      <c r="F283" t="s">
        <v>848</v>
      </c>
      <c r="G283" s="3">
        <v>195</v>
      </c>
      <c r="H283" s="8">
        <v>1.8</v>
      </c>
      <c r="I283" t="s">
        <v>848</v>
      </c>
      <c r="J283" t="s">
        <v>848</v>
      </c>
      <c r="K283" t="s">
        <v>1926</v>
      </c>
      <c r="L283" t="s">
        <v>46</v>
      </c>
      <c r="M283" s="12"/>
      <c r="N283" t="s">
        <v>47</v>
      </c>
      <c r="O283" s="3">
        <v>1</v>
      </c>
      <c r="P283" s="3">
        <v>1</v>
      </c>
      <c r="Q283" t="s">
        <v>768</v>
      </c>
      <c r="R283" t="s">
        <v>53</v>
      </c>
      <c r="S283" t="s">
        <v>48</v>
      </c>
      <c r="T283" t="s">
        <v>48</v>
      </c>
      <c r="U283" t="s">
        <v>48</v>
      </c>
      <c r="V283" t="s">
        <v>48</v>
      </c>
      <c r="W283" t="s">
        <v>847</v>
      </c>
      <c r="X283" t="s">
        <v>760</v>
      </c>
      <c r="Y283" s="3" t="s">
        <v>48</v>
      </c>
      <c r="Z283" s="3" t="s">
        <v>48</v>
      </c>
      <c r="AA283" s="3" t="s">
        <v>48</v>
      </c>
      <c r="AB283" s="1" t="s">
        <v>48</v>
      </c>
      <c r="AC283" s="1" t="s">
        <v>48</v>
      </c>
      <c r="AD283" t="s">
        <v>48</v>
      </c>
      <c r="AE283"/>
      <c r="AF283" t="s">
        <v>48</v>
      </c>
      <c r="AG283" t="s">
        <v>48</v>
      </c>
      <c r="AH283" t="s">
        <v>48</v>
      </c>
      <c r="AI283" t="s">
        <v>48</v>
      </c>
      <c r="AL283" t="s">
        <v>48</v>
      </c>
      <c r="AO283" t="s">
        <v>48</v>
      </c>
      <c r="AP283" t="s">
        <v>48</v>
      </c>
      <c r="AQ283" t="s">
        <v>48</v>
      </c>
      <c r="AV283" t="s">
        <v>48</v>
      </c>
      <c r="AW283" t="s">
        <v>48</v>
      </c>
      <c r="AX283" s="2" t="s">
        <v>229</v>
      </c>
      <c r="AY283" s="2" t="s">
        <v>63</v>
      </c>
      <c r="BC283">
        <f>SUM(cna_product_database_catalog_website[[#This Row],[Box Length (cm)]]*cna_product_database_catalog_website[[#This Row],[Box Width (cm)]]*cna_product_database_catalog_website[[#This Row],[Box Height (cm)]]/1000000)</f>
        <v>0</v>
      </c>
      <c r="BD283">
        <f>SUM(cna_product_database_catalog_website[[#This Row],[Box CBM]]*35.3147)</f>
        <v>0</v>
      </c>
      <c r="BE283" t="s">
        <v>48</v>
      </c>
      <c r="BI28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3">
        <f>SUM(cna_product_database_catalog_website[[#This Row],[Carton CFT]]/61024)</f>
        <v>0</v>
      </c>
      <c r="BM283" t="s">
        <v>48</v>
      </c>
      <c r="BN283" t="s">
        <v>48</v>
      </c>
      <c r="BO283" t="s">
        <v>48</v>
      </c>
      <c r="BP283" t="s">
        <v>48</v>
      </c>
      <c r="BQ283" t="s">
        <v>48</v>
      </c>
      <c r="BS283" t="s">
        <v>48</v>
      </c>
      <c r="BT283" t="s">
        <v>48</v>
      </c>
      <c r="BU283" t="s">
        <v>48</v>
      </c>
      <c r="BW283" t="s">
        <v>48</v>
      </c>
      <c r="BX283" t="s">
        <v>48</v>
      </c>
      <c r="BY283" t="s">
        <v>48</v>
      </c>
      <c r="BZ283" t="s">
        <v>48</v>
      </c>
      <c r="CA283" t="s">
        <v>48</v>
      </c>
      <c r="CB283" t="s">
        <v>48</v>
      </c>
      <c r="CC283" t="s">
        <v>48</v>
      </c>
      <c r="CD283" t="s">
        <v>48</v>
      </c>
      <c r="CE283" t="s">
        <v>48</v>
      </c>
      <c r="CF283" t="s">
        <v>48</v>
      </c>
      <c r="CG283" t="s">
        <v>48</v>
      </c>
      <c r="CH283" t="s">
        <v>48</v>
      </c>
      <c r="CI283" t="s">
        <v>48</v>
      </c>
      <c r="CJ283" t="s">
        <v>48</v>
      </c>
    </row>
    <row r="284" spans="1:88" x14ac:dyDescent="0.25">
      <c r="A284" s="4" t="s">
        <v>2152</v>
      </c>
      <c r="B284" s="4" t="s">
        <v>1207</v>
      </c>
      <c r="C284" s="4" t="s">
        <v>1771</v>
      </c>
      <c r="D284" s="4" t="str">
        <f>cna_product_database_catalog_website[[#This Row],[MainCategory]]&amp;"&gt;"&amp;cna_product_database_catalog_website[[#This Row],[SubCategory1]]&amp;"&gt;"&amp;cna_product_database_catalog_website[[#This Row],[SubCategory2]]</f>
        <v>Halogen&gt;JCD Type (120V/130V)&gt;G6.35 35W</v>
      </c>
      <c r="E284">
        <v>2930</v>
      </c>
      <c r="F284" t="s">
        <v>849</v>
      </c>
      <c r="G284" s="3">
        <v>35</v>
      </c>
      <c r="H284" s="8">
        <v>1.8</v>
      </c>
      <c r="I284" t="s">
        <v>849</v>
      </c>
      <c r="J284" t="s">
        <v>849</v>
      </c>
      <c r="K284" t="s">
        <v>850</v>
      </c>
      <c r="L284" t="s">
        <v>46</v>
      </c>
      <c r="M284" s="12"/>
      <c r="N284" t="s">
        <v>47</v>
      </c>
      <c r="O284" s="3">
        <v>1</v>
      </c>
      <c r="P284" s="3">
        <v>1</v>
      </c>
      <c r="Q284" t="s">
        <v>779</v>
      </c>
      <c r="R284" t="s">
        <v>53</v>
      </c>
      <c r="S284" t="s">
        <v>48</v>
      </c>
      <c r="T284" t="s">
        <v>48</v>
      </c>
      <c r="U284" t="s">
        <v>48</v>
      </c>
      <c r="V284" t="s">
        <v>48</v>
      </c>
      <c r="W284" t="s">
        <v>810</v>
      </c>
      <c r="X284" t="s">
        <v>760</v>
      </c>
      <c r="Y284" s="3" t="s">
        <v>48</v>
      </c>
      <c r="Z284" s="3" t="s">
        <v>48</v>
      </c>
      <c r="AA284" s="3" t="s">
        <v>48</v>
      </c>
      <c r="AB284" s="1" t="s">
        <v>48</v>
      </c>
      <c r="AC284" s="1" t="s">
        <v>48</v>
      </c>
      <c r="AD284" t="s">
        <v>48</v>
      </c>
      <c r="AE284"/>
      <c r="AF284" t="s">
        <v>48</v>
      </c>
      <c r="AG284" t="s">
        <v>48</v>
      </c>
      <c r="AH284" t="s">
        <v>48</v>
      </c>
      <c r="AI284" t="s">
        <v>48</v>
      </c>
      <c r="AL284" t="s">
        <v>48</v>
      </c>
      <c r="AO284" t="s">
        <v>48</v>
      </c>
      <c r="AP284" t="s">
        <v>48</v>
      </c>
      <c r="AQ284" t="s">
        <v>48</v>
      </c>
      <c r="AV284" t="s">
        <v>48</v>
      </c>
      <c r="AW284" t="s">
        <v>48</v>
      </c>
      <c r="AX284" s="2" t="s">
        <v>229</v>
      </c>
      <c r="AY284" s="2" t="s">
        <v>63</v>
      </c>
      <c r="BC284">
        <f>SUM(cna_product_database_catalog_website[[#This Row],[Box Length (cm)]]*cna_product_database_catalog_website[[#This Row],[Box Width (cm)]]*cna_product_database_catalog_website[[#This Row],[Box Height (cm)]]/1000000)</f>
        <v>0</v>
      </c>
      <c r="BD284">
        <f>SUM(cna_product_database_catalog_website[[#This Row],[Box CBM]]*35.3147)</f>
        <v>0</v>
      </c>
      <c r="BE284" t="s">
        <v>48</v>
      </c>
      <c r="BI28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4">
        <f>SUM(cna_product_database_catalog_website[[#This Row],[Carton CFT]]/61024)</f>
        <v>0</v>
      </c>
      <c r="BM284" t="s">
        <v>48</v>
      </c>
      <c r="BN284" t="s">
        <v>48</v>
      </c>
      <c r="BO284" t="s">
        <v>48</v>
      </c>
      <c r="BP284" t="s">
        <v>48</v>
      </c>
      <c r="BQ284" t="s">
        <v>48</v>
      </c>
      <c r="BS284" t="s">
        <v>48</v>
      </c>
      <c r="BT284" t="s">
        <v>48</v>
      </c>
      <c r="BU284" t="s">
        <v>48</v>
      </c>
      <c r="BW284" t="s">
        <v>48</v>
      </c>
      <c r="BX284" t="s">
        <v>48</v>
      </c>
      <c r="BY284" t="s">
        <v>48</v>
      </c>
      <c r="BZ284" t="s">
        <v>48</v>
      </c>
      <c r="CA284" t="s">
        <v>48</v>
      </c>
      <c r="CB284" t="s">
        <v>48</v>
      </c>
      <c r="CC284" t="s">
        <v>48</v>
      </c>
      <c r="CD284" t="s">
        <v>48</v>
      </c>
      <c r="CE284" t="s">
        <v>48</v>
      </c>
      <c r="CF284" t="s">
        <v>48</v>
      </c>
      <c r="CG284" t="s">
        <v>48</v>
      </c>
      <c r="CH284" t="s">
        <v>48</v>
      </c>
      <c r="CI284" t="s">
        <v>48</v>
      </c>
      <c r="CJ284" t="s">
        <v>48</v>
      </c>
    </row>
    <row r="285" spans="1:88" x14ac:dyDescent="0.25">
      <c r="A285" s="4" t="s">
        <v>2152</v>
      </c>
      <c r="B285" s="4" t="s">
        <v>1207</v>
      </c>
      <c r="C285" s="4" t="s">
        <v>1772</v>
      </c>
      <c r="D285" s="4" t="str">
        <f>cna_product_database_catalog_website[[#This Row],[MainCategory]]&amp;"&gt;"&amp;cna_product_database_catalog_website[[#This Row],[SubCategory1]]&amp;"&gt;"&amp;cna_product_database_catalog_website[[#This Row],[SubCategory2]]</f>
        <v>Halogen&gt;JCD Type (120V/130V)&gt;G6.35 50W</v>
      </c>
      <c r="E285">
        <v>2935</v>
      </c>
      <c r="F285" t="s">
        <v>851</v>
      </c>
      <c r="G285" s="3">
        <v>103</v>
      </c>
      <c r="H285" s="8">
        <v>1.8</v>
      </c>
      <c r="I285" t="s">
        <v>851</v>
      </c>
      <c r="J285" t="s">
        <v>851</v>
      </c>
      <c r="K285" t="s">
        <v>850</v>
      </c>
      <c r="L285" t="s">
        <v>46</v>
      </c>
      <c r="M285" s="12"/>
      <c r="N285" t="s">
        <v>47</v>
      </c>
      <c r="O285" s="3">
        <v>1</v>
      </c>
      <c r="P285" s="3">
        <v>1</v>
      </c>
      <c r="Q285" t="s">
        <v>768</v>
      </c>
      <c r="R285" t="s">
        <v>53</v>
      </c>
      <c r="S285" t="s">
        <v>48</v>
      </c>
      <c r="T285" t="s">
        <v>48</v>
      </c>
      <c r="U285" t="s">
        <v>48</v>
      </c>
      <c r="V285" t="s">
        <v>48</v>
      </c>
      <c r="W285" t="s">
        <v>852</v>
      </c>
      <c r="X285" t="s">
        <v>760</v>
      </c>
      <c r="Y285" s="3" t="s">
        <v>48</v>
      </c>
      <c r="Z285" s="3" t="s">
        <v>48</v>
      </c>
      <c r="AA285" s="3" t="s">
        <v>48</v>
      </c>
      <c r="AB285" s="1" t="s">
        <v>48</v>
      </c>
      <c r="AC285" s="1" t="s">
        <v>48</v>
      </c>
      <c r="AD285" t="s">
        <v>48</v>
      </c>
      <c r="AE285"/>
      <c r="AF285" t="s">
        <v>48</v>
      </c>
      <c r="AG285" t="s">
        <v>48</v>
      </c>
      <c r="AH285" t="s">
        <v>48</v>
      </c>
      <c r="AI285" t="s">
        <v>48</v>
      </c>
      <c r="AL285" t="s">
        <v>48</v>
      </c>
      <c r="AO285" t="s">
        <v>48</v>
      </c>
      <c r="AP285" t="s">
        <v>48</v>
      </c>
      <c r="AQ285" t="s">
        <v>48</v>
      </c>
      <c r="AV285" t="s">
        <v>48</v>
      </c>
      <c r="AW285" t="s">
        <v>48</v>
      </c>
      <c r="AX285" s="2" t="s">
        <v>229</v>
      </c>
      <c r="AY285" s="2" t="s">
        <v>63</v>
      </c>
      <c r="BC285">
        <f>SUM(cna_product_database_catalog_website[[#This Row],[Box Length (cm)]]*cna_product_database_catalog_website[[#This Row],[Box Width (cm)]]*cna_product_database_catalog_website[[#This Row],[Box Height (cm)]]/1000000)</f>
        <v>0</v>
      </c>
      <c r="BD285">
        <f>SUM(cna_product_database_catalog_website[[#This Row],[Box CBM]]*35.3147)</f>
        <v>0</v>
      </c>
      <c r="BE285" t="s">
        <v>48</v>
      </c>
      <c r="BI28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5">
        <f>SUM(cna_product_database_catalog_website[[#This Row],[Carton CFT]]/61024)</f>
        <v>0</v>
      </c>
      <c r="BM285" t="s">
        <v>48</v>
      </c>
      <c r="BN285" t="s">
        <v>48</v>
      </c>
      <c r="BO285" t="s">
        <v>48</v>
      </c>
      <c r="BP285" t="s">
        <v>48</v>
      </c>
      <c r="BQ285" t="s">
        <v>48</v>
      </c>
      <c r="BS285" t="s">
        <v>48</v>
      </c>
      <c r="BT285" t="s">
        <v>48</v>
      </c>
      <c r="BU285" t="s">
        <v>48</v>
      </c>
      <c r="BW285" t="s">
        <v>48</v>
      </c>
      <c r="BX285" t="s">
        <v>48</v>
      </c>
      <c r="BY285" t="s">
        <v>48</v>
      </c>
      <c r="BZ285" t="s">
        <v>48</v>
      </c>
      <c r="CA285" t="s">
        <v>48</v>
      </c>
      <c r="CB285" t="s">
        <v>48</v>
      </c>
      <c r="CC285" t="s">
        <v>48</v>
      </c>
      <c r="CD285" t="s">
        <v>48</v>
      </c>
      <c r="CE285" t="s">
        <v>48</v>
      </c>
      <c r="CF285" t="s">
        <v>48</v>
      </c>
      <c r="CG285" t="s">
        <v>48</v>
      </c>
      <c r="CH285" t="s">
        <v>48</v>
      </c>
      <c r="CI285" t="s">
        <v>48</v>
      </c>
      <c r="CJ285" t="s">
        <v>48</v>
      </c>
    </row>
    <row r="286" spans="1:88" x14ac:dyDescent="0.25">
      <c r="A286" s="4" t="s">
        <v>2152</v>
      </c>
      <c r="B286" s="4" t="s">
        <v>1207</v>
      </c>
      <c r="C286" s="4" t="s">
        <v>1773</v>
      </c>
      <c r="D286" s="4" t="str">
        <f>cna_product_database_catalog_website[[#This Row],[MainCategory]]&amp;"&gt;"&amp;cna_product_database_catalog_website[[#This Row],[SubCategory1]]&amp;"&gt;"&amp;cna_product_database_catalog_website[[#This Row],[SubCategory2]]</f>
        <v>Halogen&gt;JCD Type (120V/130V)&gt;G6.35 75W</v>
      </c>
      <c r="E286">
        <v>2940</v>
      </c>
      <c r="F286" t="s">
        <v>853</v>
      </c>
      <c r="G286" s="3">
        <v>212</v>
      </c>
      <c r="H286" s="8">
        <v>1.8</v>
      </c>
      <c r="I286" t="s">
        <v>853</v>
      </c>
      <c r="J286" t="s">
        <v>853</v>
      </c>
      <c r="K286" t="s">
        <v>850</v>
      </c>
      <c r="L286" t="s">
        <v>46</v>
      </c>
      <c r="M286" s="12"/>
      <c r="N286" t="s">
        <v>47</v>
      </c>
      <c r="O286" s="3">
        <v>1</v>
      </c>
      <c r="P286" s="3">
        <v>1</v>
      </c>
      <c r="Q286" t="s">
        <v>758</v>
      </c>
      <c r="R286" t="s">
        <v>53</v>
      </c>
      <c r="S286" t="s">
        <v>48</v>
      </c>
      <c r="T286" t="s">
        <v>48</v>
      </c>
      <c r="U286" t="s">
        <v>48</v>
      </c>
      <c r="V286" t="s">
        <v>48</v>
      </c>
      <c r="W286" t="s">
        <v>810</v>
      </c>
      <c r="X286" t="s">
        <v>760</v>
      </c>
      <c r="Y286" s="3" t="s">
        <v>48</v>
      </c>
      <c r="Z286" s="3" t="s">
        <v>48</v>
      </c>
      <c r="AA286" s="3" t="s">
        <v>48</v>
      </c>
      <c r="AB286" s="1" t="s">
        <v>48</v>
      </c>
      <c r="AC286" s="1" t="s">
        <v>48</v>
      </c>
      <c r="AD286" t="s">
        <v>48</v>
      </c>
      <c r="AE286"/>
      <c r="AF286" t="s">
        <v>48</v>
      </c>
      <c r="AG286" t="s">
        <v>48</v>
      </c>
      <c r="AH286" t="s">
        <v>48</v>
      </c>
      <c r="AI286" t="s">
        <v>48</v>
      </c>
      <c r="AL286" t="s">
        <v>48</v>
      </c>
      <c r="AO286" t="s">
        <v>48</v>
      </c>
      <c r="AP286" t="s">
        <v>48</v>
      </c>
      <c r="AQ286" t="s">
        <v>48</v>
      </c>
      <c r="AV286" t="s">
        <v>48</v>
      </c>
      <c r="AW286" t="s">
        <v>48</v>
      </c>
      <c r="AX286" s="2" t="s">
        <v>229</v>
      </c>
      <c r="AY286" s="2" t="s">
        <v>63</v>
      </c>
      <c r="BC286">
        <f>SUM(cna_product_database_catalog_website[[#This Row],[Box Length (cm)]]*cna_product_database_catalog_website[[#This Row],[Box Width (cm)]]*cna_product_database_catalog_website[[#This Row],[Box Height (cm)]]/1000000)</f>
        <v>0</v>
      </c>
      <c r="BD286">
        <f>SUM(cna_product_database_catalog_website[[#This Row],[Box CBM]]*35.3147)</f>
        <v>0</v>
      </c>
      <c r="BE286" t="s">
        <v>48</v>
      </c>
      <c r="BI28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6">
        <f>SUM(cna_product_database_catalog_website[[#This Row],[Carton CFT]]/61024)</f>
        <v>0</v>
      </c>
      <c r="BM286" t="s">
        <v>48</v>
      </c>
      <c r="BN286" t="s">
        <v>48</v>
      </c>
      <c r="BO286" t="s">
        <v>48</v>
      </c>
      <c r="BP286" t="s">
        <v>48</v>
      </c>
      <c r="BQ286" t="s">
        <v>48</v>
      </c>
      <c r="BS286" t="s">
        <v>48</v>
      </c>
      <c r="BT286" t="s">
        <v>48</v>
      </c>
      <c r="BU286" t="s">
        <v>48</v>
      </c>
      <c r="BW286" t="s">
        <v>48</v>
      </c>
      <c r="BX286" t="s">
        <v>48</v>
      </c>
      <c r="BY286" t="s">
        <v>48</v>
      </c>
      <c r="BZ286" t="s">
        <v>48</v>
      </c>
      <c r="CA286" t="s">
        <v>48</v>
      </c>
      <c r="CB286" t="s">
        <v>48</v>
      </c>
      <c r="CC286" t="s">
        <v>48</v>
      </c>
      <c r="CD286" t="s">
        <v>48</v>
      </c>
      <c r="CE286" t="s">
        <v>48</v>
      </c>
      <c r="CF286" t="s">
        <v>48</v>
      </c>
      <c r="CG286" t="s">
        <v>48</v>
      </c>
      <c r="CH286" t="s">
        <v>48</v>
      </c>
      <c r="CI286" t="s">
        <v>48</v>
      </c>
      <c r="CJ286" t="s">
        <v>48</v>
      </c>
    </row>
    <row r="287" spans="1:88" x14ac:dyDescent="0.25">
      <c r="A287" s="4" t="s">
        <v>2152</v>
      </c>
      <c r="B287" s="4" t="s">
        <v>1207</v>
      </c>
      <c r="C287" s="4" t="s">
        <v>1774</v>
      </c>
      <c r="D287" s="4" t="str">
        <f>cna_product_database_catalog_website[[#This Row],[MainCategory]]&amp;"&gt;"&amp;cna_product_database_catalog_website[[#This Row],[SubCategory1]]&amp;"&gt;"&amp;cna_product_database_catalog_website[[#This Row],[SubCategory2]]</f>
        <v>Halogen&gt;JCD Type (120V/130V)&gt;G6.35 100W</v>
      </c>
      <c r="E287">
        <v>2945</v>
      </c>
      <c r="F287" t="s">
        <v>854</v>
      </c>
      <c r="G287" s="3">
        <v>141</v>
      </c>
      <c r="H287" s="8">
        <v>1.8</v>
      </c>
      <c r="I287" t="s">
        <v>854</v>
      </c>
      <c r="J287" t="s">
        <v>854</v>
      </c>
      <c r="K287" t="s">
        <v>850</v>
      </c>
      <c r="L287" t="s">
        <v>46</v>
      </c>
      <c r="M287" s="12"/>
      <c r="N287" t="s">
        <v>47</v>
      </c>
      <c r="O287" s="3">
        <v>1</v>
      </c>
      <c r="P287" s="3">
        <v>1</v>
      </c>
      <c r="Q287" t="s">
        <v>762</v>
      </c>
      <c r="R287" t="s">
        <v>53</v>
      </c>
      <c r="S287" t="s">
        <v>48</v>
      </c>
      <c r="T287" t="s">
        <v>48</v>
      </c>
      <c r="U287" t="s">
        <v>48</v>
      </c>
      <c r="V287" t="s">
        <v>48</v>
      </c>
      <c r="W287" t="s">
        <v>810</v>
      </c>
      <c r="X287" t="s">
        <v>760</v>
      </c>
      <c r="Y287" s="3" t="s">
        <v>48</v>
      </c>
      <c r="Z287" s="3" t="s">
        <v>48</v>
      </c>
      <c r="AA287" s="3" t="s">
        <v>48</v>
      </c>
      <c r="AB287" s="1" t="s">
        <v>48</v>
      </c>
      <c r="AC287" s="1" t="s">
        <v>48</v>
      </c>
      <c r="AD287" t="s">
        <v>48</v>
      </c>
      <c r="AE287"/>
      <c r="AF287" t="s">
        <v>48</v>
      </c>
      <c r="AG287" t="s">
        <v>48</v>
      </c>
      <c r="AH287" t="s">
        <v>48</v>
      </c>
      <c r="AI287" t="s">
        <v>48</v>
      </c>
      <c r="AL287" t="s">
        <v>48</v>
      </c>
      <c r="AO287" t="s">
        <v>48</v>
      </c>
      <c r="AP287" t="s">
        <v>48</v>
      </c>
      <c r="AQ287" t="s">
        <v>48</v>
      </c>
      <c r="AV287" t="s">
        <v>48</v>
      </c>
      <c r="AW287" t="s">
        <v>48</v>
      </c>
      <c r="AX287" s="2" t="s">
        <v>229</v>
      </c>
      <c r="AY287" s="2" t="s">
        <v>63</v>
      </c>
      <c r="BC287">
        <f>SUM(cna_product_database_catalog_website[[#This Row],[Box Length (cm)]]*cna_product_database_catalog_website[[#This Row],[Box Width (cm)]]*cna_product_database_catalog_website[[#This Row],[Box Height (cm)]]/1000000)</f>
        <v>0</v>
      </c>
      <c r="BD287">
        <f>SUM(cna_product_database_catalog_website[[#This Row],[Box CBM]]*35.3147)</f>
        <v>0</v>
      </c>
      <c r="BE287" t="s">
        <v>48</v>
      </c>
      <c r="BI28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7">
        <f>SUM(cna_product_database_catalog_website[[#This Row],[Carton CFT]]/61024)</f>
        <v>0</v>
      </c>
      <c r="BM287" t="s">
        <v>48</v>
      </c>
      <c r="BN287" t="s">
        <v>48</v>
      </c>
      <c r="BO287" t="s">
        <v>48</v>
      </c>
      <c r="BP287" t="s">
        <v>48</v>
      </c>
      <c r="BQ287" t="s">
        <v>48</v>
      </c>
      <c r="BS287" t="s">
        <v>48</v>
      </c>
      <c r="BT287" t="s">
        <v>48</v>
      </c>
      <c r="BU287" t="s">
        <v>48</v>
      </c>
      <c r="BW287" t="s">
        <v>48</v>
      </c>
      <c r="BX287" t="s">
        <v>48</v>
      </c>
      <c r="BY287" t="s">
        <v>48</v>
      </c>
      <c r="BZ287" t="s">
        <v>48</v>
      </c>
      <c r="CA287" t="s">
        <v>48</v>
      </c>
      <c r="CB287" t="s">
        <v>48</v>
      </c>
      <c r="CC287" t="s">
        <v>48</v>
      </c>
      <c r="CD287" t="s">
        <v>48</v>
      </c>
      <c r="CE287" t="s">
        <v>48</v>
      </c>
      <c r="CF287" t="s">
        <v>48</v>
      </c>
      <c r="CG287" t="s">
        <v>48</v>
      </c>
      <c r="CH287" t="s">
        <v>48</v>
      </c>
      <c r="CI287" t="s">
        <v>48</v>
      </c>
      <c r="CJ287" t="s">
        <v>48</v>
      </c>
    </row>
    <row r="288" spans="1:88" x14ac:dyDescent="0.25">
      <c r="A288" s="4" t="s">
        <v>2152</v>
      </c>
      <c r="B288" s="4" t="s">
        <v>1406</v>
      </c>
      <c r="C288" s="4" t="s">
        <v>1775</v>
      </c>
      <c r="D288" s="4" t="str">
        <f>cna_product_database_catalog_website[[#This Row],[MainCategory]]&amp;"&gt;"&amp;cna_product_database_catalog_website[[#This Row],[SubCategory1]]&amp;"&gt;"&amp;cna_product_database_catalog_website[[#This Row],[SubCategory2]]</f>
        <v>Halogen&gt;JD Type&gt;E11 Minican 75W</v>
      </c>
      <c r="E288">
        <v>3000</v>
      </c>
      <c r="F288" t="s">
        <v>772</v>
      </c>
      <c r="G288" s="3">
        <v>89</v>
      </c>
      <c r="H288" s="8">
        <v>2.75</v>
      </c>
      <c r="I288" t="s">
        <v>772</v>
      </c>
      <c r="J288" t="s">
        <v>772</v>
      </c>
      <c r="K288" t="s">
        <v>855</v>
      </c>
      <c r="L288" t="s">
        <v>46</v>
      </c>
      <c r="M288" s="12"/>
      <c r="N288" t="s">
        <v>47</v>
      </c>
      <c r="O288" s="3">
        <v>1</v>
      </c>
      <c r="P288" s="3">
        <v>1</v>
      </c>
      <c r="Q288" t="s">
        <v>758</v>
      </c>
      <c r="R288" t="s">
        <v>53</v>
      </c>
      <c r="S288" t="s">
        <v>48</v>
      </c>
      <c r="T288" t="s">
        <v>48</v>
      </c>
      <c r="U288" t="s">
        <v>48</v>
      </c>
      <c r="V288" t="s">
        <v>48</v>
      </c>
      <c r="W288" t="s">
        <v>771</v>
      </c>
      <c r="X288" t="s">
        <v>760</v>
      </c>
      <c r="Y288" s="3" t="s">
        <v>48</v>
      </c>
      <c r="Z288" s="3" t="s">
        <v>48</v>
      </c>
      <c r="AA288" s="3" t="s">
        <v>48</v>
      </c>
      <c r="AB288" s="1" t="s">
        <v>48</v>
      </c>
      <c r="AC288" s="1" t="s">
        <v>48</v>
      </c>
      <c r="AD288" t="s">
        <v>48</v>
      </c>
      <c r="AE288"/>
      <c r="AF288" t="s">
        <v>48</v>
      </c>
      <c r="AG288" t="s">
        <v>48</v>
      </c>
      <c r="AH288" t="s">
        <v>48</v>
      </c>
      <c r="AI288" t="s">
        <v>48</v>
      </c>
      <c r="AL288" t="s">
        <v>48</v>
      </c>
      <c r="AO288" t="s">
        <v>48</v>
      </c>
      <c r="AP288" t="s">
        <v>48</v>
      </c>
      <c r="AQ288" t="s">
        <v>48</v>
      </c>
      <c r="AV288" t="s">
        <v>48</v>
      </c>
      <c r="AW288" t="s">
        <v>48</v>
      </c>
      <c r="AX288" s="2" t="s">
        <v>169</v>
      </c>
      <c r="AY288" s="2" t="s">
        <v>169</v>
      </c>
      <c r="BC288">
        <f>SUM(cna_product_database_catalog_website[[#This Row],[Box Length (cm)]]*cna_product_database_catalog_website[[#This Row],[Box Width (cm)]]*cna_product_database_catalog_website[[#This Row],[Box Height (cm)]]/1000000)</f>
        <v>0</v>
      </c>
      <c r="BD288">
        <f>SUM(cna_product_database_catalog_website[[#This Row],[Box CBM]]*35.3147)</f>
        <v>0</v>
      </c>
      <c r="BE288" t="s">
        <v>48</v>
      </c>
      <c r="BI28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8">
        <f>SUM(cna_product_database_catalog_website[[#This Row],[Carton CFT]]/61024)</f>
        <v>0</v>
      </c>
      <c r="BM288" t="s">
        <v>48</v>
      </c>
      <c r="BN288" t="s">
        <v>48</v>
      </c>
      <c r="BO288" t="s">
        <v>48</v>
      </c>
      <c r="BP288" t="s">
        <v>48</v>
      </c>
      <c r="BQ288" t="s">
        <v>48</v>
      </c>
      <c r="BS288" t="s">
        <v>48</v>
      </c>
      <c r="BT288" t="s">
        <v>48</v>
      </c>
      <c r="BU288" t="s">
        <v>48</v>
      </c>
      <c r="BW288" t="s">
        <v>48</v>
      </c>
      <c r="BX288" t="s">
        <v>48</v>
      </c>
      <c r="BY288" t="s">
        <v>48</v>
      </c>
      <c r="BZ288" t="s">
        <v>48</v>
      </c>
      <c r="CA288" t="s">
        <v>48</v>
      </c>
      <c r="CB288" t="s">
        <v>48</v>
      </c>
      <c r="CC288" t="s">
        <v>48</v>
      </c>
      <c r="CD288" t="s">
        <v>48</v>
      </c>
      <c r="CE288" t="s">
        <v>48</v>
      </c>
      <c r="CF288" t="s">
        <v>48</v>
      </c>
      <c r="CG288" t="s">
        <v>48</v>
      </c>
      <c r="CH288" t="s">
        <v>48</v>
      </c>
      <c r="CI288" t="s">
        <v>48</v>
      </c>
      <c r="CJ288" t="s">
        <v>48</v>
      </c>
    </row>
    <row r="289" spans="1:88" x14ac:dyDescent="0.25">
      <c r="A289" s="4" t="s">
        <v>2152</v>
      </c>
      <c r="B289" s="4" t="s">
        <v>1406</v>
      </c>
      <c r="C289" s="4" t="s">
        <v>1776</v>
      </c>
      <c r="D289" s="4" t="str">
        <f>cna_product_database_catalog_website[[#This Row],[MainCategory]]&amp;"&gt;"&amp;cna_product_database_catalog_website[[#This Row],[SubCategory1]]&amp;"&gt;"&amp;cna_product_database_catalog_website[[#This Row],[SubCategory2]]</f>
        <v>Halogen&gt;JD Type&gt;E11 Minican 150W</v>
      </c>
      <c r="E289">
        <v>3005</v>
      </c>
      <c r="F289" t="s">
        <v>856</v>
      </c>
      <c r="G289" s="3">
        <v>50</v>
      </c>
      <c r="H289" s="8">
        <v>2.75</v>
      </c>
      <c r="I289" t="s">
        <v>856</v>
      </c>
      <c r="J289" t="s">
        <v>856</v>
      </c>
      <c r="K289" t="s">
        <v>855</v>
      </c>
      <c r="L289" t="s">
        <v>46</v>
      </c>
      <c r="M289" s="12"/>
      <c r="N289" t="s">
        <v>47</v>
      </c>
      <c r="O289" s="3">
        <v>1</v>
      </c>
      <c r="P289" s="3">
        <v>1</v>
      </c>
      <c r="Q289" t="s">
        <v>813</v>
      </c>
      <c r="R289" t="s">
        <v>53</v>
      </c>
      <c r="S289" t="s">
        <v>48</v>
      </c>
      <c r="T289" t="s">
        <v>48</v>
      </c>
      <c r="U289" t="s">
        <v>48</v>
      </c>
      <c r="V289" t="s">
        <v>48</v>
      </c>
      <c r="W289" t="s">
        <v>771</v>
      </c>
      <c r="X289" t="s">
        <v>760</v>
      </c>
      <c r="Y289" s="3" t="s">
        <v>48</v>
      </c>
      <c r="Z289" s="3" t="s">
        <v>48</v>
      </c>
      <c r="AA289" s="3" t="s">
        <v>48</v>
      </c>
      <c r="AB289" s="1" t="s">
        <v>48</v>
      </c>
      <c r="AC289" s="1" t="s">
        <v>48</v>
      </c>
      <c r="AD289" t="s">
        <v>48</v>
      </c>
      <c r="AE289"/>
      <c r="AF289" t="s">
        <v>48</v>
      </c>
      <c r="AG289" t="s">
        <v>48</v>
      </c>
      <c r="AH289" t="s">
        <v>48</v>
      </c>
      <c r="AI289" t="s">
        <v>48</v>
      </c>
      <c r="AL289" t="s">
        <v>48</v>
      </c>
      <c r="AO289" t="s">
        <v>48</v>
      </c>
      <c r="AP289" t="s">
        <v>48</v>
      </c>
      <c r="AQ289" t="s">
        <v>48</v>
      </c>
      <c r="AV289" t="s">
        <v>48</v>
      </c>
      <c r="AW289" t="s">
        <v>48</v>
      </c>
      <c r="AX289" s="2" t="s">
        <v>169</v>
      </c>
      <c r="AY289" s="2" t="s">
        <v>169</v>
      </c>
      <c r="BC289">
        <f>SUM(cna_product_database_catalog_website[[#This Row],[Box Length (cm)]]*cna_product_database_catalog_website[[#This Row],[Box Width (cm)]]*cna_product_database_catalog_website[[#This Row],[Box Height (cm)]]/1000000)</f>
        <v>0</v>
      </c>
      <c r="BD289">
        <f>SUM(cna_product_database_catalog_website[[#This Row],[Box CBM]]*35.3147)</f>
        <v>0</v>
      </c>
      <c r="BE289" t="s">
        <v>48</v>
      </c>
      <c r="BI28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9">
        <f>SUM(cna_product_database_catalog_website[[#This Row],[Carton CFT]]/61024)</f>
        <v>0</v>
      </c>
      <c r="BM289" t="s">
        <v>48</v>
      </c>
      <c r="BN289" t="s">
        <v>48</v>
      </c>
      <c r="BO289" t="s">
        <v>48</v>
      </c>
      <c r="BP289" t="s">
        <v>48</v>
      </c>
      <c r="BQ289" t="s">
        <v>48</v>
      </c>
      <c r="BS289" t="s">
        <v>48</v>
      </c>
      <c r="BT289" t="s">
        <v>48</v>
      </c>
      <c r="BU289" t="s">
        <v>48</v>
      </c>
      <c r="BW289" t="s">
        <v>48</v>
      </c>
      <c r="BX289" t="s">
        <v>48</v>
      </c>
      <c r="BY289" t="s">
        <v>48</v>
      </c>
      <c r="BZ289" t="s">
        <v>48</v>
      </c>
      <c r="CA289" t="s">
        <v>48</v>
      </c>
      <c r="CB289" t="s">
        <v>48</v>
      </c>
      <c r="CC289" t="s">
        <v>48</v>
      </c>
      <c r="CD289" t="s">
        <v>48</v>
      </c>
      <c r="CE289" t="s">
        <v>48</v>
      </c>
      <c r="CF289" t="s">
        <v>48</v>
      </c>
      <c r="CG289" t="s">
        <v>48</v>
      </c>
      <c r="CH289" t="s">
        <v>48</v>
      </c>
      <c r="CI289" t="s">
        <v>48</v>
      </c>
      <c r="CJ289" t="s">
        <v>48</v>
      </c>
    </row>
    <row r="290" spans="1:88" x14ac:dyDescent="0.25">
      <c r="A290" s="4" t="s">
        <v>2152</v>
      </c>
      <c r="B290" s="4" t="s">
        <v>1406</v>
      </c>
      <c r="C290" s="4" t="s">
        <v>1777</v>
      </c>
      <c r="D290" s="4" t="str">
        <f>cna_product_database_catalog_website[[#This Row],[MainCategory]]&amp;"&gt;"&amp;cna_product_database_catalog_website[[#This Row],[SubCategory1]]&amp;"&gt;"&amp;cna_product_database_catalog_website[[#This Row],[SubCategory2]]</f>
        <v>Halogen&gt;JD Type&gt;E11 Minican 250W</v>
      </c>
      <c r="E290">
        <v>3010</v>
      </c>
      <c r="F290" t="s">
        <v>857</v>
      </c>
      <c r="G290" s="3">
        <v>51</v>
      </c>
      <c r="H290" s="8">
        <v>2.75</v>
      </c>
      <c r="I290" t="s">
        <v>857</v>
      </c>
      <c r="J290" t="s">
        <v>857</v>
      </c>
      <c r="K290" t="s">
        <v>855</v>
      </c>
      <c r="L290" t="s">
        <v>46</v>
      </c>
      <c r="M290" s="12"/>
      <c r="N290" t="s">
        <v>47</v>
      </c>
      <c r="O290" s="3">
        <v>1</v>
      </c>
      <c r="P290" s="3">
        <v>1</v>
      </c>
      <c r="Q290" t="s">
        <v>824</v>
      </c>
      <c r="R290" t="s">
        <v>53</v>
      </c>
      <c r="S290" t="s">
        <v>48</v>
      </c>
      <c r="T290" t="s">
        <v>48</v>
      </c>
      <c r="U290" t="s">
        <v>48</v>
      </c>
      <c r="V290" t="s">
        <v>48</v>
      </c>
      <c r="W290" t="s">
        <v>771</v>
      </c>
      <c r="X290" t="s">
        <v>760</v>
      </c>
      <c r="Y290" s="3" t="s">
        <v>48</v>
      </c>
      <c r="Z290" s="3" t="s">
        <v>48</v>
      </c>
      <c r="AA290" s="3" t="s">
        <v>48</v>
      </c>
      <c r="AB290" s="1" t="s">
        <v>48</v>
      </c>
      <c r="AC290" s="1" t="s">
        <v>48</v>
      </c>
      <c r="AD290" t="s">
        <v>48</v>
      </c>
      <c r="AE290"/>
      <c r="AF290" t="s">
        <v>48</v>
      </c>
      <c r="AG290" t="s">
        <v>48</v>
      </c>
      <c r="AH290" t="s">
        <v>48</v>
      </c>
      <c r="AI290" t="s">
        <v>48</v>
      </c>
      <c r="AL290" t="s">
        <v>48</v>
      </c>
      <c r="AO290" t="s">
        <v>48</v>
      </c>
      <c r="AP290" t="s">
        <v>48</v>
      </c>
      <c r="AQ290" t="s">
        <v>48</v>
      </c>
      <c r="AV290" t="s">
        <v>48</v>
      </c>
      <c r="AW290" t="s">
        <v>48</v>
      </c>
      <c r="AX290" s="2" t="s">
        <v>169</v>
      </c>
      <c r="AY290" s="2" t="s">
        <v>169</v>
      </c>
      <c r="BC290">
        <f>SUM(cna_product_database_catalog_website[[#This Row],[Box Length (cm)]]*cna_product_database_catalog_website[[#This Row],[Box Width (cm)]]*cna_product_database_catalog_website[[#This Row],[Box Height (cm)]]/1000000)</f>
        <v>0</v>
      </c>
      <c r="BD290">
        <f>SUM(cna_product_database_catalog_website[[#This Row],[Box CBM]]*35.3147)</f>
        <v>0</v>
      </c>
      <c r="BE290" t="s">
        <v>48</v>
      </c>
      <c r="BI29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0">
        <f>SUM(cna_product_database_catalog_website[[#This Row],[Carton CFT]]/61024)</f>
        <v>0</v>
      </c>
      <c r="BM290" t="s">
        <v>48</v>
      </c>
      <c r="BN290" t="s">
        <v>48</v>
      </c>
      <c r="BO290" t="s">
        <v>48</v>
      </c>
      <c r="BP290" t="s">
        <v>48</v>
      </c>
      <c r="BQ290" t="s">
        <v>48</v>
      </c>
      <c r="BS290" t="s">
        <v>48</v>
      </c>
      <c r="BT290" t="s">
        <v>48</v>
      </c>
      <c r="BU290" t="s">
        <v>48</v>
      </c>
      <c r="BW290" t="s">
        <v>48</v>
      </c>
      <c r="BX290" t="s">
        <v>48</v>
      </c>
      <c r="BY290" t="s">
        <v>48</v>
      </c>
      <c r="BZ290" t="s">
        <v>48</v>
      </c>
      <c r="CA290" t="s">
        <v>48</v>
      </c>
      <c r="CB290" t="s">
        <v>48</v>
      </c>
      <c r="CC290" t="s">
        <v>48</v>
      </c>
      <c r="CD290" t="s">
        <v>48</v>
      </c>
      <c r="CE290" t="s">
        <v>48</v>
      </c>
      <c r="CF290" t="s">
        <v>48</v>
      </c>
      <c r="CG290" t="s">
        <v>48</v>
      </c>
      <c r="CH290" t="s">
        <v>48</v>
      </c>
      <c r="CI290" t="s">
        <v>48</v>
      </c>
      <c r="CJ290" t="s">
        <v>48</v>
      </c>
    </row>
    <row r="291" spans="1:88" x14ac:dyDescent="0.25">
      <c r="A291" s="4" t="s">
        <v>2152</v>
      </c>
      <c r="B291" s="4" t="s">
        <v>1406</v>
      </c>
      <c r="C291" s="4" t="s">
        <v>1778</v>
      </c>
      <c r="D291" s="4" t="str">
        <f>cna_product_database_catalog_website[[#This Row],[MainCategory]]&amp;"&gt;"&amp;cna_product_database_catalog_website[[#This Row],[SubCategory1]]&amp;"&gt;"&amp;cna_product_database_catalog_website[[#This Row],[SubCategory2]]</f>
        <v>Halogen&gt;JD Type&gt;50W BA15d Double Contact Bayonet</v>
      </c>
      <c r="E291">
        <v>3100</v>
      </c>
      <c r="F291" t="s">
        <v>858</v>
      </c>
      <c r="G291" s="3">
        <v>60</v>
      </c>
      <c r="H291" s="8">
        <v>2.75</v>
      </c>
      <c r="I291" t="s">
        <v>858</v>
      </c>
      <c r="J291" t="s">
        <v>858</v>
      </c>
      <c r="K291" t="s">
        <v>859</v>
      </c>
      <c r="L291" t="s">
        <v>46</v>
      </c>
      <c r="M291" s="12"/>
      <c r="N291" t="s">
        <v>47</v>
      </c>
      <c r="O291" s="3">
        <v>1</v>
      </c>
      <c r="P291" s="3">
        <v>1</v>
      </c>
      <c r="Q291" t="s">
        <v>768</v>
      </c>
      <c r="R291" t="s">
        <v>53</v>
      </c>
      <c r="S291" t="s">
        <v>48</v>
      </c>
      <c r="T291" t="s">
        <v>48</v>
      </c>
      <c r="U291" t="s">
        <v>48</v>
      </c>
      <c r="V291" t="s">
        <v>48</v>
      </c>
      <c r="W291" t="s">
        <v>860</v>
      </c>
      <c r="X291" t="s">
        <v>760</v>
      </c>
      <c r="Y291" s="3" t="s">
        <v>48</v>
      </c>
      <c r="Z291" s="3" t="s">
        <v>48</v>
      </c>
      <c r="AA291" s="3" t="s">
        <v>48</v>
      </c>
      <c r="AB291" s="1" t="s">
        <v>48</v>
      </c>
      <c r="AC291" s="1" t="s">
        <v>48</v>
      </c>
      <c r="AD291" t="s">
        <v>48</v>
      </c>
      <c r="AE291"/>
      <c r="AF291" t="s">
        <v>48</v>
      </c>
      <c r="AG291" t="s">
        <v>48</v>
      </c>
      <c r="AH291" t="s">
        <v>48</v>
      </c>
      <c r="AI291" t="s">
        <v>48</v>
      </c>
      <c r="AL291" t="s">
        <v>48</v>
      </c>
      <c r="AO291" t="s">
        <v>48</v>
      </c>
      <c r="AP291" t="s">
        <v>48</v>
      </c>
      <c r="AQ291" t="s">
        <v>48</v>
      </c>
      <c r="AV291" t="s">
        <v>48</v>
      </c>
      <c r="AW291" t="s">
        <v>48</v>
      </c>
      <c r="AX291" s="2" t="s">
        <v>169</v>
      </c>
      <c r="AY291" s="2" t="s">
        <v>169</v>
      </c>
      <c r="BC291">
        <f>SUM(cna_product_database_catalog_website[[#This Row],[Box Length (cm)]]*cna_product_database_catalog_website[[#This Row],[Box Width (cm)]]*cna_product_database_catalog_website[[#This Row],[Box Height (cm)]]/1000000)</f>
        <v>0</v>
      </c>
      <c r="BD291">
        <f>SUM(cna_product_database_catalog_website[[#This Row],[Box CBM]]*35.3147)</f>
        <v>0</v>
      </c>
      <c r="BE291" t="s">
        <v>48</v>
      </c>
      <c r="BI29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1">
        <f>SUM(cna_product_database_catalog_website[[#This Row],[Carton CFT]]/61024)</f>
        <v>0</v>
      </c>
      <c r="BM291" t="s">
        <v>48</v>
      </c>
      <c r="BN291" t="s">
        <v>48</v>
      </c>
      <c r="BO291" t="s">
        <v>48</v>
      </c>
      <c r="BP291" t="s">
        <v>48</v>
      </c>
      <c r="BQ291" t="s">
        <v>48</v>
      </c>
      <c r="BS291" t="s">
        <v>48</v>
      </c>
      <c r="BT291" t="s">
        <v>48</v>
      </c>
      <c r="BU291" t="s">
        <v>48</v>
      </c>
      <c r="BW291" t="s">
        <v>48</v>
      </c>
      <c r="BX291" t="s">
        <v>48</v>
      </c>
      <c r="BY291" t="s">
        <v>48</v>
      </c>
      <c r="BZ291" t="s">
        <v>48</v>
      </c>
      <c r="CA291" t="s">
        <v>48</v>
      </c>
      <c r="CB291" t="s">
        <v>48</v>
      </c>
      <c r="CC291" t="s">
        <v>48</v>
      </c>
      <c r="CD291" t="s">
        <v>48</v>
      </c>
      <c r="CE291" t="s">
        <v>48</v>
      </c>
      <c r="CF291" t="s">
        <v>48</v>
      </c>
      <c r="CG291" t="s">
        <v>48</v>
      </c>
      <c r="CH291" t="s">
        <v>48</v>
      </c>
      <c r="CI291" t="s">
        <v>48</v>
      </c>
      <c r="CJ291" t="s">
        <v>48</v>
      </c>
    </row>
    <row r="292" spans="1:88" x14ac:dyDescent="0.25">
      <c r="A292" s="4" t="s">
        <v>2152</v>
      </c>
      <c r="B292" s="4" t="s">
        <v>1406</v>
      </c>
      <c r="C292" s="4" t="s">
        <v>1779</v>
      </c>
      <c r="D292" s="4" t="str">
        <f>cna_product_database_catalog_website[[#This Row],[MainCategory]]&amp;"&gt;"&amp;cna_product_database_catalog_website[[#This Row],[SubCategory1]]&amp;"&gt;"&amp;cna_product_database_catalog_website[[#This Row],[SubCategory2]]</f>
        <v>Halogen&gt;JD Type&gt;75W BA15d Double Contact Bayonet</v>
      </c>
      <c r="E292">
        <v>3105</v>
      </c>
      <c r="F292" t="s">
        <v>861</v>
      </c>
      <c r="G292" s="3">
        <v>62</v>
      </c>
      <c r="H292" s="8">
        <v>2.75</v>
      </c>
      <c r="I292" t="s">
        <v>861</v>
      </c>
      <c r="J292" t="s">
        <v>861</v>
      </c>
      <c r="K292" t="s">
        <v>859</v>
      </c>
      <c r="L292" t="s">
        <v>46</v>
      </c>
      <c r="M292" s="12"/>
      <c r="N292" t="s">
        <v>47</v>
      </c>
      <c r="O292" s="3">
        <v>1</v>
      </c>
      <c r="P292" s="3">
        <v>1</v>
      </c>
      <c r="Q292" t="s">
        <v>758</v>
      </c>
      <c r="R292" t="s">
        <v>53</v>
      </c>
      <c r="S292" t="s">
        <v>48</v>
      </c>
      <c r="T292" t="s">
        <v>48</v>
      </c>
      <c r="U292" t="s">
        <v>48</v>
      </c>
      <c r="V292" t="s">
        <v>48</v>
      </c>
      <c r="W292" t="s">
        <v>860</v>
      </c>
      <c r="X292" t="s">
        <v>760</v>
      </c>
      <c r="Y292" s="3" t="s">
        <v>48</v>
      </c>
      <c r="Z292" s="3" t="s">
        <v>48</v>
      </c>
      <c r="AA292" s="3" t="s">
        <v>48</v>
      </c>
      <c r="AB292" s="1" t="s">
        <v>48</v>
      </c>
      <c r="AC292" s="1" t="s">
        <v>48</v>
      </c>
      <c r="AD292" t="s">
        <v>48</v>
      </c>
      <c r="AE292"/>
      <c r="AF292" t="s">
        <v>48</v>
      </c>
      <c r="AG292" t="s">
        <v>48</v>
      </c>
      <c r="AH292" t="s">
        <v>48</v>
      </c>
      <c r="AI292" t="s">
        <v>48</v>
      </c>
      <c r="AL292" t="s">
        <v>48</v>
      </c>
      <c r="AO292" t="s">
        <v>48</v>
      </c>
      <c r="AP292" t="s">
        <v>48</v>
      </c>
      <c r="AQ292" t="s">
        <v>48</v>
      </c>
      <c r="AV292" t="s">
        <v>48</v>
      </c>
      <c r="AW292" t="s">
        <v>48</v>
      </c>
      <c r="AX292" s="2" t="s">
        <v>169</v>
      </c>
      <c r="AY292" s="2" t="s">
        <v>169</v>
      </c>
      <c r="BC292">
        <f>SUM(cna_product_database_catalog_website[[#This Row],[Box Length (cm)]]*cna_product_database_catalog_website[[#This Row],[Box Width (cm)]]*cna_product_database_catalog_website[[#This Row],[Box Height (cm)]]/1000000)</f>
        <v>0</v>
      </c>
      <c r="BD292">
        <f>SUM(cna_product_database_catalog_website[[#This Row],[Box CBM]]*35.3147)</f>
        <v>0</v>
      </c>
      <c r="BE292" t="s">
        <v>48</v>
      </c>
      <c r="BI29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2">
        <f>SUM(cna_product_database_catalog_website[[#This Row],[Carton CFT]]/61024)</f>
        <v>0</v>
      </c>
      <c r="BM292" t="s">
        <v>48</v>
      </c>
      <c r="BN292" t="s">
        <v>48</v>
      </c>
      <c r="BO292" t="s">
        <v>48</v>
      </c>
      <c r="BP292" t="s">
        <v>48</v>
      </c>
      <c r="BQ292" t="s">
        <v>48</v>
      </c>
      <c r="BS292" t="s">
        <v>48</v>
      </c>
      <c r="BT292" t="s">
        <v>48</v>
      </c>
      <c r="BU292" t="s">
        <v>48</v>
      </c>
      <c r="BW292" t="s">
        <v>48</v>
      </c>
      <c r="BX292" t="s">
        <v>48</v>
      </c>
      <c r="BY292" t="s">
        <v>48</v>
      </c>
      <c r="BZ292" t="s">
        <v>48</v>
      </c>
      <c r="CA292" t="s">
        <v>48</v>
      </c>
      <c r="CB292" t="s">
        <v>48</v>
      </c>
      <c r="CC292" t="s">
        <v>48</v>
      </c>
      <c r="CD292" t="s">
        <v>48</v>
      </c>
      <c r="CE292" t="s">
        <v>48</v>
      </c>
      <c r="CF292" t="s">
        <v>48</v>
      </c>
      <c r="CG292" t="s">
        <v>48</v>
      </c>
      <c r="CH292" t="s">
        <v>48</v>
      </c>
      <c r="CI292" t="s">
        <v>48</v>
      </c>
      <c r="CJ292" t="s">
        <v>48</v>
      </c>
    </row>
    <row r="293" spans="1:88" x14ac:dyDescent="0.25">
      <c r="A293" s="4" t="s">
        <v>2152</v>
      </c>
      <c r="B293" s="4" t="s">
        <v>1406</v>
      </c>
      <c r="C293" s="4" t="s">
        <v>1780</v>
      </c>
      <c r="D293" s="4" t="str">
        <f>cna_product_database_catalog_website[[#This Row],[MainCategory]]&amp;"&gt;"&amp;cna_product_database_catalog_website[[#This Row],[SubCategory1]]&amp;"&gt;"&amp;cna_product_database_catalog_website[[#This Row],[SubCategory2]]</f>
        <v>Halogen&gt;JD Type&gt;100W BA15d Double Contact Bayonet</v>
      </c>
      <c r="E293">
        <v>3110</v>
      </c>
      <c r="F293" t="s">
        <v>862</v>
      </c>
      <c r="G293" s="3">
        <v>63</v>
      </c>
      <c r="H293" s="8">
        <v>2.75</v>
      </c>
      <c r="I293" t="s">
        <v>862</v>
      </c>
      <c r="J293" t="s">
        <v>862</v>
      </c>
      <c r="K293" t="s">
        <v>859</v>
      </c>
      <c r="L293" t="s">
        <v>46</v>
      </c>
      <c r="M293" s="12"/>
      <c r="N293" t="s">
        <v>47</v>
      </c>
      <c r="O293" s="3">
        <v>1</v>
      </c>
      <c r="P293" s="3">
        <v>1</v>
      </c>
      <c r="Q293" t="s">
        <v>762</v>
      </c>
      <c r="R293" t="s">
        <v>53</v>
      </c>
      <c r="S293" t="s">
        <v>48</v>
      </c>
      <c r="T293" t="s">
        <v>48</v>
      </c>
      <c r="U293" t="s">
        <v>48</v>
      </c>
      <c r="V293" t="s">
        <v>48</v>
      </c>
      <c r="W293" t="s">
        <v>860</v>
      </c>
      <c r="X293" t="s">
        <v>760</v>
      </c>
      <c r="Y293" s="3" t="s">
        <v>48</v>
      </c>
      <c r="Z293" s="3" t="s">
        <v>48</v>
      </c>
      <c r="AA293" s="3" t="s">
        <v>48</v>
      </c>
      <c r="AB293" s="1" t="s">
        <v>48</v>
      </c>
      <c r="AC293" s="1" t="s">
        <v>48</v>
      </c>
      <c r="AD293" t="s">
        <v>48</v>
      </c>
      <c r="AE293"/>
      <c r="AF293" t="s">
        <v>48</v>
      </c>
      <c r="AG293" t="s">
        <v>48</v>
      </c>
      <c r="AH293" t="s">
        <v>48</v>
      </c>
      <c r="AI293" t="s">
        <v>48</v>
      </c>
      <c r="AL293" t="s">
        <v>48</v>
      </c>
      <c r="AO293" t="s">
        <v>48</v>
      </c>
      <c r="AP293" t="s">
        <v>48</v>
      </c>
      <c r="AQ293" t="s">
        <v>48</v>
      </c>
      <c r="AV293" t="s">
        <v>48</v>
      </c>
      <c r="AW293" t="s">
        <v>48</v>
      </c>
      <c r="AX293" s="2" t="s">
        <v>169</v>
      </c>
      <c r="AY293" s="2" t="s">
        <v>169</v>
      </c>
      <c r="BC293">
        <f>SUM(cna_product_database_catalog_website[[#This Row],[Box Length (cm)]]*cna_product_database_catalog_website[[#This Row],[Box Width (cm)]]*cna_product_database_catalog_website[[#This Row],[Box Height (cm)]]/1000000)</f>
        <v>0</v>
      </c>
      <c r="BD293">
        <f>SUM(cna_product_database_catalog_website[[#This Row],[Box CBM]]*35.3147)</f>
        <v>0</v>
      </c>
      <c r="BE293" t="s">
        <v>48</v>
      </c>
      <c r="BI29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3">
        <f>SUM(cna_product_database_catalog_website[[#This Row],[Carton CFT]]/61024)</f>
        <v>0</v>
      </c>
      <c r="BM293" t="s">
        <v>48</v>
      </c>
      <c r="BN293" t="s">
        <v>48</v>
      </c>
      <c r="BO293" t="s">
        <v>48</v>
      </c>
      <c r="BP293" t="s">
        <v>48</v>
      </c>
      <c r="BQ293" t="s">
        <v>48</v>
      </c>
      <c r="BS293" t="s">
        <v>48</v>
      </c>
      <c r="BT293" t="s">
        <v>48</v>
      </c>
      <c r="BU293" t="s">
        <v>48</v>
      </c>
      <c r="BW293" t="s">
        <v>48</v>
      </c>
      <c r="BX293" t="s">
        <v>48</v>
      </c>
      <c r="BY293" t="s">
        <v>48</v>
      </c>
      <c r="BZ293" t="s">
        <v>48</v>
      </c>
      <c r="CA293" t="s">
        <v>48</v>
      </c>
      <c r="CB293" t="s">
        <v>48</v>
      </c>
      <c r="CC293" t="s">
        <v>48</v>
      </c>
      <c r="CD293" t="s">
        <v>48</v>
      </c>
      <c r="CE293" t="s">
        <v>48</v>
      </c>
      <c r="CF293" t="s">
        <v>48</v>
      </c>
      <c r="CG293" t="s">
        <v>48</v>
      </c>
      <c r="CH293" t="s">
        <v>48</v>
      </c>
      <c r="CI293" t="s">
        <v>48</v>
      </c>
      <c r="CJ293" t="s">
        <v>48</v>
      </c>
    </row>
    <row r="294" spans="1:88" x14ac:dyDescent="0.25">
      <c r="A294" s="4" t="s">
        <v>2152</v>
      </c>
      <c r="B294" s="4" t="s">
        <v>1406</v>
      </c>
      <c r="C294" s="4" t="s">
        <v>1781</v>
      </c>
      <c r="D294" s="4" t="str">
        <f>cna_product_database_catalog_website[[#This Row],[MainCategory]]&amp;"&gt;"&amp;cna_product_database_catalog_website[[#This Row],[SubCategory1]]&amp;"&gt;"&amp;cna_product_database_catalog_website[[#This Row],[SubCategory2]]</f>
        <v>Halogen&gt;JD Type&gt;150W BA15d Double Contact Bayonet</v>
      </c>
      <c r="E294">
        <v>3115</v>
      </c>
      <c r="F294" t="s">
        <v>863</v>
      </c>
      <c r="G294" s="3">
        <v>64</v>
      </c>
      <c r="H294" s="8">
        <v>2.75</v>
      </c>
      <c r="I294" t="s">
        <v>863</v>
      </c>
      <c r="J294" t="s">
        <v>863</v>
      </c>
      <c r="K294" t="s">
        <v>859</v>
      </c>
      <c r="L294" t="s">
        <v>46</v>
      </c>
      <c r="M294" s="12"/>
      <c r="N294" t="s">
        <v>47</v>
      </c>
      <c r="O294" s="3">
        <v>1</v>
      </c>
      <c r="P294" s="3">
        <v>1</v>
      </c>
      <c r="Q294" t="s">
        <v>813</v>
      </c>
      <c r="R294" t="s">
        <v>53</v>
      </c>
      <c r="S294" t="s">
        <v>48</v>
      </c>
      <c r="T294" t="s">
        <v>48</v>
      </c>
      <c r="U294" t="s">
        <v>48</v>
      </c>
      <c r="V294" t="s">
        <v>48</v>
      </c>
      <c r="W294" t="s">
        <v>860</v>
      </c>
      <c r="X294" t="s">
        <v>760</v>
      </c>
      <c r="Y294" s="3" t="s">
        <v>48</v>
      </c>
      <c r="Z294" s="3" t="s">
        <v>48</v>
      </c>
      <c r="AA294" s="3" t="s">
        <v>48</v>
      </c>
      <c r="AB294" s="1" t="s">
        <v>48</v>
      </c>
      <c r="AC294" s="1" t="s">
        <v>48</v>
      </c>
      <c r="AD294" t="s">
        <v>48</v>
      </c>
      <c r="AE294"/>
      <c r="AF294" t="s">
        <v>48</v>
      </c>
      <c r="AG294" t="s">
        <v>48</v>
      </c>
      <c r="AH294" t="s">
        <v>48</v>
      </c>
      <c r="AI294" t="s">
        <v>48</v>
      </c>
      <c r="AL294" t="s">
        <v>48</v>
      </c>
      <c r="AO294" t="s">
        <v>48</v>
      </c>
      <c r="AP294" t="s">
        <v>48</v>
      </c>
      <c r="AQ294" t="s">
        <v>48</v>
      </c>
      <c r="AV294" t="s">
        <v>48</v>
      </c>
      <c r="AW294" t="s">
        <v>48</v>
      </c>
      <c r="AX294" s="2" t="s">
        <v>169</v>
      </c>
      <c r="AY294" s="2" t="s">
        <v>169</v>
      </c>
      <c r="BC294">
        <f>SUM(cna_product_database_catalog_website[[#This Row],[Box Length (cm)]]*cna_product_database_catalog_website[[#This Row],[Box Width (cm)]]*cna_product_database_catalog_website[[#This Row],[Box Height (cm)]]/1000000)</f>
        <v>0</v>
      </c>
      <c r="BD294">
        <f>SUM(cna_product_database_catalog_website[[#This Row],[Box CBM]]*35.3147)</f>
        <v>0</v>
      </c>
      <c r="BE294" t="s">
        <v>48</v>
      </c>
      <c r="BI29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4">
        <f>SUM(cna_product_database_catalog_website[[#This Row],[Carton CFT]]/61024)</f>
        <v>0</v>
      </c>
      <c r="BM294" t="s">
        <v>48</v>
      </c>
      <c r="BN294" t="s">
        <v>48</v>
      </c>
      <c r="BO294" t="s">
        <v>48</v>
      </c>
      <c r="BP294" t="s">
        <v>48</v>
      </c>
      <c r="BQ294" t="s">
        <v>48</v>
      </c>
      <c r="BS294" t="s">
        <v>48</v>
      </c>
      <c r="BT294" t="s">
        <v>48</v>
      </c>
      <c r="BU294" t="s">
        <v>48</v>
      </c>
      <c r="BW294" t="s">
        <v>48</v>
      </c>
      <c r="BX294" t="s">
        <v>48</v>
      </c>
      <c r="BY294" t="s">
        <v>48</v>
      </c>
      <c r="BZ294" t="s">
        <v>48</v>
      </c>
      <c r="CA294" t="s">
        <v>48</v>
      </c>
      <c r="CB294" t="s">
        <v>48</v>
      </c>
      <c r="CC294" t="s">
        <v>48</v>
      </c>
      <c r="CD294" t="s">
        <v>48</v>
      </c>
      <c r="CE294" t="s">
        <v>48</v>
      </c>
      <c r="CF294" t="s">
        <v>48</v>
      </c>
      <c r="CG294" t="s">
        <v>48</v>
      </c>
      <c r="CH294" t="s">
        <v>48</v>
      </c>
      <c r="CI294" t="s">
        <v>48</v>
      </c>
      <c r="CJ294" t="s">
        <v>48</v>
      </c>
    </row>
    <row r="295" spans="1:88" x14ac:dyDescent="0.25">
      <c r="A295" s="4" t="s">
        <v>2152</v>
      </c>
      <c r="B295" s="4" t="s">
        <v>1406</v>
      </c>
      <c r="C295" s="4" t="s">
        <v>1782</v>
      </c>
      <c r="D295" s="4" t="str">
        <f>cna_product_database_catalog_website[[#This Row],[MainCategory]]&amp;"&gt;"&amp;cna_product_database_catalog_website[[#This Row],[SubCategory1]]&amp;"&gt;"&amp;cna_product_database_catalog_website[[#This Row],[SubCategory2]]</f>
        <v>Halogen&gt;JD Type&gt;250W BA15d Double Contact Bayonet</v>
      </c>
      <c r="E295">
        <v>3120</v>
      </c>
      <c r="F295" t="s">
        <v>864</v>
      </c>
      <c r="G295" s="3">
        <v>67</v>
      </c>
      <c r="H295" s="8">
        <v>4.5</v>
      </c>
      <c r="I295" t="s">
        <v>864</v>
      </c>
      <c r="J295" t="s">
        <v>864</v>
      </c>
      <c r="K295" t="s">
        <v>859</v>
      </c>
      <c r="L295" t="s">
        <v>46</v>
      </c>
      <c r="M295" s="12"/>
      <c r="N295" t="s">
        <v>47</v>
      </c>
      <c r="O295" s="3">
        <v>1</v>
      </c>
      <c r="P295" s="3">
        <v>1</v>
      </c>
      <c r="Q295" t="s">
        <v>824</v>
      </c>
      <c r="R295" t="s">
        <v>53</v>
      </c>
      <c r="S295" t="s">
        <v>48</v>
      </c>
      <c r="T295" t="s">
        <v>48</v>
      </c>
      <c r="U295" t="s">
        <v>48</v>
      </c>
      <c r="V295" t="s">
        <v>48</v>
      </c>
      <c r="W295" t="s">
        <v>860</v>
      </c>
      <c r="X295" t="s">
        <v>760</v>
      </c>
      <c r="Y295" s="3" t="s">
        <v>48</v>
      </c>
      <c r="Z295" s="3" t="s">
        <v>48</v>
      </c>
      <c r="AA295" s="3" t="s">
        <v>48</v>
      </c>
      <c r="AB295" s="1" t="s">
        <v>48</v>
      </c>
      <c r="AC295" s="1" t="s">
        <v>48</v>
      </c>
      <c r="AD295" t="s">
        <v>48</v>
      </c>
      <c r="AE295"/>
      <c r="AF295" t="s">
        <v>48</v>
      </c>
      <c r="AG295" t="s">
        <v>48</v>
      </c>
      <c r="AH295" t="s">
        <v>48</v>
      </c>
      <c r="AI295" t="s">
        <v>48</v>
      </c>
      <c r="AL295" t="s">
        <v>48</v>
      </c>
      <c r="AO295" t="s">
        <v>48</v>
      </c>
      <c r="AP295" t="s">
        <v>48</v>
      </c>
      <c r="AQ295" t="s">
        <v>48</v>
      </c>
      <c r="AV295" t="s">
        <v>48</v>
      </c>
      <c r="AW295" t="s">
        <v>48</v>
      </c>
      <c r="AX295" s="2" t="s">
        <v>169</v>
      </c>
      <c r="AY295" s="2" t="s">
        <v>169</v>
      </c>
      <c r="BC295">
        <f>SUM(cna_product_database_catalog_website[[#This Row],[Box Length (cm)]]*cna_product_database_catalog_website[[#This Row],[Box Width (cm)]]*cna_product_database_catalog_website[[#This Row],[Box Height (cm)]]/1000000)</f>
        <v>0</v>
      </c>
      <c r="BD295">
        <f>SUM(cna_product_database_catalog_website[[#This Row],[Box CBM]]*35.3147)</f>
        <v>0</v>
      </c>
      <c r="BE295" t="s">
        <v>48</v>
      </c>
      <c r="BI29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5">
        <f>SUM(cna_product_database_catalog_website[[#This Row],[Carton CFT]]/61024)</f>
        <v>0</v>
      </c>
      <c r="BM295" t="s">
        <v>48</v>
      </c>
      <c r="BN295" t="s">
        <v>48</v>
      </c>
      <c r="BO295" t="s">
        <v>48</v>
      </c>
      <c r="BP295" t="s">
        <v>48</v>
      </c>
      <c r="BQ295" t="s">
        <v>48</v>
      </c>
      <c r="BS295" t="s">
        <v>48</v>
      </c>
      <c r="BT295" t="s">
        <v>48</v>
      </c>
      <c r="BU295" t="s">
        <v>48</v>
      </c>
      <c r="BW295" t="s">
        <v>48</v>
      </c>
      <c r="BX295" t="s">
        <v>48</v>
      </c>
      <c r="BY295" t="s">
        <v>48</v>
      </c>
      <c r="BZ295" t="s">
        <v>48</v>
      </c>
      <c r="CA295" t="s">
        <v>48</v>
      </c>
      <c r="CB295" t="s">
        <v>48</v>
      </c>
      <c r="CC295" t="s">
        <v>48</v>
      </c>
      <c r="CD295" t="s">
        <v>48</v>
      </c>
      <c r="CE295" t="s">
        <v>48</v>
      </c>
      <c r="CF295" t="s">
        <v>48</v>
      </c>
      <c r="CG295" t="s">
        <v>48</v>
      </c>
      <c r="CH295" t="s">
        <v>48</v>
      </c>
      <c r="CI295" t="s">
        <v>48</v>
      </c>
      <c r="CJ295" t="s">
        <v>48</v>
      </c>
    </row>
    <row r="296" spans="1:88" x14ac:dyDescent="0.25">
      <c r="A296" s="4" t="s">
        <v>2152</v>
      </c>
      <c r="B296" s="4" t="s">
        <v>1208</v>
      </c>
      <c r="C296" s="4" t="s">
        <v>1783</v>
      </c>
      <c r="D296" s="4" t="str">
        <f>cna_product_database_catalog_website[[#This Row],[MainCategory]]&amp;"&gt;"&amp;cna_product_database_catalog_website[[#This Row],[SubCategory1]]&amp;"&gt;"&amp;cna_product_database_catalog_website[[#This Row],[SubCategory2]]</f>
        <v>Halogen&gt;JDD Type - Double Envelope&gt;JDD Type - CLEAR - 200W</v>
      </c>
      <c r="E296">
        <v>3215</v>
      </c>
      <c r="F296" t="s">
        <v>867</v>
      </c>
      <c r="G296" s="3">
        <v>525</v>
      </c>
      <c r="H296" s="8">
        <v>3.25</v>
      </c>
      <c r="I296" t="s">
        <v>867</v>
      </c>
      <c r="J296" t="s">
        <v>867</v>
      </c>
      <c r="K296" t="s">
        <v>865</v>
      </c>
      <c r="L296" t="s">
        <v>46</v>
      </c>
      <c r="M296" s="12"/>
      <c r="N296" t="s">
        <v>47</v>
      </c>
      <c r="O296" s="3">
        <v>1</v>
      </c>
      <c r="P296" s="3">
        <v>1</v>
      </c>
      <c r="Q296" t="s">
        <v>817</v>
      </c>
      <c r="R296" t="s">
        <v>53</v>
      </c>
      <c r="S296" t="s">
        <v>868</v>
      </c>
      <c r="T296" t="s">
        <v>48</v>
      </c>
      <c r="U296" t="s">
        <v>766</v>
      </c>
      <c r="V296" t="s">
        <v>48</v>
      </c>
      <c r="W296" t="s">
        <v>88</v>
      </c>
      <c r="X296" t="s">
        <v>760</v>
      </c>
      <c r="Y296" s="3" t="s">
        <v>48</v>
      </c>
      <c r="Z296" s="3" t="s">
        <v>48</v>
      </c>
      <c r="AA296" s="3" t="s">
        <v>48</v>
      </c>
      <c r="AB296" s="1" t="s">
        <v>48</v>
      </c>
      <c r="AC296" s="1" t="s">
        <v>48</v>
      </c>
      <c r="AD296" t="s">
        <v>48</v>
      </c>
      <c r="AE296"/>
      <c r="AF296" t="s">
        <v>48</v>
      </c>
      <c r="AG296" t="s">
        <v>48</v>
      </c>
      <c r="AH296" t="s">
        <v>48</v>
      </c>
      <c r="AI296" t="s">
        <v>48</v>
      </c>
      <c r="AL296" t="s">
        <v>48</v>
      </c>
      <c r="AO296" t="s">
        <v>48</v>
      </c>
      <c r="AP296" t="s">
        <v>48</v>
      </c>
      <c r="AQ296" t="s">
        <v>48</v>
      </c>
      <c r="AV296" t="s">
        <v>866</v>
      </c>
      <c r="AW296" t="s">
        <v>48</v>
      </c>
      <c r="AX296" s="2" t="s">
        <v>80</v>
      </c>
      <c r="AY296" s="2" t="s">
        <v>80</v>
      </c>
      <c r="BC296">
        <f>SUM(cna_product_database_catalog_website[[#This Row],[Box Length (cm)]]*cna_product_database_catalog_website[[#This Row],[Box Width (cm)]]*cna_product_database_catalog_website[[#This Row],[Box Height (cm)]]/1000000)</f>
        <v>0</v>
      </c>
      <c r="BD296">
        <f>SUM(cna_product_database_catalog_website[[#This Row],[Box CBM]]*35.3147)</f>
        <v>0</v>
      </c>
      <c r="BE296" t="s">
        <v>48</v>
      </c>
      <c r="BI29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6">
        <f>SUM(cna_product_database_catalog_website[[#This Row],[Carton CFT]]/61024)</f>
        <v>0</v>
      </c>
      <c r="BM296" t="s">
        <v>48</v>
      </c>
      <c r="BN296" t="s">
        <v>48</v>
      </c>
      <c r="BO296" t="s">
        <v>48</v>
      </c>
      <c r="BP296" t="s">
        <v>48</v>
      </c>
      <c r="BQ296" t="s">
        <v>48</v>
      </c>
      <c r="BS296" t="s">
        <v>48</v>
      </c>
      <c r="BT296" t="s">
        <v>48</v>
      </c>
      <c r="BU296" t="s">
        <v>48</v>
      </c>
      <c r="BW296" t="s">
        <v>48</v>
      </c>
      <c r="BX296" t="s">
        <v>48</v>
      </c>
      <c r="BY296" t="s">
        <v>48</v>
      </c>
      <c r="BZ296" t="s">
        <v>48</v>
      </c>
      <c r="CA296" t="s">
        <v>48</v>
      </c>
      <c r="CB296" t="s">
        <v>48</v>
      </c>
      <c r="CC296" t="s">
        <v>48</v>
      </c>
      <c r="CD296" t="s">
        <v>48</v>
      </c>
      <c r="CE296" t="s">
        <v>48</v>
      </c>
      <c r="CF296" t="s">
        <v>48</v>
      </c>
      <c r="CG296" t="s">
        <v>48</v>
      </c>
      <c r="CH296" t="s">
        <v>48</v>
      </c>
      <c r="CI296" t="s">
        <v>48</v>
      </c>
      <c r="CJ296" t="s">
        <v>48</v>
      </c>
    </row>
    <row r="297" spans="1:88" x14ac:dyDescent="0.25">
      <c r="A297" s="4" t="s">
        <v>2152</v>
      </c>
      <c r="B297" s="4" t="s">
        <v>1208</v>
      </c>
      <c r="C297" s="4" t="s">
        <v>1784</v>
      </c>
      <c r="D297" s="4" t="str">
        <f>cna_product_database_catalog_website[[#This Row],[MainCategory]]&amp;"&gt;"&amp;cna_product_database_catalog_website[[#This Row],[SubCategory1]]&amp;"&gt;"&amp;cna_product_database_catalog_website[[#This Row],[SubCategory2]]</f>
        <v>Halogen&gt;JDD Type - Double Envelope&gt;JDD Type - FROSTED - 75W</v>
      </c>
      <c r="E297">
        <v>3220</v>
      </c>
      <c r="F297" t="s">
        <v>869</v>
      </c>
      <c r="G297" s="3">
        <v>529</v>
      </c>
      <c r="H297" s="8">
        <v>3.25</v>
      </c>
      <c r="I297" t="s">
        <v>869</v>
      </c>
      <c r="J297" t="s">
        <v>869</v>
      </c>
      <c r="K297" t="s">
        <v>870</v>
      </c>
      <c r="L297" t="s">
        <v>46</v>
      </c>
      <c r="M297" s="12"/>
      <c r="N297" t="s">
        <v>47</v>
      </c>
      <c r="O297" s="3">
        <v>1</v>
      </c>
      <c r="P297" s="3">
        <v>1</v>
      </c>
      <c r="Q297" t="s">
        <v>758</v>
      </c>
      <c r="R297" t="s">
        <v>53</v>
      </c>
      <c r="S297" t="s">
        <v>512</v>
      </c>
      <c r="T297" t="s">
        <v>48</v>
      </c>
      <c r="U297" t="s">
        <v>766</v>
      </c>
      <c r="V297" t="s">
        <v>48</v>
      </c>
      <c r="W297" t="s">
        <v>88</v>
      </c>
      <c r="X297" t="s">
        <v>760</v>
      </c>
      <c r="Y297" s="3" t="s">
        <v>48</v>
      </c>
      <c r="Z297" s="3" t="s">
        <v>48</v>
      </c>
      <c r="AA297" s="3" t="s">
        <v>48</v>
      </c>
      <c r="AB297" s="1" t="s">
        <v>48</v>
      </c>
      <c r="AC297" s="1" t="s">
        <v>48</v>
      </c>
      <c r="AD297" t="s">
        <v>48</v>
      </c>
      <c r="AE297"/>
      <c r="AF297" t="s">
        <v>48</v>
      </c>
      <c r="AG297" t="s">
        <v>48</v>
      </c>
      <c r="AH297" t="s">
        <v>48</v>
      </c>
      <c r="AI297" t="s">
        <v>48</v>
      </c>
      <c r="AL297" t="s">
        <v>48</v>
      </c>
      <c r="AO297" t="s">
        <v>48</v>
      </c>
      <c r="AP297" t="s">
        <v>48</v>
      </c>
      <c r="AQ297" t="s">
        <v>48</v>
      </c>
      <c r="AV297" t="s">
        <v>866</v>
      </c>
      <c r="AW297" t="s">
        <v>48</v>
      </c>
      <c r="AX297" s="2" t="s">
        <v>80</v>
      </c>
      <c r="AY297" s="2" t="s">
        <v>80</v>
      </c>
      <c r="BC297">
        <f>SUM(cna_product_database_catalog_website[[#This Row],[Box Length (cm)]]*cna_product_database_catalog_website[[#This Row],[Box Width (cm)]]*cna_product_database_catalog_website[[#This Row],[Box Height (cm)]]/1000000)</f>
        <v>0</v>
      </c>
      <c r="BD297">
        <f>SUM(cna_product_database_catalog_website[[#This Row],[Box CBM]]*35.3147)</f>
        <v>0</v>
      </c>
      <c r="BE297" t="s">
        <v>48</v>
      </c>
      <c r="BI29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7">
        <f>SUM(cna_product_database_catalog_website[[#This Row],[Carton CFT]]/61024)</f>
        <v>0</v>
      </c>
      <c r="BM297" t="s">
        <v>48</v>
      </c>
      <c r="BN297" t="s">
        <v>48</v>
      </c>
      <c r="BO297" t="s">
        <v>48</v>
      </c>
      <c r="BP297" t="s">
        <v>48</v>
      </c>
      <c r="BQ297" t="s">
        <v>48</v>
      </c>
      <c r="BS297" t="s">
        <v>48</v>
      </c>
      <c r="BT297" t="s">
        <v>48</v>
      </c>
      <c r="BU297" t="s">
        <v>48</v>
      </c>
      <c r="BW297" t="s">
        <v>48</v>
      </c>
      <c r="BX297" t="s">
        <v>48</v>
      </c>
      <c r="BY297" t="s">
        <v>48</v>
      </c>
      <c r="BZ297" t="s">
        <v>48</v>
      </c>
      <c r="CA297" t="s">
        <v>48</v>
      </c>
      <c r="CB297" t="s">
        <v>48</v>
      </c>
      <c r="CC297" t="s">
        <v>48</v>
      </c>
      <c r="CD297" t="s">
        <v>48</v>
      </c>
      <c r="CE297" t="s">
        <v>48</v>
      </c>
      <c r="CF297" t="s">
        <v>48</v>
      </c>
      <c r="CG297" t="s">
        <v>48</v>
      </c>
      <c r="CH297" t="s">
        <v>48</v>
      </c>
      <c r="CI297" t="s">
        <v>48</v>
      </c>
      <c r="CJ297" t="s">
        <v>48</v>
      </c>
    </row>
    <row r="298" spans="1:88" x14ac:dyDescent="0.25">
      <c r="A298" s="4" t="s">
        <v>2152</v>
      </c>
      <c r="B298" s="4" t="s">
        <v>1208</v>
      </c>
      <c r="C298" s="4" t="s">
        <v>1785</v>
      </c>
      <c r="D298" s="4" t="str">
        <f>cna_product_database_catalog_website[[#This Row],[MainCategory]]&amp;"&gt;"&amp;cna_product_database_catalog_website[[#This Row],[SubCategory1]]&amp;"&gt;"&amp;cna_product_database_catalog_website[[#This Row],[SubCategory2]]</f>
        <v>Halogen&gt;JDD Type - Double Envelope&gt;JDD Type - FROSTED - 200W</v>
      </c>
      <c r="E298">
        <v>3230</v>
      </c>
      <c r="F298" t="s">
        <v>871</v>
      </c>
      <c r="G298" s="3">
        <v>129</v>
      </c>
      <c r="H298" s="8">
        <v>3.25</v>
      </c>
      <c r="I298" t="s">
        <v>871</v>
      </c>
      <c r="J298" t="s">
        <v>871</v>
      </c>
      <c r="K298" t="s">
        <v>870</v>
      </c>
      <c r="L298" t="s">
        <v>46</v>
      </c>
      <c r="M298" s="12"/>
      <c r="N298" t="s">
        <v>47</v>
      </c>
      <c r="O298" s="3">
        <v>1</v>
      </c>
      <c r="P298" s="3">
        <v>1</v>
      </c>
      <c r="Q298" t="s">
        <v>817</v>
      </c>
      <c r="R298" t="s">
        <v>53</v>
      </c>
      <c r="S298" t="s">
        <v>550</v>
      </c>
      <c r="T298" t="s">
        <v>48</v>
      </c>
      <c r="U298" t="s">
        <v>766</v>
      </c>
      <c r="V298" t="s">
        <v>48</v>
      </c>
      <c r="W298" t="s">
        <v>88</v>
      </c>
      <c r="X298" t="s">
        <v>760</v>
      </c>
      <c r="Y298" s="3" t="s">
        <v>48</v>
      </c>
      <c r="Z298" s="3" t="s">
        <v>48</v>
      </c>
      <c r="AA298" s="3" t="s">
        <v>48</v>
      </c>
      <c r="AB298" s="1" t="s">
        <v>48</v>
      </c>
      <c r="AC298" s="1" t="s">
        <v>48</v>
      </c>
      <c r="AD298" t="s">
        <v>48</v>
      </c>
      <c r="AE298"/>
      <c r="AF298" t="s">
        <v>48</v>
      </c>
      <c r="AG298" t="s">
        <v>48</v>
      </c>
      <c r="AH298" t="s">
        <v>48</v>
      </c>
      <c r="AI298" t="s">
        <v>48</v>
      </c>
      <c r="AL298" t="s">
        <v>48</v>
      </c>
      <c r="AO298" t="s">
        <v>48</v>
      </c>
      <c r="AP298" t="s">
        <v>48</v>
      </c>
      <c r="AQ298" t="s">
        <v>48</v>
      </c>
      <c r="AV298" t="s">
        <v>866</v>
      </c>
      <c r="AW298" t="s">
        <v>48</v>
      </c>
      <c r="AX298" s="2" t="s">
        <v>80</v>
      </c>
      <c r="AY298" s="2" t="s">
        <v>80</v>
      </c>
      <c r="BC298">
        <f>SUM(cna_product_database_catalog_website[[#This Row],[Box Length (cm)]]*cna_product_database_catalog_website[[#This Row],[Box Width (cm)]]*cna_product_database_catalog_website[[#This Row],[Box Height (cm)]]/1000000)</f>
        <v>0</v>
      </c>
      <c r="BD298">
        <f>SUM(cna_product_database_catalog_website[[#This Row],[Box CBM]]*35.3147)</f>
        <v>0</v>
      </c>
      <c r="BE298" t="s">
        <v>48</v>
      </c>
      <c r="BI29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8">
        <f>SUM(cna_product_database_catalog_website[[#This Row],[Carton CFT]]/61024)</f>
        <v>0</v>
      </c>
      <c r="BM298" t="s">
        <v>48</v>
      </c>
      <c r="BN298" t="s">
        <v>48</v>
      </c>
      <c r="BO298" t="s">
        <v>48</v>
      </c>
      <c r="BP298" t="s">
        <v>48</v>
      </c>
      <c r="BQ298" t="s">
        <v>48</v>
      </c>
      <c r="BS298" t="s">
        <v>48</v>
      </c>
      <c r="BT298" t="s">
        <v>48</v>
      </c>
      <c r="BU298" t="s">
        <v>48</v>
      </c>
      <c r="BW298" t="s">
        <v>48</v>
      </c>
      <c r="BX298" t="s">
        <v>48</v>
      </c>
      <c r="BY298" t="s">
        <v>48</v>
      </c>
      <c r="BZ298" t="s">
        <v>48</v>
      </c>
      <c r="CA298" t="s">
        <v>48</v>
      </c>
      <c r="CB298" t="s">
        <v>48</v>
      </c>
      <c r="CC298" t="s">
        <v>48</v>
      </c>
      <c r="CD298" t="s">
        <v>48</v>
      </c>
      <c r="CE298" t="s">
        <v>48</v>
      </c>
      <c r="CF298" t="s">
        <v>48</v>
      </c>
      <c r="CG298" t="s">
        <v>48</v>
      </c>
      <c r="CH298" t="s">
        <v>48</v>
      </c>
      <c r="CI298" t="s">
        <v>48</v>
      </c>
      <c r="CJ298" t="s">
        <v>48</v>
      </c>
    </row>
    <row r="299" spans="1:88" x14ac:dyDescent="0.25">
      <c r="A299" s="4" t="s">
        <v>1439</v>
      </c>
      <c r="B299" s="4" t="s">
        <v>1209</v>
      </c>
      <c r="C299" s="4" t="s">
        <v>1786</v>
      </c>
      <c r="D299" s="4" t="str">
        <f>cna_product_database_catalog_website[[#This Row],[MainCategory]]&amp;"&gt;"&amp;cna_product_database_catalog_website[[#This Row],[SubCategory1]]&amp;"&gt;"&amp;cna_product_database_catalog_website[[#This Row],[SubCategory2]]</f>
        <v>CFL&gt;Super Mini Spirals&gt;CFL - Super Mini Spiral 27K</v>
      </c>
      <c r="E299">
        <v>3500</v>
      </c>
      <c r="F299" t="s">
        <v>872</v>
      </c>
      <c r="G299" s="3">
        <v>594</v>
      </c>
      <c r="H299" s="8">
        <v>2.25</v>
      </c>
      <c r="I299" t="s">
        <v>872</v>
      </c>
      <c r="J299" t="s">
        <v>872</v>
      </c>
      <c r="K299" t="s">
        <v>873</v>
      </c>
      <c r="L299" t="s">
        <v>46</v>
      </c>
      <c r="M299" s="12"/>
      <c r="N299" t="s">
        <v>47</v>
      </c>
      <c r="O299" s="3">
        <v>1</v>
      </c>
      <c r="P299" s="3">
        <v>1</v>
      </c>
      <c r="Q299" t="s">
        <v>874</v>
      </c>
      <c r="R299" t="s">
        <v>875</v>
      </c>
      <c r="S299" t="s">
        <v>254</v>
      </c>
      <c r="T299" t="s">
        <v>537</v>
      </c>
      <c r="U299" t="s">
        <v>876</v>
      </c>
      <c r="V299" t="s">
        <v>877</v>
      </c>
      <c r="W299" t="s">
        <v>88</v>
      </c>
      <c r="X299" t="s">
        <v>70</v>
      </c>
      <c r="Y299" s="3" t="s">
        <v>48</v>
      </c>
      <c r="Z299" s="3" t="s">
        <v>1006</v>
      </c>
      <c r="AA299" s="3" t="s">
        <v>96</v>
      </c>
      <c r="AB299" s="1" t="s">
        <v>48</v>
      </c>
      <c r="AC299" s="1" t="s">
        <v>48</v>
      </c>
      <c r="AD299" t="s">
        <v>59</v>
      </c>
      <c r="AE299"/>
      <c r="AF299" t="s">
        <v>48</v>
      </c>
      <c r="AG299" t="s">
        <v>878</v>
      </c>
      <c r="AH299" t="s">
        <v>48</v>
      </c>
      <c r="AI299" t="s">
        <v>48</v>
      </c>
      <c r="AL299" t="s">
        <v>48</v>
      </c>
      <c r="AO299" t="s">
        <v>879</v>
      </c>
      <c r="AP299" t="s">
        <v>46</v>
      </c>
      <c r="AQ299" t="s">
        <v>48</v>
      </c>
      <c r="AV299" t="s">
        <v>880</v>
      </c>
      <c r="AW299" t="s">
        <v>48</v>
      </c>
      <c r="AX299" s="2" t="s">
        <v>169</v>
      </c>
      <c r="AY299" s="2" t="s">
        <v>63</v>
      </c>
      <c r="BC299">
        <f>SUM(cna_product_database_catalog_website[[#This Row],[Box Length (cm)]]*cna_product_database_catalog_website[[#This Row],[Box Width (cm)]]*cna_product_database_catalog_website[[#This Row],[Box Height (cm)]]/1000000)</f>
        <v>0</v>
      </c>
      <c r="BD299">
        <f>SUM(cna_product_database_catalog_website[[#This Row],[Box CBM]]*35.3147)</f>
        <v>0</v>
      </c>
      <c r="BE299" t="s">
        <v>48</v>
      </c>
      <c r="BI29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9">
        <f>SUM(cna_product_database_catalog_website[[#This Row],[Carton CFT]]/61024)</f>
        <v>0</v>
      </c>
      <c r="BM299" t="s">
        <v>48</v>
      </c>
      <c r="BN299" t="s">
        <v>48</v>
      </c>
      <c r="BO299" t="s">
        <v>48</v>
      </c>
      <c r="BP299" t="s">
        <v>48</v>
      </c>
      <c r="BQ299" t="s">
        <v>48</v>
      </c>
      <c r="BS299" t="s">
        <v>48</v>
      </c>
      <c r="BT299" t="s">
        <v>48</v>
      </c>
      <c r="BU299" t="s">
        <v>48</v>
      </c>
      <c r="BW299" t="s">
        <v>48</v>
      </c>
      <c r="BX299" t="s">
        <v>48</v>
      </c>
      <c r="BY299" t="s">
        <v>48</v>
      </c>
      <c r="BZ299" t="s">
        <v>48</v>
      </c>
      <c r="CA299" t="s">
        <v>48</v>
      </c>
      <c r="CB299" t="s">
        <v>48</v>
      </c>
      <c r="CC299" t="s">
        <v>48</v>
      </c>
      <c r="CD299" t="s">
        <v>48</v>
      </c>
      <c r="CE299" t="s">
        <v>48</v>
      </c>
      <c r="CF299" t="s">
        <v>48</v>
      </c>
      <c r="CG299" t="s">
        <v>48</v>
      </c>
      <c r="CH299" t="s">
        <v>48</v>
      </c>
      <c r="CI299" t="s">
        <v>48</v>
      </c>
      <c r="CJ299" t="s">
        <v>48</v>
      </c>
    </row>
    <row r="300" spans="1:88" x14ac:dyDescent="0.25">
      <c r="A300" s="4" t="s">
        <v>1439</v>
      </c>
      <c r="B300" s="4" t="s">
        <v>1209</v>
      </c>
      <c r="C300" s="4" t="s">
        <v>1787</v>
      </c>
      <c r="D300" s="4" t="str">
        <f>cna_product_database_catalog_website[[#This Row],[MainCategory]]&amp;"&gt;"&amp;cna_product_database_catalog_website[[#This Row],[SubCategory1]]&amp;"&gt;"&amp;cna_product_database_catalog_website[[#This Row],[SubCategory2]]</f>
        <v>CFL&gt;Super Mini Spirals&gt;CFL - Super Mini Spiral 41K</v>
      </c>
      <c r="E300">
        <v>3505</v>
      </c>
      <c r="F300" t="s">
        <v>881</v>
      </c>
      <c r="G300" s="3">
        <v>595</v>
      </c>
      <c r="H300" s="8">
        <v>2.25</v>
      </c>
      <c r="I300" t="s">
        <v>881</v>
      </c>
      <c r="J300" t="s">
        <v>881</v>
      </c>
      <c r="K300" t="s">
        <v>873</v>
      </c>
      <c r="L300" t="s">
        <v>46</v>
      </c>
      <c r="M300" s="12"/>
      <c r="N300" t="s">
        <v>47</v>
      </c>
      <c r="O300" s="3">
        <v>1</v>
      </c>
      <c r="P300" s="3">
        <v>1</v>
      </c>
      <c r="Q300" t="s">
        <v>874</v>
      </c>
      <c r="R300" t="s">
        <v>875</v>
      </c>
      <c r="S300" t="s">
        <v>254</v>
      </c>
      <c r="T300" t="s">
        <v>882</v>
      </c>
      <c r="U300" t="s">
        <v>876</v>
      </c>
      <c r="V300" t="s">
        <v>877</v>
      </c>
      <c r="W300" t="s">
        <v>88</v>
      </c>
      <c r="X300" t="s">
        <v>883</v>
      </c>
      <c r="Y300" s="3" t="s">
        <v>48</v>
      </c>
      <c r="Z300" s="3" t="s">
        <v>1006</v>
      </c>
      <c r="AA300" s="3" t="s">
        <v>96</v>
      </c>
      <c r="AB300" s="1" t="s">
        <v>48</v>
      </c>
      <c r="AC300" s="1" t="s">
        <v>48</v>
      </c>
      <c r="AD300" t="s">
        <v>59</v>
      </c>
      <c r="AE300"/>
      <c r="AF300" t="s">
        <v>48</v>
      </c>
      <c r="AG300" t="s">
        <v>878</v>
      </c>
      <c r="AH300" t="s">
        <v>48</v>
      </c>
      <c r="AI300" t="s">
        <v>48</v>
      </c>
      <c r="AL300" t="s">
        <v>48</v>
      </c>
      <c r="AO300" t="s">
        <v>879</v>
      </c>
      <c r="AP300" t="s">
        <v>48</v>
      </c>
      <c r="AQ300" t="s">
        <v>48</v>
      </c>
      <c r="AV300" t="s">
        <v>880</v>
      </c>
      <c r="AW300" t="s">
        <v>48</v>
      </c>
      <c r="AX300" s="2" t="s">
        <v>169</v>
      </c>
      <c r="AY300" s="2" t="s">
        <v>63</v>
      </c>
      <c r="BC300">
        <f>SUM(cna_product_database_catalog_website[[#This Row],[Box Length (cm)]]*cna_product_database_catalog_website[[#This Row],[Box Width (cm)]]*cna_product_database_catalog_website[[#This Row],[Box Height (cm)]]/1000000)</f>
        <v>0</v>
      </c>
      <c r="BD300">
        <f>SUM(cna_product_database_catalog_website[[#This Row],[Box CBM]]*35.3147)</f>
        <v>0</v>
      </c>
      <c r="BE300" t="s">
        <v>48</v>
      </c>
      <c r="BI30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0">
        <f>SUM(cna_product_database_catalog_website[[#This Row],[Carton CFT]]/61024)</f>
        <v>0</v>
      </c>
      <c r="BM300" t="s">
        <v>48</v>
      </c>
      <c r="BN300" t="s">
        <v>48</v>
      </c>
      <c r="BO300" t="s">
        <v>48</v>
      </c>
      <c r="BP300" t="s">
        <v>48</v>
      </c>
      <c r="BQ300" t="s">
        <v>48</v>
      </c>
      <c r="BS300" t="s">
        <v>48</v>
      </c>
      <c r="BT300" t="s">
        <v>48</v>
      </c>
      <c r="BU300" t="s">
        <v>48</v>
      </c>
      <c r="BW300" t="s">
        <v>48</v>
      </c>
      <c r="BX300" t="s">
        <v>48</v>
      </c>
      <c r="BY300" t="s">
        <v>48</v>
      </c>
      <c r="BZ300" t="s">
        <v>48</v>
      </c>
      <c r="CA300" t="s">
        <v>48</v>
      </c>
      <c r="CB300" t="s">
        <v>48</v>
      </c>
      <c r="CC300" t="s">
        <v>48</v>
      </c>
      <c r="CD300" t="s">
        <v>48</v>
      </c>
      <c r="CE300" t="s">
        <v>48</v>
      </c>
      <c r="CF300" t="s">
        <v>48</v>
      </c>
      <c r="CG300" t="s">
        <v>48</v>
      </c>
      <c r="CH300" t="s">
        <v>48</v>
      </c>
      <c r="CI300" t="s">
        <v>48</v>
      </c>
      <c r="CJ300" t="s">
        <v>48</v>
      </c>
    </row>
    <row r="301" spans="1:88" x14ac:dyDescent="0.25">
      <c r="A301" s="4" t="s">
        <v>1439</v>
      </c>
      <c r="B301" s="4" t="s">
        <v>1209</v>
      </c>
      <c r="C301" s="4" t="s">
        <v>1787</v>
      </c>
      <c r="D301" s="4" t="str">
        <f>cna_product_database_catalog_website[[#This Row],[MainCategory]]&amp;"&gt;"&amp;cna_product_database_catalog_website[[#This Row],[SubCategory1]]&amp;"&gt;"&amp;cna_product_database_catalog_website[[#This Row],[SubCategory2]]</f>
        <v>CFL&gt;Super Mini Spirals&gt;CFL - Super Mini Spiral 41K</v>
      </c>
      <c r="E301">
        <v>3510</v>
      </c>
      <c r="F301" t="s">
        <v>884</v>
      </c>
      <c r="G301" s="3">
        <v>144</v>
      </c>
      <c r="H301" s="8">
        <v>2.25</v>
      </c>
      <c r="I301" t="s">
        <v>884</v>
      </c>
      <c r="J301" t="s">
        <v>884</v>
      </c>
      <c r="K301" t="s">
        <v>885</v>
      </c>
      <c r="L301" t="s">
        <v>46</v>
      </c>
      <c r="M301" s="12"/>
      <c r="N301" t="s">
        <v>47</v>
      </c>
      <c r="O301" s="3">
        <v>1</v>
      </c>
      <c r="P301" s="3">
        <v>1</v>
      </c>
      <c r="Q301" t="s">
        <v>874</v>
      </c>
      <c r="R301" t="s">
        <v>875</v>
      </c>
      <c r="S301" t="s">
        <v>254</v>
      </c>
      <c r="T301" t="s">
        <v>537</v>
      </c>
      <c r="U301" t="s">
        <v>876</v>
      </c>
      <c r="V301" t="s">
        <v>877</v>
      </c>
      <c r="W301" t="s">
        <v>886</v>
      </c>
      <c r="X301" t="s">
        <v>883</v>
      </c>
      <c r="Y301" s="3" t="s">
        <v>48</v>
      </c>
      <c r="Z301" s="3" t="s">
        <v>1006</v>
      </c>
      <c r="AA301" s="3" t="s">
        <v>96</v>
      </c>
      <c r="AB301" s="1" t="s">
        <v>48</v>
      </c>
      <c r="AC301" s="1" t="s">
        <v>48</v>
      </c>
      <c r="AD301" t="s">
        <v>59</v>
      </c>
      <c r="AE301"/>
      <c r="AF301" t="s">
        <v>48</v>
      </c>
      <c r="AG301" t="s">
        <v>887</v>
      </c>
      <c r="AH301" t="s">
        <v>48</v>
      </c>
      <c r="AI301" t="s">
        <v>48</v>
      </c>
      <c r="AL301" t="s">
        <v>48</v>
      </c>
      <c r="AO301" t="s">
        <v>879</v>
      </c>
      <c r="AP301" t="s">
        <v>48</v>
      </c>
      <c r="AQ301" t="s">
        <v>48</v>
      </c>
      <c r="AV301" t="s">
        <v>880</v>
      </c>
      <c r="AW301" t="s">
        <v>48</v>
      </c>
      <c r="AX301" s="2" t="s">
        <v>169</v>
      </c>
      <c r="AY301" s="2" t="s">
        <v>63</v>
      </c>
      <c r="BC301">
        <f>SUM(cna_product_database_catalog_website[[#This Row],[Box Length (cm)]]*cna_product_database_catalog_website[[#This Row],[Box Width (cm)]]*cna_product_database_catalog_website[[#This Row],[Box Height (cm)]]/1000000)</f>
        <v>0</v>
      </c>
      <c r="BD301">
        <f>SUM(cna_product_database_catalog_website[[#This Row],[Box CBM]]*35.3147)</f>
        <v>0</v>
      </c>
      <c r="BE301" t="s">
        <v>48</v>
      </c>
      <c r="BI30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1">
        <f>SUM(cna_product_database_catalog_website[[#This Row],[Carton CFT]]/61024)</f>
        <v>0</v>
      </c>
      <c r="BM301" t="s">
        <v>48</v>
      </c>
      <c r="BN301" t="s">
        <v>48</v>
      </c>
      <c r="BO301" t="s">
        <v>48</v>
      </c>
      <c r="BP301" t="s">
        <v>48</v>
      </c>
      <c r="BQ301" t="s">
        <v>48</v>
      </c>
      <c r="BS301" t="s">
        <v>48</v>
      </c>
      <c r="BT301" t="s">
        <v>48</v>
      </c>
      <c r="BU301" t="s">
        <v>48</v>
      </c>
      <c r="BW301" t="s">
        <v>48</v>
      </c>
      <c r="BX301" t="s">
        <v>48</v>
      </c>
      <c r="BY301" t="s">
        <v>48</v>
      </c>
      <c r="BZ301" t="s">
        <v>48</v>
      </c>
      <c r="CA301" t="s">
        <v>48</v>
      </c>
      <c r="CB301" t="s">
        <v>48</v>
      </c>
      <c r="CC301" t="s">
        <v>48</v>
      </c>
      <c r="CD301" t="s">
        <v>48</v>
      </c>
      <c r="CE301" t="s">
        <v>48</v>
      </c>
      <c r="CF301" t="s">
        <v>48</v>
      </c>
      <c r="CG301" t="s">
        <v>48</v>
      </c>
      <c r="CH301" t="s">
        <v>48</v>
      </c>
      <c r="CI301" t="s">
        <v>48</v>
      </c>
      <c r="CJ301" t="s">
        <v>48</v>
      </c>
    </row>
    <row r="302" spans="1:88" x14ac:dyDescent="0.25">
      <c r="A302" s="4" t="s">
        <v>1439</v>
      </c>
      <c r="B302" s="4" t="s">
        <v>1210</v>
      </c>
      <c r="C302" s="4" t="s">
        <v>1788</v>
      </c>
      <c r="D302" s="4" t="str">
        <f>cna_product_database_catalog_website[[#This Row],[MainCategory]]&amp;"&gt;"&amp;cna_product_database_catalog_website[[#This Row],[SubCategory1]]&amp;"&gt;"&amp;cna_product_database_catalog_website[[#This Row],[SubCategory2]]</f>
        <v>CFL&gt;PAR Reflector CFL&gt;PAR20 CFL 27K</v>
      </c>
      <c r="E302">
        <v>3550</v>
      </c>
      <c r="F302" t="s">
        <v>888</v>
      </c>
      <c r="G302" s="3">
        <v>674</v>
      </c>
      <c r="H302" s="8">
        <v>2</v>
      </c>
      <c r="I302" t="s">
        <v>888</v>
      </c>
      <c r="J302" t="s">
        <v>888</v>
      </c>
      <c r="K302" t="s">
        <v>1924</v>
      </c>
      <c r="L302" t="s">
        <v>46</v>
      </c>
      <c r="M302" s="12"/>
      <c r="N302" t="s">
        <v>47</v>
      </c>
      <c r="O302" s="3">
        <v>1</v>
      </c>
      <c r="P302" s="3">
        <v>1</v>
      </c>
      <c r="Q302" t="s">
        <v>239</v>
      </c>
      <c r="R302" t="s">
        <v>53</v>
      </c>
      <c r="S302" t="s">
        <v>48</v>
      </c>
      <c r="T302" t="s">
        <v>48</v>
      </c>
      <c r="U302" t="s">
        <v>48</v>
      </c>
      <c r="V302" t="s">
        <v>48</v>
      </c>
      <c r="W302" t="s">
        <v>88</v>
      </c>
      <c r="X302" t="s">
        <v>70</v>
      </c>
      <c r="Y302" s="3" t="s">
        <v>48</v>
      </c>
      <c r="Z302" s="3" t="s">
        <v>889</v>
      </c>
      <c r="AA302" s="3" t="s">
        <v>48</v>
      </c>
      <c r="AB302" s="1" t="s">
        <v>48</v>
      </c>
      <c r="AC302" s="1" t="s">
        <v>48</v>
      </c>
      <c r="AD302" t="s">
        <v>48</v>
      </c>
      <c r="AE302"/>
      <c r="AF302" t="s">
        <v>48</v>
      </c>
      <c r="AG302" t="s">
        <v>48</v>
      </c>
      <c r="AH302" t="s">
        <v>48</v>
      </c>
      <c r="AI302" t="s">
        <v>48</v>
      </c>
      <c r="AL302" t="s">
        <v>48</v>
      </c>
      <c r="AO302" t="s">
        <v>48</v>
      </c>
      <c r="AP302" t="s">
        <v>48</v>
      </c>
      <c r="AQ302" t="s">
        <v>48</v>
      </c>
      <c r="AV302" t="s">
        <v>890</v>
      </c>
      <c r="AW302" t="s">
        <v>48</v>
      </c>
      <c r="AX302" s="2" t="s">
        <v>169</v>
      </c>
      <c r="AY302" s="2" t="s">
        <v>48</v>
      </c>
      <c r="BC302">
        <f>SUM(cna_product_database_catalog_website[[#This Row],[Box Length (cm)]]*cna_product_database_catalog_website[[#This Row],[Box Width (cm)]]*cna_product_database_catalog_website[[#This Row],[Box Height (cm)]]/1000000)</f>
        <v>0</v>
      </c>
      <c r="BD302">
        <f>SUM(cna_product_database_catalog_website[[#This Row],[Box CBM]]*35.3147)</f>
        <v>0</v>
      </c>
      <c r="BE302" t="s">
        <v>48</v>
      </c>
      <c r="BI30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2">
        <f>SUM(cna_product_database_catalog_website[[#This Row],[Carton CFT]]/61024)</f>
        <v>0</v>
      </c>
      <c r="BM302" t="s">
        <v>48</v>
      </c>
      <c r="BN302" t="s">
        <v>48</v>
      </c>
      <c r="BO302" t="s">
        <v>48</v>
      </c>
      <c r="BP302" t="s">
        <v>48</v>
      </c>
      <c r="BQ302" t="s">
        <v>48</v>
      </c>
      <c r="BS302" t="s">
        <v>48</v>
      </c>
      <c r="BT302" t="s">
        <v>48</v>
      </c>
      <c r="BU302" t="s">
        <v>48</v>
      </c>
      <c r="BW302" t="s">
        <v>48</v>
      </c>
      <c r="BX302" t="s">
        <v>48</v>
      </c>
      <c r="BY302" t="s">
        <v>48</v>
      </c>
      <c r="BZ302" t="s">
        <v>48</v>
      </c>
      <c r="CA302" t="s">
        <v>48</v>
      </c>
      <c r="CB302" t="s">
        <v>48</v>
      </c>
      <c r="CC302" t="s">
        <v>48</v>
      </c>
      <c r="CD302" t="s">
        <v>48</v>
      </c>
      <c r="CE302" t="s">
        <v>48</v>
      </c>
      <c r="CF302" t="s">
        <v>48</v>
      </c>
      <c r="CG302" t="s">
        <v>48</v>
      </c>
      <c r="CH302" t="s">
        <v>48</v>
      </c>
      <c r="CI302" t="s">
        <v>48</v>
      </c>
      <c r="CJ302" t="s">
        <v>48</v>
      </c>
    </row>
    <row r="303" spans="1:88" x14ac:dyDescent="0.25">
      <c r="A303" s="4" t="s">
        <v>1439</v>
      </c>
      <c r="B303" s="4" t="s">
        <v>1210</v>
      </c>
      <c r="C303" s="4" t="s">
        <v>1789</v>
      </c>
      <c r="D303" s="4" t="str">
        <f>cna_product_database_catalog_website[[#This Row],[MainCategory]]&amp;"&gt;"&amp;cna_product_database_catalog_website[[#This Row],[SubCategory1]]&amp;"&gt;"&amp;cna_product_database_catalog_website[[#This Row],[SubCategory2]]</f>
        <v>CFL&gt;PAR Reflector CFL&gt;PAR30L CFL 27K</v>
      </c>
      <c r="E303">
        <v>3560</v>
      </c>
      <c r="F303" t="s">
        <v>891</v>
      </c>
      <c r="G303" s="3">
        <v>700</v>
      </c>
      <c r="H303" s="8">
        <v>4</v>
      </c>
      <c r="I303" t="s">
        <v>891</v>
      </c>
      <c r="J303" t="s">
        <v>891</v>
      </c>
      <c r="K303" t="s">
        <v>1925</v>
      </c>
      <c r="L303" t="s">
        <v>46</v>
      </c>
      <c r="M303" s="12"/>
      <c r="N303" t="s">
        <v>47</v>
      </c>
      <c r="O303" s="3">
        <v>1</v>
      </c>
      <c r="P303" s="3">
        <v>1</v>
      </c>
      <c r="Q303" t="s">
        <v>370</v>
      </c>
      <c r="R303" t="s">
        <v>53</v>
      </c>
      <c r="S303" t="s">
        <v>48</v>
      </c>
      <c r="T303" t="s">
        <v>48</v>
      </c>
      <c r="U303" t="s">
        <v>48</v>
      </c>
      <c r="V303" t="s">
        <v>48</v>
      </c>
      <c r="W303" t="s">
        <v>88</v>
      </c>
      <c r="X303" t="s">
        <v>70</v>
      </c>
      <c r="Y303" s="3" t="s">
        <v>48</v>
      </c>
      <c r="Z303" s="3" t="s">
        <v>48</v>
      </c>
      <c r="AA303" s="3" t="s">
        <v>48</v>
      </c>
      <c r="AB303" s="1" t="s">
        <v>48</v>
      </c>
      <c r="AC303" s="1" t="s">
        <v>48</v>
      </c>
      <c r="AD303" t="s">
        <v>48</v>
      </c>
      <c r="AE303"/>
      <c r="AF303" t="s">
        <v>48</v>
      </c>
      <c r="AG303" t="s">
        <v>48</v>
      </c>
      <c r="AH303" t="s">
        <v>48</v>
      </c>
      <c r="AI303" t="s">
        <v>48</v>
      </c>
      <c r="AL303" t="s">
        <v>48</v>
      </c>
      <c r="AO303" t="s">
        <v>48</v>
      </c>
      <c r="AP303" t="s">
        <v>48</v>
      </c>
      <c r="AQ303" t="s">
        <v>48</v>
      </c>
      <c r="AV303" t="s">
        <v>892</v>
      </c>
      <c r="AW303" t="s">
        <v>48</v>
      </c>
      <c r="AX303" s="2" t="s">
        <v>365</v>
      </c>
      <c r="AY303" s="2" t="s">
        <v>48</v>
      </c>
      <c r="BC303">
        <f>SUM(cna_product_database_catalog_website[[#This Row],[Box Length (cm)]]*cna_product_database_catalog_website[[#This Row],[Box Width (cm)]]*cna_product_database_catalog_website[[#This Row],[Box Height (cm)]]/1000000)</f>
        <v>0</v>
      </c>
      <c r="BD303">
        <f>SUM(cna_product_database_catalog_website[[#This Row],[Box CBM]]*35.3147)</f>
        <v>0</v>
      </c>
      <c r="BE303" t="s">
        <v>48</v>
      </c>
      <c r="BI30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3">
        <f>SUM(cna_product_database_catalog_website[[#This Row],[Carton CFT]]/61024)</f>
        <v>0</v>
      </c>
      <c r="BM303" t="s">
        <v>48</v>
      </c>
      <c r="BN303" t="s">
        <v>48</v>
      </c>
      <c r="BO303" t="s">
        <v>48</v>
      </c>
      <c r="BP303" t="s">
        <v>48</v>
      </c>
      <c r="BQ303" t="s">
        <v>48</v>
      </c>
      <c r="BS303" t="s">
        <v>48</v>
      </c>
      <c r="BT303" t="s">
        <v>48</v>
      </c>
      <c r="BU303" t="s">
        <v>48</v>
      </c>
      <c r="BW303" t="s">
        <v>48</v>
      </c>
      <c r="BX303" t="s">
        <v>48</v>
      </c>
      <c r="BY303" t="s">
        <v>48</v>
      </c>
      <c r="BZ303" t="s">
        <v>48</v>
      </c>
      <c r="CA303" t="s">
        <v>48</v>
      </c>
      <c r="CB303" t="s">
        <v>48</v>
      </c>
      <c r="CC303" t="s">
        <v>48</v>
      </c>
      <c r="CD303" t="s">
        <v>48</v>
      </c>
      <c r="CE303" t="s">
        <v>48</v>
      </c>
      <c r="CF303" t="s">
        <v>48</v>
      </c>
      <c r="CG303" t="s">
        <v>48</v>
      </c>
      <c r="CH303" t="s">
        <v>48</v>
      </c>
      <c r="CI303" t="s">
        <v>48</v>
      </c>
      <c r="CJ303" t="s">
        <v>48</v>
      </c>
    </row>
    <row r="304" spans="1:88" x14ac:dyDescent="0.25">
      <c r="A304" s="4" t="s">
        <v>1439</v>
      </c>
      <c r="B304" s="4" t="s">
        <v>1211</v>
      </c>
      <c r="C304" s="4" t="s">
        <v>1792</v>
      </c>
      <c r="D304" s="4" t="str">
        <f>cna_product_database_catalog_website[[#This Row],[MainCategory]]&amp;"&gt;"&amp;cna_product_database_catalog_website[[#This Row],[SubCategory1]]&amp;"&gt;"&amp;cna_product_database_catalog_website[[#This Row],[SubCategory2]]</f>
        <v>CFL&gt;PL (2-PIN)&gt;PL-5W 2700K</v>
      </c>
      <c r="E304">
        <v>3570</v>
      </c>
      <c r="F304" t="s">
        <v>893</v>
      </c>
      <c r="G304" s="3">
        <v>55</v>
      </c>
      <c r="H304" s="8">
        <v>1.4</v>
      </c>
      <c r="I304" t="s">
        <v>893</v>
      </c>
      <c r="J304" t="s">
        <v>893</v>
      </c>
      <c r="K304" t="s">
        <v>894</v>
      </c>
      <c r="L304" t="s">
        <v>46</v>
      </c>
      <c r="M304" s="12"/>
      <c r="N304" t="s">
        <v>47</v>
      </c>
      <c r="O304" s="3">
        <v>1</v>
      </c>
      <c r="P304" s="3">
        <v>1</v>
      </c>
      <c r="Q304" t="s">
        <v>154</v>
      </c>
      <c r="R304" t="s">
        <v>895</v>
      </c>
      <c r="S304" t="s">
        <v>48</v>
      </c>
      <c r="T304" t="s">
        <v>48</v>
      </c>
      <c r="U304" t="s">
        <v>48</v>
      </c>
      <c r="V304" t="s">
        <v>48</v>
      </c>
      <c r="W304" t="s">
        <v>48</v>
      </c>
      <c r="X304" t="s">
        <v>48</v>
      </c>
      <c r="Y304" s="3" t="s">
        <v>48</v>
      </c>
      <c r="Z304" s="3" t="s">
        <v>48</v>
      </c>
      <c r="AA304" s="3" t="s">
        <v>48</v>
      </c>
      <c r="AB304" s="1" t="s">
        <v>48</v>
      </c>
      <c r="AC304" s="1" t="s">
        <v>48</v>
      </c>
      <c r="AD304" t="s">
        <v>48</v>
      </c>
      <c r="AE304"/>
      <c r="AF304" t="s">
        <v>48</v>
      </c>
      <c r="AG304" t="s">
        <v>48</v>
      </c>
      <c r="AH304" t="s">
        <v>48</v>
      </c>
      <c r="AI304" t="s">
        <v>48</v>
      </c>
      <c r="AL304" t="s">
        <v>48</v>
      </c>
      <c r="AO304" t="s">
        <v>48</v>
      </c>
      <c r="AP304" t="s">
        <v>48</v>
      </c>
      <c r="AQ304" t="s">
        <v>48</v>
      </c>
      <c r="AV304" t="s">
        <v>896</v>
      </c>
      <c r="AW304" t="s">
        <v>48</v>
      </c>
      <c r="AX304" s="2" t="s">
        <v>169</v>
      </c>
      <c r="AY304" s="2" t="s">
        <v>48</v>
      </c>
      <c r="BC304">
        <f>SUM(cna_product_database_catalog_website[[#This Row],[Box Length (cm)]]*cna_product_database_catalog_website[[#This Row],[Box Width (cm)]]*cna_product_database_catalog_website[[#This Row],[Box Height (cm)]]/1000000)</f>
        <v>0</v>
      </c>
      <c r="BD304">
        <f>SUM(cna_product_database_catalog_website[[#This Row],[Box CBM]]*35.3147)</f>
        <v>0</v>
      </c>
      <c r="BE304" t="s">
        <v>48</v>
      </c>
      <c r="BI30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4">
        <f>SUM(cna_product_database_catalog_website[[#This Row],[Carton CFT]]/61024)</f>
        <v>0</v>
      </c>
      <c r="BM304" t="s">
        <v>48</v>
      </c>
      <c r="BN304" t="s">
        <v>48</v>
      </c>
      <c r="BO304" t="s">
        <v>48</v>
      </c>
      <c r="BP304" t="s">
        <v>48</v>
      </c>
      <c r="BQ304" t="s">
        <v>48</v>
      </c>
      <c r="BS304" t="s">
        <v>48</v>
      </c>
      <c r="BT304" t="s">
        <v>48</v>
      </c>
      <c r="BU304" t="s">
        <v>48</v>
      </c>
      <c r="BW304" t="s">
        <v>48</v>
      </c>
      <c r="BX304" t="s">
        <v>48</v>
      </c>
      <c r="BY304" t="s">
        <v>48</v>
      </c>
      <c r="BZ304" t="s">
        <v>48</v>
      </c>
      <c r="CA304" t="s">
        <v>48</v>
      </c>
      <c r="CB304" t="s">
        <v>48</v>
      </c>
      <c r="CC304" t="s">
        <v>48</v>
      </c>
      <c r="CD304" t="s">
        <v>48</v>
      </c>
      <c r="CE304" t="s">
        <v>48</v>
      </c>
      <c r="CF304" t="s">
        <v>48</v>
      </c>
      <c r="CG304" t="s">
        <v>48</v>
      </c>
      <c r="CH304" t="s">
        <v>48</v>
      </c>
      <c r="CI304" t="s">
        <v>48</v>
      </c>
      <c r="CJ304" t="s">
        <v>48</v>
      </c>
    </row>
    <row r="305" spans="1:88" x14ac:dyDescent="0.25">
      <c r="A305" s="4" t="s">
        <v>1439</v>
      </c>
      <c r="B305" s="4" t="s">
        <v>1211</v>
      </c>
      <c r="C305" s="4" t="s">
        <v>1791</v>
      </c>
      <c r="D305" s="4" t="str">
        <f>cna_product_database_catalog_website[[#This Row],[MainCategory]]&amp;"&gt;"&amp;cna_product_database_catalog_website[[#This Row],[SubCategory1]]&amp;"&gt;"&amp;cna_product_database_catalog_website[[#This Row],[SubCategory2]]</f>
        <v>CFL&gt;PL (2-PIN)&gt;PL-5W 3500K</v>
      </c>
      <c r="E305">
        <v>3575</v>
      </c>
      <c r="F305" t="s">
        <v>897</v>
      </c>
      <c r="G305" s="3">
        <v>285</v>
      </c>
      <c r="H305" s="8">
        <v>1.4</v>
      </c>
      <c r="I305" t="s">
        <v>897</v>
      </c>
      <c r="J305" t="s">
        <v>897</v>
      </c>
      <c r="K305" t="s">
        <v>894</v>
      </c>
      <c r="L305" t="s">
        <v>46</v>
      </c>
      <c r="M305" s="12"/>
      <c r="N305" t="s">
        <v>47</v>
      </c>
      <c r="O305" s="3">
        <v>1</v>
      </c>
      <c r="P305" s="3">
        <v>1</v>
      </c>
      <c r="Q305" t="s">
        <v>154</v>
      </c>
      <c r="R305" t="s">
        <v>895</v>
      </c>
      <c r="S305" t="s">
        <v>48</v>
      </c>
      <c r="T305" t="s">
        <v>48</v>
      </c>
      <c r="U305" t="s">
        <v>48</v>
      </c>
      <c r="V305" t="s">
        <v>48</v>
      </c>
      <c r="W305" t="s">
        <v>48</v>
      </c>
      <c r="X305" t="s">
        <v>48</v>
      </c>
      <c r="Y305" s="3" t="s">
        <v>48</v>
      </c>
      <c r="Z305" s="3" t="s">
        <v>48</v>
      </c>
      <c r="AA305" s="3" t="s">
        <v>48</v>
      </c>
      <c r="AB305" s="1" t="s">
        <v>48</v>
      </c>
      <c r="AC305" s="1" t="s">
        <v>48</v>
      </c>
      <c r="AD305" t="s">
        <v>48</v>
      </c>
      <c r="AE305"/>
      <c r="AF305" t="s">
        <v>48</v>
      </c>
      <c r="AG305" t="s">
        <v>48</v>
      </c>
      <c r="AH305" t="s">
        <v>48</v>
      </c>
      <c r="AI305" t="s">
        <v>48</v>
      </c>
      <c r="AL305" t="s">
        <v>48</v>
      </c>
      <c r="AO305" t="s">
        <v>48</v>
      </c>
      <c r="AP305" t="s">
        <v>48</v>
      </c>
      <c r="AQ305" t="s">
        <v>48</v>
      </c>
      <c r="AV305" t="s">
        <v>896</v>
      </c>
      <c r="AW305" t="s">
        <v>48</v>
      </c>
      <c r="AX305" s="2" t="s">
        <v>169</v>
      </c>
      <c r="AY305" s="2" t="s">
        <v>48</v>
      </c>
      <c r="BC305">
        <f>SUM(cna_product_database_catalog_website[[#This Row],[Box Length (cm)]]*cna_product_database_catalog_website[[#This Row],[Box Width (cm)]]*cna_product_database_catalog_website[[#This Row],[Box Height (cm)]]/1000000)</f>
        <v>0</v>
      </c>
      <c r="BD305">
        <f>SUM(cna_product_database_catalog_website[[#This Row],[Box CBM]]*35.3147)</f>
        <v>0</v>
      </c>
      <c r="BE305" t="s">
        <v>48</v>
      </c>
      <c r="BI30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5">
        <f>SUM(cna_product_database_catalog_website[[#This Row],[Carton CFT]]/61024)</f>
        <v>0</v>
      </c>
      <c r="BM305" t="s">
        <v>48</v>
      </c>
      <c r="BN305" t="s">
        <v>48</v>
      </c>
      <c r="BO305" t="s">
        <v>48</v>
      </c>
      <c r="BP305" t="s">
        <v>48</v>
      </c>
      <c r="BQ305" t="s">
        <v>48</v>
      </c>
      <c r="BS305" t="s">
        <v>48</v>
      </c>
      <c r="BT305" t="s">
        <v>48</v>
      </c>
      <c r="BU305" t="s">
        <v>48</v>
      </c>
      <c r="BW305" t="s">
        <v>48</v>
      </c>
      <c r="BX305" t="s">
        <v>48</v>
      </c>
      <c r="BY305" t="s">
        <v>48</v>
      </c>
      <c r="BZ305" t="s">
        <v>48</v>
      </c>
      <c r="CA305" t="s">
        <v>48</v>
      </c>
      <c r="CB305" t="s">
        <v>48</v>
      </c>
      <c r="CC305" t="s">
        <v>48</v>
      </c>
      <c r="CD305" t="s">
        <v>48</v>
      </c>
      <c r="CE305" t="s">
        <v>48</v>
      </c>
      <c r="CF305" t="s">
        <v>48</v>
      </c>
      <c r="CG305" t="s">
        <v>48</v>
      </c>
      <c r="CH305" t="s">
        <v>48</v>
      </c>
      <c r="CI305" t="s">
        <v>48</v>
      </c>
      <c r="CJ305" t="s">
        <v>48</v>
      </c>
    </row>
    <row r="306" spans="1:88" x14ac:dyDescent="0.25">
      <c r="A306" s="4" t="s">
        <v>1439</v>
      </c>
      <c r="B306" s="4" t="s">
        <v>1211</v>
      </c>
      <c r="C306" s="4" t="s">
        <v>1790</v>
      </c>
      <c r="D306" s="4" t="str">
        <f>cna_product_database_catalog_website[[#This Row],[MainCategory]]&amp;"&gt;"&amp;cna_product_database_catalog_website[[#This Row],[SubCategory1]]&amp;"&gt;"&amp;cna_product_database_catalog_website[[#This Row],[SubCategory2]]</f>
        <v>CFL&gt;PL (2-PIN)&gt;PL-7W 3500K</v>
      </c>
      <c r="E306">
        <v>3580</v>
      </c>
      <c r="F306" t="s">
        <v>898</v>
      </c>
      <c r="G306" s="3">
        <v>154</v>
      </c>
      <c r="H306" s="8">
        <v>1.4</v>
      </c>
      <c r="I306" t="s">
        <v>898</v>
      </c>
      <c r="J306" t="s">
        <v>898</v>
      </c>
      <c r="K306" t="s">
        <v>894</v>
      </c>
      <c r="L306" t="s">
        <v>46</v>
      </c>
      <c r="M306" s="12"/>
      <c r="N306" t="s">
        <v>47</v>
      </c>
      <c r="O306" s="3">
        <v>1</v>
      </c>
      <c r="P306" s="3">
        <v>1</v>
      </c>
      <c r="Q306" t="s">
        <v>351</v>
      </c>
      <c r="R306" t="s">
        <v>895</v>
      </c>
      <c r="S306" t="s">
        <v>48</v>
      </c>
      <c r="T306" t="s">
        <v>48</v>
      </c>
      <c r="U306" t="s">
        <v>48</v>
      </c>
      <c r="V306" t="s">
        <v>48</v>
      </c>
      <c r="W306" t="s">
        <v>48</v>
      </c>
      <c r="X306" t="s">
        <v>48</v>
      </c>
      <c r="Y306" s="3" t="s">
        <v>48</v>
      </c>
      <c r="Z306" s="3" t="s">
        <v>48</v>
      </c>
      <c r="AA306" s="3" t="s">
        <v>48</v>
      </c>
      <c r="AB306" s="1" t="s">
        <v>48</v>
      </c>
      <c r="AC306" s="1" t="s">
        <v>48</v>
      </c>
      <c r="AD306" t="s">
        <v>48</v>
      </c>
      <c r="AE306"/>
      <c r="AF306" t="s">
        <v>48</v>
      </c>
      <c r="AG306" t="s">
        <v>48</v>
      </c>
      <c r="AH306" t="s">
        <v>48</v>
      </c>
      <c r="AI306" t="s">
        <v>48</v>
      </c>
      <c r="AL306" t="s">
        <v>48</v>
      </c>
      <c r="AO306" t="s">
        <v>48</v>
      </c>
      <c r="AP306" t="s">
        <v>48</v>
      </c>
      <c r="AQ306" t="s">
        <v>48</v>
      </c>
      <c r="AV306" t="s">
        <v>899</v>
      </c>
      <c r="AW306" t="s">
        <v>48</v>
      </c>
      <c r="AX306" s="2" t="s">
        <v>169</v>
      </c>
      <c r="AY306" s="2" t="s">
        <v>48</v>
      </c>
      <c r="BC306">
        <f>SUM(cna_product_database_catalog_website[[#This Row],[Box Length (cm)]]*cna_product_database_catalog_website[[#This Row],[Box Width (cm)]]*cna_product_database_catalog_website[[#This Row],[Box Height (cm)]]/1000000)</f>
        <v>0</v>
      </c>
      <c r="BD306">
        <f>SUM(cna_product_database_catalog_website[[#This Row],[Box CBM]]*35.3147)</f>
        <v>0</v>
      </c>
      <c r="BE306" t="s">
        <v>48</v>
      </c>
      <c r="BI30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6">
        <f>SUM(cna_product_database_catalog_website[[#This Row],[Carton CFT]]/61024)</f>
        <v>0</v>
      </c>
      <c r="BM306" t="s">
        <v>48</v>
      </c>
      <c r="BN306" t="s">
        <v>48</v>
      </c>
      <c r="BO306" t="s">
        <v>48</v>
      </c>
      <c r="BP306" t="s">
        <v>48</v>
      </c>
      <c r="BQ306" t="s">
        <v>48</v>
      </c>
      <c r="BS306" t="s">
        <v>48</v>
      </c>
      <c r="BT306" t="s">
        <v>48</v>
      </c>
      <c r="BU306" t="s">
        <v>48</v>
      </c>
      <c r="BW306" t="s">
        <v>48</v>
      </c>
      <c r="BX306" t="s">
        <v>48</v>
      </c>
      <c r="BY306" t="s">
        <v>48</v>
      </c>
      <c r="BZ306" t="s">
        <v>48</v>
      </c>
      <c r="CA306" t="s">
        <v>48</v>
      </c>
      <c r="CB306" t="s">
        <v>48</v>
      </c>
      <c r="CC306" t="s">
        <v>48</v>
      </c>
      <c r="CD306" t="s">
        <v>48</v>
      </c>
      <c r="CE306" t="s">
        <v>48</v>
      </c>
      <c r="CF306" t="s">
        <v>48</v>
      </c>
      <c r="CG306" t="s">
        <v>48</v>
      </c>
      <c r="CH306" t="s">
        <v>48</v>
      </c>
      <c r="CI306" t="s">
        <v>48</v>
      </c>
      <c r="CJ306" t="s">
        <v>48</v>
      </c>
    </row>
    <row r="307" spans="1:88" x14ac:dyDescent="0.25">
      <c r="A307" s="4" t="s">
        <v>1439</v>
      </c>
      <c r="B307" s="4" t="s">
        <v>1211</v>
      </c>
      <c r="C307" s="4" t="s">
        <v>1793</v>
      </c>
      <c r="D307" s="4" t="str">
        <f>cna_product_database_catalog_website[[#This Row],[MainCategory]]&amp;"&gt;"&amp;cna_product_database_catalog_website[[#This Row],[SubCategory1]]&amp;"&gt;"&amp;cna_product_database_catalog_website[[#This Row],[SubCategory2]]</f>
        <v>CFL&gt;PL (2-PIN)&gt;PL-9W 3500K</v>
      </c>
      <c r="E307">
        <v>3585</v>
      </c>
      <c r="F307" t="s">
        <v>900</v>
      </c>
      <c r="G307" s="3">
        <v>156</v>
      </c>
      <c r="H307" s="8">
        <v>1.4</v>
      </c>
      <c r="I307" t="s">
        <v>900</v>
      </c>
      <c r="J307" t="s">
        <v>900</v>
      </c>
      <c r="K307" t="s">
        <v>894</v>
      </c>
      <c r="L307" t="s">
        <v>46</v>
      </c>
      <c r="M307" s="12"/>
      <c r="N307" t="s">
        <v>47</v>
      </c>
      <c r="O307" s="3">
        <v>1</v>
      </c>
      <c r="P307" s="3">
        <v>1</v>
      </c>
      <c r="Q307" t="s">
        <v>239</v>
      </c>
      <c r="R307" t="s">
        <v>895</v>
      </c>
      <c r="S307" t="s">
        <v>48</v>
      </c>
      <c r="T307" t="s">
        <v>48</v>
      </c>
      <c r="U307" t="s">
        <v>48</v>
      </c>
      <c r="V307" t="s">
        <v>48</v>
      </c>
      <c r="W307" t="s">
        <v>48</v>
      </c>
      <c r="X307" t="s">
        <v>48</v>
      </c>
      <c r="Y307" s="3" t="s">
        <v>48</v>
      </c>
      <c r="Z307" s="3" t="s">
        <v>48</v>
      </c>
      <c r="AA307" s="3" t="s">
        <v>48</v>
      </c>
      <c r="AB307" s="1" t="s">
        <v>48</v>
      </c>
      <c r="AC307" s="1" t="s">
        <v>48</v>
      </c>
      <c r="AD307" t="s">
        <v>48</v>
      </c>
      <c r="AE307"/>
      <c r="AF307" t="s">
        <v>48</v>
      </c>
      <c r="AG307" t="s">
        <v>48</v>
      </c>
      <c r="AH307" t="s">
        <v>48</v>
      </c>
      <c r="AI307" t="s">
        <v>48</v>
      </c>
      <c r="AL307" t="s">
        <v>48</v>
      </c>
      <c r="AO307" t="s">
        <v>48</v>
      </c>
      <c r="AP307" t="s">
        <v>48</v>
      </c>
      <c r="AQ307" t="s">
        <v>48</v>
      </c>
      <c r="AV307" t="s">
        <v>901</v>
      </c>
      <c r="AW307" t="s">
        <v>48</v>
      </c>
      <c r="AX307" s="2" t="s">
        <v>169</v>
      </c>
      <c r="AY307" s="2" t="s">
        <v>48</v>
      </c>
      <c r="BC307">
        <f>SUM(cna_product_database_catalog_website[[#This Row],[Box Length (cm)]]*cna_product_database_catalog_website[[#This Row],[Box Width (cm)]]*cna_product_database_catalog_website[[#This Row],[Box Height (cm)]]/1000000)</f>
        <v>0</v>
      </c>
      <c r="BD307">
        <f>SUM(cna_product_database_catalog_website[[#This Row],[Box CBM]]*35.3147)</f>
        <v>0</v>
      </c>
      <c r="BE307" t="s">
        <v>48</v>
      </c>
      <c r="BI30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7">
        <f>SUM(cna_product_database_catalog_website[[#This Row],[Carton CFT]]/61024)</f>
        <v>0</v>
      </c>
      <c r="BM307" t="s">
        <v>48</v>
      </c>
      <c r="BN307" t="s">
        <v>48</v>
      </c>
      <c r="BO307" t="s">
        <v>48</v>
      </c>
      <c r="BP307" t="s">
        <v>48</v>
      </c>
      <c r="BQ307" t="s">
        <v>48</v>
      </c>
      <c r="BS307" t="s">
        <v>48</v>
      </c>
      <c r="BT307" t="s">
        <v>48</v>
      </c>
      <c r="BU307" t="s">
        <v>48</v>
      </c>
      <c r="BW307" t="s">
        <v>48</v>
      </c>
      <c r="BX307" t="s">
        <v>48</v>
      </c>
      <c r="BY307" t="s">
        <v>48</v>
      </c>
      <c r="BZ307" t="s">
        <v>48</v>
      </c>
      <c r="CA307" t="s">
        <v>48</v>
      </c>
      <c r="CB307" t="s">
        <v>48</v>
      </c>
      <c r="CC307" t="s">
        <v>48</v>
      </c>
      <c r="CD307" t="s">
        <v>48</v>
      </c>
      <c r="CE307" t="s">
        <v>48</v>
      </c>
      <c r="CF307" t="s">
        <v>48</v>
      </c>
      <c r="CG307" t="s">
        <v>48</v>
      </c>
      <c r="CH307" t="s">
        <v>48</v>
      </c>
      <c r="CI307" t="s">
        <v>48</v>
      </c>
      <c r="CJ307" t="s">
        <v>48</v>
      </c>
    </row>
    <row r="308" spans="1:88" x14ac:dyDescent="0.25">
      <c r="A308" s="4" t="s">
        <v>1439</v>
      </c>
      <c r="B308" s="4" t="s">
        <v>1212</v>
      </c>
      <c r="C308" s="4" t="s">
        <v>1794</v>
      </c>
      <c r="D308" s="4" t="str">
        <f>cna_product_database_catalog_website[[#This Row],[MainCategory]]&amp;"&gt;"&amp;cna_product_database_catalog_website[[#This Row],[SubCategory1]]&amp;"&gt;"&amp;cna_product_database_catalog_website[[#This Row],[SubCategory2]]</f>
        <v>CFL&gt;PLC (2-PIN)&gt;PLC-9W 2700K</v>
      </c>
      <c r="E308">
        <v>3600</v>
      </c>
      <c r="F308" t="s">
        <v>902</v>
      </c>
      <c r="G308" s="3">
        <v>138</v>
      </c>
      <c r="H308" s="8">
        <v>2.2000000000000002</v>
      </c>
      <c r="I308" t="s">
        <v>902</v>
      </c>
      <c r="J308" t="s">
        <v>902</v>
      </c>
      <c r="K308" t="s">
        <v>903</v>
      </c>
      <c r="L308" t="s">
        <v>46</v>
      </c>
      <c r="M308" s="12"/>
      <c r="N308" t="s">
        <v>47</v>
      </c>
      <c r="O308" s="3">
        <v>1</v>
      </c>
      <c r="P308" s="3">
        <v>1</v>
      </c>
      <c r="Q308" t="s">
        <v>239</v>
      </c>
      <c r="R308" t="s">
        <v>895</v>
      </c>
      <c r="S308" t="s">
        <v>48</v>
      </c>
      <c r="T308" t="s">
        <v>48</v>
      </c>
      <c r="U308" t="s">
        <v>48</v>
      </c>
      <c r="V308" t="s">
        <v>48</v>
      </c>
      <c r="W308" t="s">
        <v>48</v>
      </c>
      <c r="X308" t="s">
        <v>48</v>
      </c>
      <c r="Y308" s="3" t="s">
        <v>48</v>
      </c>
      <c r="Z308" s="3" t="s">
        <v>48</v>
      </c>
      <c r="AA308" s="3" t="s">
        <v>48</v>
      </c>
      <c r="AB308" s="1" t="s">
        <v>48</v>
      </c>
      <c r="AC308" s="1" t="s">
        <v>48</v>
      </c>
      <c r="AD308" t="s">
        <v>48</v>
      </c>
      <c r="AE308"/>
      <c r="AF308" t="s">
        <v>48</v>
      </c>
      <c r="AG308" t="s">
        <v>48</v>
      </c>
      <c r="AH308" t="s">
        <v>48</v>
      </c>
      <c r="AI308" t="s">
        <v>48</v>
      </c>
      <c r="AL308" t="s">
        <v>48</v>
      </c>
      <c r="AO308" t="s">
        <v>48</v>
      </c>
      <c r="AP308" t="s">
        <v>48</v>
      </c>
      <c r="AQ308" t="s">
        <v>48</v>
      </c>
      <c r="AV308" t="s">
        <v>904</v>
      </c>
      <c r="AW308" t="s">
        <v>48</v>
      </c>
      <c r="AX308" s="2" t="s">
        <v>169</v>
      </c>
      <c r="AY308" s="2" t="s">
        <v>279</v>
      </c>
      <c r="BC308">
        <f>SUM(cna_product_database_catalog_website[[#This Row],[Box Length (cm)]]*cna_product_database_catalog_website[[#This Row],[Box Width (cm)]]*cna_product_database_catalog_website[[#This Row],[Box Height (cm)]]/1000000)</f>
        <v>0</v>
      </c>
      <c r="BD308">
        <f>SUM(cna_product_database_catalog_website[[#This Row],[Box CBM]]*35.3147)</f>
        <v>0</v>
      </c>
      <c r="BE308" t="s">
        <v>48</v>
      </c>
      <c r="BI30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8">
        <f>SUM(cna_product_database_catalog_website[[#This Row],[Carton CFT]]/61024)</f>
        <v>0</v>
      </c>
      <c r="BM308" t="s">
        <v>48</v>
      </c>
      <c r="BN308" t="s">
        <v>48</v>
      </c>
      <c r="BO308" t="s">
        <v>48</v>
      </c>
      <c r="BP308" t="s">
        <v>48</v>
      </c>
      <c r="BQ308" t="s">
        <v>48</v>
      </c>
      <c r="BS308" t="s">
        <v>48</v>
      </c>
      <c r="BT308" t="s">
        <v>48</v>
      </c>
      <c r="BU308" t="s">
        <v>48</v>
      </c>
      <c r="BW308" t="s">
        <v>48</v>
      </c>
      <c r="BX308" t="s">
        <v>48</v>
      </c>
      <c r="BY308" t="s">
        <v>48</v>
      </c>
      <c r="BZ308" t="s">
        <v>48</v>
      </c>
      <c r="CA308" t="s">
        <v>48</v>
      </c>
      <c r="CB308" t="s">
        <v>48</v>
      </c>
      <c r="CC308" t="s">
        <v>48</v>
      </c>
      <c r="CD308" t="s">
        <v>48</v>
      </c>
      <c r="CE308" t="s">
        <v>48</v>
      </c>
      <c r="CF308" t="s">
        <v>48</v>
      </c>
      <c r="CG308" t="s">
        <v>48</v>
      </c>
      <c r="CH308" t="s">
        <v>48</v>
      </c>
      <c r="CI308" t="s">
        <v>48</v>
      </c>
      <c r="CJ308" t="s">
        <v>48</v>
      </c>
    </row>
    <row r="309" spans="1:88" x14ac:dyDescent="0.25">
      <c r="A309" s="4" t="s">
        <v>1439</v>
      </c>
      <c r="B309" s="4" t="s">
        <v>1212</v>
      </c>
      <c r="C309" s="4" t="s">
        <v>1795</v>
      </c>
      <c r="D309" s="4" t="str">
        <f>cna_product_database_catalog_website[[#This Row],[MainCategory]]&amp;"&gt;"&amp;cna_product_database_catalog_website[[#This Row],[SubCategory1]]&amp;"&gt;"&amp;cna_product_database_catalog_website[[#This Row],[SubCategory2]]</f>
        <v>CFL&gt;PLC (2-PIN)&gt;PLC-9W 3500K</v>
      </c>
      <c r="E309">
        <v>3605</v>
      </c>
      <c r="F309" t="s">
        <v>905</v>
      </c>
      <c r="G309" s="3">
        <v>161</v>
      </c>
      <c r="H309" s="8">
        <v>2.2000000000000002</v>
      </c>
      <c r="I309" t="s">
        <v>905</v>
      </c>
      <c r="J309" t="s">
        <v>905</v>
      </c>
      <c r="K309" t="s">
        <v>903</v>
      </c>
      <c r="L309" t="s">
        <v>46</v>
      </c>
      <c r="M309" s="12"/>
      <c r="N309" t="s">
        <v>47</v>
      </c>
      <c r="O309" s="3">
        <v>1</v>
      </c>
      <c r="P309" s="3">
        <v>1</v>
      </c>
      <c r="Q309" t="s">
        <v>239</v>
      </c>
      <c r="R309" t="s">
        <v>895</v>
      </c>
      <c r="S309" t="s">
        <v>48</v>
      </c>
      <c r="T309" t="s">
        <v>48</v>
      </c>
      <c r="U309" t="s">
        <v>48</v>
      </c>
      <c r="V309" t="s">
        <v>48</v>
      </c>
      <c r="W309" t="s">
        <v>48</v>
      </c>
      <c r="X309" t="s">
        <v>48</v>
      </c>
      <c r="Y309" s="3" t="s">
        <v>48</v>
      </c>
      <c r="Z309" s="3" t="s">
        <v>48</v>
      </c>
      <c r="AA309" s="3" t="s">
        <v>48</v>
      </c>
      <c r="AB309" s="1" t="s">
        <v>48</v>
      </c>
      <c r="AC309" s="1" t="s">
        <v>48</v>
      </c>
      <c r="AD309" t="s">
        <v>48</v>
      </c>
      <c r="AE309"/>
      <c r="AF309" t="s">
        <v>48</v>
      </c>
      <c r="AG309" t="s">
        <v>48</v>
      </c>
      <c r="AH309" t="s">
        <v>48</v>
      </c>
      <c r="AI309" t="s">
        <v>48</v>
      </c>
      <c r="AL309" t="s">
        <v>48</v>
      </c>
      <c r="AO309" t="s">
        <v>48</v>
      </c>
      <c r="AP309" t="s">
        <v>48</v>
      </c>
      <c r="AQ309" t="s">
        <v>48</v>
      </c>
      <c r="AV309" t="s">
        <v>904</v>
      </c>
      <c r="AW309" t="s">
        <v>48</v>
      </c>
      <c r="AX309" s="2" t="s">
        <v>169</v>
      </c>
      <c r="AY309" s="2" t="s">
        <v>279</v>
      </c>
      <c r="BC309">
        <f>SUM(cna_product_database_catalog_website[[#This Row],[Box Length (cm)]]*cna_product_database_catalog_website[[#This Row],[Box Width (cm)]]*cna_product_database_catalog_website[[#This Row],[Box Height (cm)]]/1000000)</f>
        <v>0</v>
      </c>
      <c r="BD309">
        <f>SUM(cna_product_database_catalog_website[[#This Row],[Box CBM]]*35.3147)</f>
        <v>0</v>
      </c>
      <c r="BE309" t="s">
        <v>48</v>
      </c>
      <c r="BI30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9">
        <f>SUM(cna_product_database_catalog_website[[#This Row],[Carton CFT]]/61024)</f>
        <v>0</v>
      </c>
      <c r="BM309" t="s">
        <v>48</v>
      </c>
      <c r="BN309" t="s">
        <v>48</v>
      </c>
      <c r="BO309" t="s">
        <v>48</v>
      </c>
      <c r="BP309" t="s">
        <v>48</v>
      </c>
      <c r="BQ309" t="s">
        <v>48</v>
      </c>
      <c r="BS309" t="s">
        <v>48</v>
      </c>
      <c r="BT309" t="s">
        <v>48</v>
      </c>
      <c r="BU309" t="s">
        <v>48</v>
      </c>
      <c r="BW309" t="s">
        <v>48</v>
      </c>
      <c r="BX309" t="s">
        <v>48</v>
      </c>
      <c r="BY309" t="s">
        <v>48</v>
      </c>
      <c r="BZ309" t="s">
        <v>48</v>
      </c>
      <c r="CA309" t="s">
        <v>48</v>
      </c>
      <c r="CB309" t="s">
        <v>48</v>
      </c>
      <c r="CC309" t="s">
        <v>48</v>
      </c>
      <c r="CD309" t="s">
        <v>48</v>
      </c>
      <c r="CE309" t="s">
        <v>48</v>
      </c>
      <c r="CF309" t="s">
        <v>48</v>
      </c>
      <c r="CG309" t="s">
        <v>48</v>
      </c>
      <c r="CH309" t="s">
        <v>48</v>
      </c>
      <c r="CI309" t="s">
        <v>48</v>
      </c>
      <c r="CJ309" t="s">
        <v>48</v>
      </c>
    </row>
    <row r="310" spans="1:88" x14ac:dyDescent="0.25">
      <c r="A310" s="4" t="s">
        <v>1439</v>
      </c>
      <c r="B310" s="4" t="s">
        <v>1212</v>
      </c>
      <c r="C310" s="4" t="s">
        <v>1796</v>
      </c>
      <c r="D310" s="4" t="str">
        <f>cna_product_database_catalog_website[[#This Row],[MainCategory]]&amp;"&gt;"&amp;cna_product_database_catalog_website[[#This Row],[SubCategory1]]&amp;"&gt;"&amp;cna_product_database_catalog_website[[#This Row],[SubCategory2]]</f>
        <v>CFL&gt;PLC (2-PIN)&gt;PLC-9W 4100K</v>
      </c>
      <c r="E310">
        <v>3610</v>
      </c>
      <c r="F310" t="s">
        <v>906</v>
      </c>
      <c r="G310" s="3">
        <v>162</v>
      </c>
      <c r="H310" s="8">
        <v>2.2000000000000002</v>
      </c>
      <c r="I310" t="s">
        <v>906</v>
      </c>
      <c r="J310" t="s">
        <v>906</v>
      </c>
      <c r="K310" t="s">
        <v>903</v>
      </c>
      <c r="L310" t="s">
        <v>46</v>
      </c>
      <c r="M310" s="12"/>
      <c r="N310" t="s">
        <v>47</v>
      </c>
      <c r="O310" s="3">
        <v>1</v>
      </c>
      <c r="P310" s="3">
        <v>1</v>
      </c>
      <c r="Q310" t="s">
        <v>239</v>
      </c>
      <c r="R310" t="s">
        <v>895</v>
      </c>
      <c r="S310" t="s">
        <v>48</v>
      </c>
      <c r="T310" t="s">
        <v>48</v>
      </c>
      <c r="U310" t="s">
        <v>48</v>
      </c>
      <c r="V310" t="s">
        <v>48</v>
      </c>
      <c r="W310" t="s">
        <v>48</v>
      </c>
      <c r="X310" t="s">
        <v>48</v>
      </c>
      <c r="Y310" s="3" t="s">
        <v>48</v>
      </c>
      <c r="Z310" s="3" t="s">
        <v>48</v>
      </c>
      <c r="AA310" s="3" t="s">
        <v>48</v>
      </c>
      <c r="AB310" s="1" t="s">
        <v>48</v>
      </c>
      <c r="AC310" s="1" t="s">
        <v>48</v>
      </c>
      <c r="AD310" t="s">
        <v>48</v>
      </c>
      <c r="AE310"/>
      <c r="AF310" t="s">
        <v>48</v>
      </c>
      <c r="AG310" t="s">
        <v>48</v>
      </c>
      <c r="AH310" t="s">
        <v>48</v>
      </c>
      <c r="AI310" t="s">
        <v>48</v>
      </c>
      <c r="AL310" t="s">
        <v>48</v>
      </c>
      <c r="AO310" t="s">
        <v>48</v>
      </c>
      <c r="AP310" t="s">
        <v>48</v>
      </c>
      <c r="AQ310" t="s">
        <v>48</v>
      </c>
      <c r="AV310" t="s">
        <v>904</v>
      </c>
      <c r="AW310" t="s">
        <v>48</v>
      </c>
      <c r="AX310" s="2" t="s">
        <v>169</v>
      </c>
      <c r="AY310" s="2" t="s">
        <v>279</v>
      </c>
      <c r="BC310">
        <f>SUM(cna_product_database_catalog_website[[#This Row],[Box Length (cm)]]*cna_product_database_catalog_website[[#This Row],[Box Width (cm)]]*cna_product_database_catalog_website[[#This Row],[Box Height (cm)]]/1000000)</f>
        <v>0</v>
      </c>
      <c r="BD310">
        <f>SUM(cna_product_database_catalog_website[[#This Row],[Box CBM]]*35.3147)</f>
        <v>0</v>
      </c>
      <c r="BE310" t="s">
        <v>48</v>
      </c>
      <c r="BI31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0">
        <f>SUM(cna_product_database_catalog_website[[#This Row],[Carton CFT]]/61024)</f>
        <v>0</v>
      </c>
      <c r="BM310" t="s">
        <v>48</v>
      </c>
      <c r="BN310" t="s">
        <v>48</v>
      </c>
      <c r="BO310" t="s">
        <v>48</v>
      </c>
      <c r="BP310" t="s">
        <v>48</v>
      </c>
      <c r="BQ310" t="s">
        <v>48</v>
      </c>
      <c r="BS310" t="s">
        <v>48</v>
      </c>
      <c r="BT310" t="s">
        <v>48</v>
      </c>
      <c r="BU310" t="s">
        <v>48</v>
      </c>
      <c r="BW310" t="s">
        <v>48</v>
      </c>
      <c r="BX310" t="s">
        <v>48</v>
      </c>
      <c r="BY310" t="s">
        <v>48</v>
      </c>
      <c r="BZ310" t="s">
        <v>48</v>
      </c>
      <c r="CA310" t="s">
        <v>48</v>
      </c>
      <c r="CB310" t="s">
        <v>48</v>
      </c>
      <c r="CC310" t="s">
        <v>48</v>
      </c>
      <c r="CD310" t="s">
        <v>48</v>
      </c>
      <c r="CE310" t="s">
        <v>48</v>
      </c>
      <c r="CF310" t="s">
        <v>48</v>
      </c>
      <c r="CG310" t="s">
        <v>48</v>
      </c>
      <c r="CH310" t="s">
        <v>48</v>
      </c>
      <c r="CI310" t="s">
        <v>48</v>
      </c>
      <c r="CJ310" t="s">
        <v>48</v>
      </c>
    </row>
    <row r="311" spans="1:88" x14ac:dyDescent="0.25">
      <c r="A311" s="4" t="s">
        <v>1439</v>
      </c>
      <c r="B311" s="4" t="s">
        <v>1212</v>
      </c>
      <c r="C311" s="4" t="s">
        <v>1797</v>
      </c>
      <c r="D311" s="4" t="str">
        <f>cna_product_database_catalog_website[[#This Row],[MainCategory]]&amp;"&gt;"&amp;cna_product_database_catalog_website[[#This Row],[SubCategory1]]&amp;"&gt;"&amp;cna_product_database_catalog_website[[#This Row],[SubCategory2]]</f>
        <v>CFL&gt;PLC (2-PIN)&gt;PLC-26W 2700K</v>
      </c>
      <c r="E311">
        <v>3615</v>
      </c>
      <c r="F311" t="s">
        <v>907</v>
      </c>
      <c r="G311" s="3">
        <v>226</v>
      </c>
      <c r="H311" s="8">
        <v>2.2000000000000002</v>
      </c>
      <c r="I311" t="s">
        <v>907</v>
      </c>
      <c r="J311" t="s">
        <v>907</v>
      </c>
      <c r="K311" t="s">
        <v>903</v>
      </c>
      <c r="L311" t="s">
        <v>46</v>
      </c>
      <c r="M311" s="12"/>
      <c r="N311" t="s">
        <v>47</v>
      </c>
      <c r="O311" s="3">
        <v>1</v>
      </c>
      <c r="P311" s="3">
        <v>1</v>
      </c>
      <c r="Q311" t="s">
        <v>549</v>
      </c>
      <c r="R311" t="s">
        <v>895</v>
      </c>
      <c r="S311" t="s">
        <v>48</v>
      </c>
      <c r="T311" t="s">
        <v>48</v>
      </c>
      <c r="U311" t="s">
        <v>48</v>
      </c>
      <c r="V311" t="s">
        <v>48</v>
      </c>
      <c r="W311" t="s">
        <v>48</v>
      </c>
      <c r="X311" t="s">
        <v>48</v>
      </c>
      <c r="Y311" s="3" t="s">
        <v>48</v>
      </c>
      <c r="Z311" s="3" t="s">
        <v>48</v>
      </c>
      <c r="AA311" s="3" t="s">
        <v>48</v>
      </c>
      <c r="AB311" s="1" t="s">
        <v>48</v>
      </c>
      <c r="AC311" s="1" t="s">
        <v>48</v>
      </c>
      <c r="AD311" t="s">
        <v>48</v>
      </c>
      <c r="AE311"/>
      <c r="AF311" t="s">
        <v>48</v>
      </c>
      <c r="AG311" t="s">
        <v>48</v>
      </c>
      <c r="AH311" t="s">
        <v>48</v>
      </c>
      <c r="AI311" t="s">
        <v>48</v>
      </c>
      <c r="AL311" t="s">
        <v>48</v>
      </c>
      <c r="AO311" t="s">
        <v>48</v>
      </c>
      <c r="AP311" t="s">
        <v>48</v>
      </c>
      <c r="AQ311" t="s">
        <v>48</v>
      </c>
      <c r="AV311" t="s">
        <v>908</v>
      </c>
      <c r="AW311" t="s">
        <v>48</v>
      </c>
      <c r="AX311" s="2" t="s">
        <v>80</v>
      </c>
      <c r="AY311" s="2" t="s">
        <v>63</v>
      </c>
      <c r="BC311">
        <f>SUM(cna_product_database_catalog_website[[#This Row],[Box Length (cm)]]*cna_product_database_catalog_website[[#This Row],[Box Width (cm)]]*cna_product_database_catalog_website[[#This Row],[Box Height (cm)]]/1000000)</f>
        <v>0</v>
      </c>
      <c r="BD311">
        <f>SUM(cna_product_database_catalog_website[[#This Row],[Box CBM]]*35.3147)</f>
        <v>0</v>
      </c>
      <c r="BE311" t="s">
        <v>48</v>
      </c>
      <c r="BI31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1">
        <f>SUM(cna_product_database_catalog_website[[#This Row],[Carton CFT]]/61024)</f>
        <v>0</v>
      </c>
      <c r="BM311" t="s">
        <v>48</v>
      </c>
      <c r="BN311" t="s">
        <v>48</v>
      </c>
      <c r="BO311" t="s">
        <v>48</v>
      </c>
      <c r="BP311" t="s">
        <v>48</v>
      </c>
      <c r="BQ311" t="s">
        <v>48</v>
      </c>
      <c r="BS311" t="s">
        <v>48</v>
      </c>
      <c r="BT311" t="s">
        <v>48</v>
      </c>
      <c r="BU311" t="s">
        <v>48</v>
      </c>
      <c r="BW311" t="s">
        <v>48</v>
      </c>
      <c r="BX311" t="s">
        <v>48</v>
      </c>
      <c r="BY311" t="s">
        <v>48</v>
      </c>
      <c r="BZ311" t="s">
        <v>48</v>
      </c>
      <c r="CA311" t="s">
        <v>48</v>
      </c>
      <c r="CB311" t="s">
        <v>48</v>
      </c>
      <c r="CC311" t="s">
        <v>48</v>
      </c>
      <c r="CD311" t="s">
        <v>48</v>
      </c>
      <c r="CE311" t="s">
        <v>48</v>
      </c>
      <c r="CF311" t="s">
        <v>48</v>
      </c>
      <c r="CG311" t="s">
        <v>48</v>
      </c>
      <c r="CH311" t="s">
        <v>48</v>
      </c>
      <c r="CI311" t="s">
        <v>48</v>
      </c>
      <c r="CJ311" t="s">
        <v>48</v>
      </c>
    </row>
    <row r="312" spans="1:88" x14ac:dyDescent="0.25">
      <c r="A312" s="4" t="s">
        <v>1439</v>
      </c>
      <c r="B312" s="4" t="s">
        <v>1212</v>
      </c>
      <c r="C312" s="4" t="s">
        <v>1798</v>
      </c>
      <c r="D312" s="4" t="str">
        <f>cna_product_database_catalog_website[[#This Row],[MainCategory]]&amp;"&gt;"&amp;cna_product_database_catalog_website[[#This Row],[SubCategory1]]&amp;"&gt;"&amp;cna_product_database_catalog_website[[#This Row],[SubCategory2]]</f>
        <v>CFL&gt;PLC (2-PIN)&gt;PLC-26W 3500K</v>
      </c>
      <c r="E312">
        <v>3620</v>
      </c>
      <c r="F312" t="s">
        <v>909</v>
      </c>
      <c r="G312" s="3">
        <v>351</v>
      </c>
      <c r="H312" s="8">
        <v>2.2000000000000002</v>
      </c>
      <c r="I312" t="s">
        <v>909</v>
      </c>
      <c r="J312" t="s">
        <v>909</v>
      </c>
      <c r="K312" t="s">
        <v>903</v>
      </c>
      <c r="L312" t="s">
        <v>46</v>
      </c>
      <c r="M312" s="12"/>
      <c r="N312" t="s">
        <v>47</v>
      </c>
      <c r="O312" s="3">
        <v>1</v>
      </c>
      <c r="P312" s="3">
        <v>1</v>
      </c>
      <c r="Q312" t="s">
        <v>549</v>
      </c>
      <c r="R312" t="s">
        <v>895</v>
      </c>
      <c r="S312" t="s">
        <v>48</v>
      </c>
      <c r="T312" t="s">
        <v>48</v>
      </c>
      <c r="U312" t="s">
        <v>48</v>
      </c>
      <c r="V312" t="s">
        <v>48</v>
      </c>
      <c r="W312" t="s">
        <v>48</v>
      </c>
      <c r="X312" t="s">
        <v>48</v>
      </c>
      <c r="Y312" s="3" t="s">
        <v>48</v>
      </c>
      <c r="Z312" s="3" t="s">
        <v>48</v>
      </c>
      <c r="AA312" s="3" t="s">
        <v>48</v>
      </c>
      <c r="AB312" s="1" t="s">
        <v>48</v>
      </c>
      <c r="AC312" s="1" t="s">
        <v>48</v>
      </c>
      <c r="AD312" t="s">
        <v>48</v>
      </c>
      <c r="AE312"/>
      <c r="AF312" t="s">
        <v>48</v>
      </c>
      <c r="AG312" t="s">
        <v>48</v>
      </c>
      <c r="AH312" t="s">
        <v>48</v>
      </c>
      <c r="AI312" t="s">
        <v>48</v>
      </c>
      <c r="AL312" t="s">
        <v>48</v>
      </c>
      <c r="AO312" t="s">
        <v>48</v>
      </c>
      <c r="AP312" t="s">
        <v>48</v>
      </c>
      <c r="AQ312" t="s">
        <v>48</v>
      </c>
      <c r="AV312" t="s">
        <v>908</v>
      </c>
      <c r="AW312" t="s">
        <v>48</v>
      </c>
      <c r="AX312" s="2" t="s">
        <v>80</v>
      </c>
      <c r="AY312" s="2" t="s">
        <v>63</v>
      </c>
      <c r="BC312">
        <f>SUM(cna_product_database_catalog_website[[#This Row],[Box Length (cm)]]*cna_product_database_catalog_website[[#This Row],[Box Width (cm)]]*cna_product_database_catalog_website[[#This Row],[Box Height (cm)]]/1000000)</f>
        <v>0</v>
      </c>
      <c r="BD312">
        <f>SUM(cna_product_database_catalog_website[[#This Row],[Box CBM]]*35.3147)</f>
        <v>0</v>
      </c>
      <c r="BE312" t="s">
        <v>48</v>
      </c>
      <c r="BI31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2">
        <f>SUM(cna_product_database_catalog_website[[#This Row],[Carton CFT]]/61024)</f>
        <v>0</v>
      </c>
      <c r="BM312" t="s">
        <v>48</v>
      </c>
      <c r="BN312" t="s">
        <v>48</v>
      </c>
      <c r="BO312" t="s">
        <v>48</v>
      </c>
      <c r="BP312" t="s">
        <v>48</v>
      </c>
      <c r="BQ312" t="s">
        <v>48</v>
      </c>
      <c r="BS312" t="s">
        <v>48</v>
      </c>
      <c r="BT312" t="s">
        <v>48</v>
      </c>
      <c r="BU312" t="s">
        <v>48</v>
      </c>
      <c r="BW312" t="s">
        <v>48</v>
      </c>
      <c r="BX312" t="s">
        <v>48</v>
      </c>
      <c r="BY312" t="s">
        <v>48</v>
      </c>
      <c r="BZ312" t="s">
        <v>48</v>
      </c>
      <c r="CA312" t="s">
        <v>48</v>
      </c>
      <c r="CB312" t="s">
        <v>48</v>
      </c>
      <c r="CC312" t="s">
        <v>48</v>
      </c>
      <c r="CD312" t="s">
        <v>48</v>
      </c>
      <c r="CE312" t="s">
        <v>48</v>
      </c>
      <c r="CF312" t="s">
        <v>48</v>
      </c>
      <c r="CG312" t="s">
        <v>48</v>
      </c>
      <c r="CH312" t="s">
        <v>48</v>
      </c>
      <c r="CI312" t="s">
        <v>48</v>
      </c>
      <c r="CJ312" t="s">
        <v>48</v>
      </c>
    </row>
    <row r="313" spans="1:88" x14ac:dyDescent="0.25">
      <c r="A313" s="4" t="s">
        <v>1439</v>
      </c>
      <c r="B313" s="4" t="s">
        <v>1213</v>
      </c>
      <c r="C313" s="4" t="s">
        <v>1799</v>
      </c>
      <c r="D313" s="4" t="str">
        <f>cna_product_database_catalog_website[[#This Row],[MainCategory]]&amp;"&gt;"&amp;cna_product_database_catalog_website[[#This Row],[SubCategory1]]&amp;"&gt;"&amp;cna_product_database_catalog_website[[#This Row],[SubCategory2]]</f>
        <v>CFL&gt;PLC (4-PIN)&gt;PLC-10W 2700K</v>
      </c>
      <c r="E313">
        <v>3700</v>
      </c>
      <c r="F313" t="s">
        <v>910</v>
      </c>
      <c r="G313" s="3">
        <v>219</v>
      </c>
      <c r="H313" s="8">
        <v>2.4500000000000002</v>
      </c>
      <c r="I313" t="s">
        <v>910</v>
      </c>
      <c r="J313" t="s">
        <v>910</v>
      </c>
      <c r="K313" t="s">
        <v>911</v>
      </c>
      <c r="L313" t="s">
        <v>46</v>
      </c>
      <c r="M313" s="12"/>
      <c r="N313" t="s">
        <v>47</v>
      </c>
      <c r="O313" s="3">
        <v>1</v>
      </c>
      <c r="P313" s="3">
        <v>1</v>
      </c>
      <c r="Q313" t="s">
        <v>364</v>
      </c>
      <c r="R313" t="s">
        <v>895</v>
      </c>
      <c r="S313" t="s">
        <v>48</v>
      </c>
      <c r="T313" t="s">
        <v>48</v>
      </c>
      <c r="U313" t="s">
        <v>48</v>
      </c>
      <c r="V313" t="s">
        <v>48</v>
      </c>
      <c r="W313" t="s">
        <v>48</v>
      </c>
      <c r="X313" t="s">
        <v>48</v>
      </c>
      <c r="Y313" s="3" t="s">
        <v>48</v>
      </c>
      <c r="Z313" s="3" t="s">
        <v>48</v>
      </c>
      <c r="AA313" s="3" t="s">
        <v>48</v>
      </c>
      <c r="AB313" s="1" t="s">
        <v>48</v>
      </c>
      <c r="AC313" s="1" t="s">
        <v>48</v>
      </c>
      <c r="AD313" t="s">
        <v>48</v>
      </c>
      <c r="AE313"/>
      <c r="AF313" t="s">
        <v>48</v>
      </c>
      <c r="AG313" t="s">
        <v>48</v>
      </c>
      <c r="AH313" t="s">
        <v>48</v>
      </c>
      <c r="AI313" t="s">
        <v>48</v>
      </c>
      <c r="AL313" t="s">
        <v>48</v>
      </c>
      <c r="AO313" t="s">
        <v>48</v>
      </c>
      <c r="AP313" t="s">
        <v>48</v>
      </c>
      <c r="AQ313" t="s">
        <v>48</v>
      </c>
      <c r="AV313" t="s">
        <v>912</v>
      </c>
      <c r="AW313" t="s">
        <v>48</v>
      </c>
      <c r="AX313" s="2" t="s">
        <v>80</v>
      </c>
      <c r="AY313" s="2" t="s">
        <v>63</v>
      </c>
      <c r="BC313">
        <f>SUM(cna_product_database_catalog_website[[#This Row],[Box Length (cm)]]*cna_product_database_catalog_website[[#This Row],[Box Width (cm)]]*cna_product_database_catalog_website[[#This Row],[Box Height (cm)]]/1000000)</f>
        <v>0</v>
      </c>
      <c r="BD313">
        <f>SUM(cna_product_database_catalog_website[[#This Row],[Box CBM]]*35.3147)</f>
        <v>0</v>
      </c>
      <c r="BE313" t="s">
        <v>48</v>
      </c>
      <c r="BI31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3">
        <f>SUM(cna_product_database_catalog_website[[#This Row],[Carton CFT]]/61024)</f>
        <v>0</v>
      </c>
      <c r="BM313" t="s">
        <v>48</v>
      </c>
      <c r="BN313" t="s">
        <v>48</v>
      </c>
      <c r="BO313" t="s">
        <v>48</v>
      </c>
      <c r="BP313" t="s">
        <v>48</v>
      </c>
      <c r="BQ313" t="s">
        <v>48</v>
      </c>
      <c r="BS313" t="s">
        <v>48</v>
      </c>
      <c r="BT313" t="s">
        <v>48</v>
      </c>
      <c r="BU313" t="s">
        <v>48</v>
      </c>
      <c r="BW313" t="s">
        <v>48</v>
      </c>
      <c r="BX313" t="s">
        <v>48</v>
      </c>
      <c r="BY313" t="s">
        <v>48</v>
      </c>
      <c r="BZ313" t="s">
        <v>48</v>
      </c>
      <c r="CA313" t="s">
        <v>48</v>
      </c>
      <c r="CB313" t="s">
        <v>48</v>
      </c>
      <c r="CC313" t="s">
        <v>48</v>
      </c>
      <c r="CD313" t="s">
        <v>48</v>
      </c>
      <c r="CE313" t="s">
        <v>48</v>
      </c>
      <c r="CF313" t="s">
        <v>48</v>
      </c>
      <c r="CG313" t="s">
        <v>48</v>
      </c>
      <c r="CH313" t="s">
        <v>48</v>
      </c>
      <c r="CI313" t="s">
        <v>48</v>
      </c>
      <c r="CJ313" t="s">
        <v>48</v>
      </c>
    </row>
    <row r="314" spans="1:88" x14ac:dyDescent="0.25">
      <c r="A314" s="4" t="s">
        <v>1439</v>
      </c>
      <c r="B314" s="4" t="s">
        <v>1214</v>
      </c>
      <c r="C314" s="4" t="s">
        <v>1800</v>
      </c>
      <c r="D314" s="4" t="str">
        <f>cna_product_database_catalog_website[[#This Row],[MainCategory]]&amp;"&gt;"&amp;cna_product_database_catalog_website[[#This Row],[SubCategory1]]&amp;"&gt;"&amp;cna_product_database_catalog_website[[#This Row],[SubCategory2]]</f>
        <v>CFL&gt;PLT (4-PIN)&gt;PLT-26W 2700K</v>
      </c>
      <c r="E314">
        <v>3710</v>
      </c>
      <c r="F314" t="s">
        <v>913</v>
      </c>
      <c r="G314" s="3">
        <v>222</v>
      </c>
      <c r="H314" s="8">
        <v>3.05</v>
      </c>
      <c r="I314" t="s">
        <v>913</v>
      </c>
      <c r="J314" t="s">
        <v>913</v>
      </c>
      <c r="K314" t="s">
        <v>914</v>
      </c>
      <c r="L314" t="s">
        <v>46</v>
      </c>
      <c r="M314" s="12"/>
      <c r="N314" t="s">
        <v>47</v>
      </c>
      <c r="O314" s="3">
        <v>1</v>
      </c>
      <c r="P314" s="3">
        <v>1</v>
      </c>
      <c r="Q314" t="s">
        <v>549</v>
      </c>
      <c r="R314" t="s">
        <v>895</v>
      </c>
      <c r="S314" t="s">
        <v>48</v>
      </c>
      <c r="T314" t="s">
        <v>48</v>
      </c>
      <c r="U314" t="s">
        <v>48</v>
      </c>
      <c r="V314" t="s">
        <v>48</v>
      </c>
      <c r="W314" t="s">
        <v>48</v>
      </c>
      <c r="X314" t="s">
        <v>48</v>
      </c>
      <c r="Y314" s="3" t="s">
        <v>48</v>
      </c>
      <c r="Z314" s="3" t="s">
        <v>48</v>
      </c>
      <c r="AA314" s="3" t="s">
        <v>48</v>
      </c>
      <c r="AB314" s="1" t="s">
        <v>48</v>
      </c>
      <c r="AC314" s="1" t="s">
        <v>48</v>
      </c>
      <c r="AD314" t="s">
        <v>48</v>
      </c>
      <c r="AE314"/>
      <c r="AF314" t="s">
        <v>48</v>
      </c>
      <c r="AG314" t="s">
        <v>48</v>
      </c>
      <c r="AH314" t="s">
        <v>48</v>
      </c>
      <c r="AI314" t="s">
        <v>48</v>
      </c>
      <c r="AL314" t="s">
        <v>48</v>
      </c>
      <c r="AO314" t="s">
        <v>48</v>
      </c>
      <c r="AP314" t="s">
        <v>48</v>
      </c>
      <c r="AQ314" t="s">
        <v>48</v>
      </c>
      <c r="AV314" t="s">
        <v>915</v>
      </c>
      <c r="AW314" t="s">
        <v>48</v>
      </c>
      <c r="AX314" s="2" t="s">
        <v>80</v>
      </c>
      <c r="AY314" s="2" t="s">
        <v>63</v>
      </c>
      <c r="BC314">
        <f>SUM(cna_product_database_catalog_website[[#This Row],[Box Length (cm)]]*cna_product_database_catalog_website[[#This Row],[Box Width (cm)]]*cna_product_database_catalog_website[[#This Row],[Box Height (cm)]]/1000000)</f>
        <v>0</v>
      </c>
      <c r="BD314">
        <f>SUM(cna_product_database_catalog_website[[#This Row],[Box CBM]]*35.3147)</f>
        <v>0</v>
      </c>
      <c r="BE314" t="s">
        <v>48</v>
      </c>
      <c r="BI31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4">
        <f>SUM(cna_product_database_catalog_website[[#This Row],[Carton CFT]]/61024)</f>
        <v>0</v>
      </c>
      <c r="BM314" t="s">
        <v>48</v>
      </c>
      <c r="BN314" t="s">
        <v>48</v>
      </c>
      <c r="BO314" t="s">
        <v>48</v>
      </c>
      <c r="BP314" t="s">
        <v>48</v>
      </c>
      <c r="BQ314" t="s">
        <v>48</v>
      </c>
      <c r="BS314" t="s">
        <v>48</v>
      </c>
      <c r="BT314" t="s">
        <v>48</v>
      </c>
      <c r="BU314" t="s">
        <v>48</v>
      </c>
      <c r="BW314" t="s">
        <v>48</v>
      </c>
      <c r="BX314" t="s">
        <v>48</v>
      </c>
      <c r="BY314" t="s">
        <v>48</v>
      </c>
      <c r="BZ314" t="s">
        <v>48</v>
      </c>
      <c r="CA314" t="s">
        <v>48</v>
      </c>
      <c r="CB314" t="s">
        <v>48</v>
      </c>
      <c r="CC314" t="s">
        <v>48</v>
      </c>
      <c r="CD314" t="s">
        <v>48</v>
      </c>
      <c r="CE314" t="s">
        <v>48</v>
      </c>
      <c r="CF314" t="s">
        <v>48</v>
      </c>
      <c r="CG314" t="s">
        <v>48</v>
      </c>
      <c r="CH314" t="s">
        <v>48</v>
      </c>
      <c r="CI314" t="s">
        <v>48</v>
      </c>
      <c r="CJ314" t="s">
        <v>48</v>
      </c>
    </row>
    <row r="315" spans="1:88" x14ac:dyDescent="0.25">
      <c r="A315" s="4" t="s">
        <v>1439</v>
      </c>
      <c r="B315" s="4" t="s">
        <v>1214</v>
      </c>
      <c r="C315" s="4" t="s">
        <v>1801</v>
      </c>
      <c r="D315" s="4" t="str">
        <f>cna_product_database_catalog_website[[#This Row],[MainCategory]]&amp;"&gt;"&amp;cna_product_database_catalog_website[[#This Row],[SubCategory1]]&amp;"&gt;"&amp;cna_product_database_catalog_website[[#This Row],[SubCategory2]]</f>
        <v>CFL&gt;PLT (4-PIN)&gt;PLT-26W 3500K</v>
      </c>
      <c r="E315">
        <v>3715</v>
      </c>
      <c r="F315" t="s">
        <v>916</v>
      </c>
      <c r="G315" s="3">
        <v>496</v>
      </c>
      <c r="H315" s="8">
        <v>3.05</v>
      </c>
      <c r="I315" t="s">
        <v>916</v>
      </c>
      <c r="J315" t="s">
        <v>916</v>
      </c>
      <c r="K315" t="s">
        <v>914</v>
      </c>
      <c r="L315" t="s">
        <v>46</v>
      </c>
      <c r="M315" s="12"/>
      <c r="N315" t="s">
        <v>47</v>
      </c>
      <c r="O315" s="3">
        <v>1</v>
      </c>
      <c r="P315" s="3">
        <v>1</v>
      </c>
      <c r="Q315" t="s">
        <v>549</v>
      </c>
      <c r="R315" t="s">
        <v>895</v>
      </c>
      <c r="S315" t="s">
        <v>48</v>
      </c>
      <c r="T315" t="s">
        <v>48</v>
      </c>
      <c r="U315" t="s">
        <v>48</v>
      </c>
      <c r="V315" t="s">
        <v>48</v>
      </c>
      <c r="W315" t="s">
        <v>48</v>
      </c>
      <c r="X315" t="s">
        <v>48</v>
      </c>
      <c r="Y315" s="3" t="s">
        <v>48</v>
      </c>
      <c r="Z315" s="3" t="s">
        <v>48</v>
      </c>
      <c r="AA315" s="3" t="s">
        <v>48</v>
      </c>
      <c r="AB315" s="1" t="s">
        <v>48</v>
      </c>
      <c r="AC315" s="1" t="s">
        <v>48</v>
      </c>
      <c r="AD315" t="s">
        <v>48</v>
      </c>
      <c r="AE315"/>
      <c r="AF315" t="s">
        <v>48</v>
      </c>
      <c r="AG315" t="s">
        <v>48</v>
      </c>
      <c r="AH315" t="s">
        <v>48</v>
      </c>
      <c r="AI315" t="s">
        <v>48</v>
      </c>
      <c r="AL315" t="s">
        <v>48</v>
      </c>
      <c r="AO315" t="s">
        <v>48</v>
      </c>
      <c r="AP315" t="s">
        <v>48</v>
      </c>
      <c r="AQ315" t="s">
        <v>48</v>
      </c>
      <c r="AV315" t="s">
        <v>915</v>
      </c>
      <c r="AW315" t="s">
        <v>48</v>
      </c>
      <c r="AX315" s="2" t="s">
        <v>80</v>
      </c>
      <c r="AY315" s="2" t="s">
        <v>63</v>
      </c>
      <c r="BC315">
        <f>SUM(cna_product_database_catalog_website[[#This Row],[Box Length (cm)]]*cna_product_database_catalog_website[[#This Row],[Box Width (cm)]]*cna_product_database_catalog_website[[#This Row],[Box Height (cm)]]/1000000)</f>
        <v>0</v>
      </c>
      <c r="BD315">
        <f>SUM(cna_product_database_catalog_website[[#This Row],[Box CBM]]*35.3147)</f>
        <v>0</v>
      </c>
      <c r="BE315" t="s">
        <v>48</v>
      </c>
      <c r="BI31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5">
        <f>SUM(cna_product_database_catalog_website[[#This Row],[Carton CFT]]/61024)</f>
        <v>0</v>
      </c>
      <c r="BM315" t="s">
        <v>48</v>
      </c>
      <c r="BN315" t="s">
        <v>48</v>
      </c>
      <c r="BO315" t="s">
        <v>48</v>
      </c>
      <c r="BP315" t="s">
        <v>48</v>
      </c>
      <c r="BQ315" t="s">
        <v>48</v>
      </c>
      <c r="BS315" t="s">
        <v>48</v>
      </c>
      <c r="BT315" t="s">
        <v>48</v>
      </c>
      <c r="BU315" t="s">
        <v>48</v>
      </c>
      <c r="BW315" t="s">
        <v>48</v>
      </c>
      <c r="BX315" t="s">
        <v>48</v>
      </c>
      <c r="BY315" t="s">
        <v>48</v>
      </c>
      <c r="BZ315" t="s">
        <v>48</v>
      </c>
      <c r="CA315" t="s">
        <v>48</v>
      </c>
      <c r="CB315" t="s">
        <v>48</v>
      </c>
      <c r="CC315" t="s">
        <v>48</v>
      </c>
      <c r="CD315" t="s">
        <v>48</v>
      </c>
      <c r="CE315" t="s">
        <v>48</v>
      </c>
      <c r="CF315" t="s">
        <v>48</v>
      </c>
      <c r="CG315" t="s">
        <v>48</v>
      </c>
      <c r="CH315" t="s">
        <v>48</v>
      </c>
      <c r="CI315" t="s">
        <v>48</v>
      </c>
      <c r="CJ315" t="s">
        <v>48</v>
      </c>
    </row>
    <row r="316" spans="1:88" x14ac:dyDescent="0.25">
      <c r="A316" s="4" t="s">
        <v>1439</v>
      </c>
      <c r="B316" s="4" t="s">
        <v>1214</v>
      </c>
      <c r="C316" s="4" t="s">
        <v>1802</v>
      </c>
      <c r="D316" s="4" t="str">
        <f>cna_product_database_catalog_website[[#This Row],[MainCategory]]&amp;"&gt;"&amp;cna_product_database_catalog_website[[#This Row],[SubCategory1]]&amp;"&gt;"&amp;cna_product_database_catalog_website[[#This Row],[SubCategory2]]</f>
        <v>CFL&gt;PLT (4-PIN)&gt;PLT-26W 4100K</v>
      </c>
      <c r="E316">
        <v>3720</v>
      </c>
      <c r="F316" t="s">
        <v>917</v>
      </c>
      <c r="G316" s="3">
        <v>497</v>
      </c>
      <c r="H316" s="8">
        <v>3.05</v>
      </c>
      <c r="I316" t="s">
        <v>917</v>
      </c>
      <c r="J316" t="s">
        <v>917</v>
      </c>
      <c r="K316" t="s">
        <v>914</v>
      </c>
      <c r="L316" t="s">
        <v>46</v>
      </c>
      <c r="M316" s="12"/>
      <c r="N316" t="s">
        <v>47</v>
      </c>
      <c r="O316" s="3">
        <v>1</v>
      </c>
      <c r="P316" s="3">
        <v>1</v>
      </c>
      <c r="Q316" t="s">
        <v>549</v>
      </c>
      <c r="R316" t="s">
        <v>895</v>
      </c>
      <c r="S316" t="s">
        <v>48</v>
      </c>
      <c r="T316" t="s">
        <v>48</v>
      </c>
      <c r="U316" t="s">
        <v>48</v>
      </c>
      <c r="V316" t="s">
        <v>48</v>
      </c>
      <c r="W316" t="s">
        <v>48</v>
      </c>
      <c r="X316" t="s">
        <v>48</v>
      </c>
      <c r="Y316" s="3" t="s">
        <v>48</v>
      </c>
      <c r="Z316" s="3" t="s">
        <v>48</v>
      </c>
      <c r="AA316" s="3" t="s">
        <v>48</v>
      </c>
      <c r="AB316" s="1" t="s">
        <v>48</v>
      </c>
      <c r="AC316" s="1" t="s">
        <v>48</v>
      </c>
      <c r="AD316" t="s">
        <v>48</v>
      </c>
      <c r="AE316"/>
      <c r="AF316" t="s">
        <v>48</v>
      </c>
      <c r="AG316" t="s">
        <v>48</v>
      </c>
      <c r="AH316" t="s">
        <v>48</v>
      </c>
      <c r="AI316" t="s">
        <v>48</v>
      </c>
      <c r="AL316" t="s">
        <v>48</v>
      </c>
      <c r="AO316" t="s">
        <v>48</v>
      </c>
      <c r="AP316" t="s">
        <v>48</v>
      </c>
      <c r="AQ316" t="s">
        <v>48</v>
      </c>
      <c r="AV316" t="s">
        <v>915</v>
      </c>
      <c r="AW316" t="s">
        <v>48</v>
      </c>
      <c r="AX316" s="2" t="s">
        <v>80</v>
      </c>
      <c r="AY316" s="2" t="s">
        <v>63</v>
      </c>
      <c r="BC316">
        <f>SUM(cna_product_database_catalog_website[[#This Row],[Box Length (cm)]]*cna_product_database_catalog_website[[#This Row],[Box Width (cm)]]*cna_product_database_catalog_website[[#This Row],[Box Height (cm)]]/1000000)</f>
        <v>0</v>
      </c>
      <c r="BD316">
        <f>SUM(cna_product_database_catalog_website[[#This Row],[Box CBM]]*35.3147)</f>
        <v>0</v>
      </c>
      <c r="BE316" t="s">
        <v>48</v>
      </c>
      <c r="BI31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6">
        <f>SUM(cna_product_database_catalog_website[[#This Row],[Carton CFT]]/61024)</f>
        <v>0</v>
      </c>
      <c r="BM316" t="s">
        <v>48</v>
      </c>
      <c r="BN316" t="s">
        <v>48</v>
      </c>
      <c r="BO316" t="s">
        <v>48</v>
      </c>
      <c r="BP316" t="s">
        <v>48</v>
      </c>
      <c r="BQ316" t="s">
        <v>48</v>
      </c>
      <c r="BS316" t="s">
        <v>48</v>
      </c>
      <c r="BT316" t="s">
        <v>48</v>
      </c>
      <c r="BU316" t="s">
        <v>48</v>
      </c>
      <c r="BW316" t="s">
        <v>48</v>
      </c>
      <c r="BX316" t="s">
        <v>48</v>
      </c>
      <c r="BY316" t="s">
        <v>48</v>
      </c>
      <c r="BZ316" t="s">
        <v>48</v>
      </c>
      <c r="CA316" t="s">
        <v>48</v>
      </c>
      <c r="CB316" t="s">
        <v>48</v>
      </c>
      <c r="CC316" t="s">
        <v>48</v>
      </c>
      <c r="CD316" t="s">
        <v>48</v>
      </c>
      <c r="CE316" t="s">
        <v>48</v>
      </c>
      <c r="CF316" t="s">
        <v>48</v>
      </c>
      <c r="CG316" t="s">
        <v>48</v>
      </c>
      <c r="CH316" t="s">
        <v>48</v>
      </c>
      <c r="CI316" t="s">
        <v>48</v>
      </c>
      <c r="CJ316" t="s">
        <v>48</v>
      </c>
    </row>
    <row r="317" spans="1:88" x14ac:dyDescent="0.25">
      <c r="A317" s="4" t="s">
        <v>1439</v>
      </c>
      <c r="B317" s="4" t="s">
        <v>1214</v>
      </c>
      <c r="C317" s="4" t="s">
        <v>1803</v>
      </c>
      <c r="D317" s="4" t="str">
        <f>cna_product_database_catalog_website[[#This Row],[MainCategory]]&amp;"&gt;"&amp;cna_product_database_catalog_website[[#This Row],[SubCategory1]]&amp;"&gt;"&amp;cna_product_database_catalog_website[[#This Row],[SubCategory2]]</f>
        <v>CFL&gt;PLT (4-PIN)&gt;PLT-32W 3500K</v>
      </c>
      <c r="E317">
        <v>3725</v>
      </c>
      <c r="F317" t="s">
        <v>918</v>
      </c>
      <c r="G317" s="3">
        <v>223</v>
      </c>
      <c r="H317" s="8">
        <v>3.2</v>
      </c>
      <c r="I317" t="s">
        <v>918</v>
      </c>
      <c r="J317" t="s">
        <v>918</v>
      </c>
      <c r="K317" t="s">
        <v>914</v>
      </c>
      <c r="L317" t="s">
        <v>46</v>
      </c>
      <c r="M317" s="12"/>
      <c r="N317" t="s">
        <v>47</v>
      </c>
      <c r="O317" s="3">
        <v>1</v>
      </c>
      <c r="P317" s="3">
        <v>1</v>
      </c>
      <c r="Q317" t="s">
        <v>919</v>
      </c>
      <c r="R317" t="s">
        <v>895</v>
      </c>
      <c r="S317" t="s">
        <v>48</v>
      </c>
      <c r="T317" t="s">
        <v>48</v>
      </c>
      <c r="U317" t="s">
        <v>48</v>
      </c>
      <c r="V317" t="s">
        <v>48</v>
      </c>
      <c r="W317" t="s">
        <v>48</v>
      </c>
      <c r="X317" t="s">
        <v>48</v>
      </c>
      <c r="Y317" s="3" t="s">
        <v>48</v>
      </c>
      <c r="Z317" s="3" t="s">
        <v>48</v>
      </c>
      <c r="AA317" s="3" t="s">
        <v>48</v>
      </c>
      <c r="AB317" s="1" t="s">
        <v>48</v>
      </c>
      <c r="AC317" s="1" t="s">
        <v>48</v>
      </c>
      <c r="AD317" t="s">
        <v>48</v>
      </c>
      <c r="AE317"/>
      <c r="AF317" t="s">
        <v>48</v>
      </c>
      <c r="AG317" t="s">
        <v>48</v>
      </c>
      <c r="AH317" t="s">
        <v>48</v>
      </c>
      <c r="AI317" t="s">
        <v>48</v>
      </c>
      <c r="AL317" t="s">
        <v>48</v>
      </c>
      <c r="AO317" t="s">
        <v>48</v>
      </c>
      <c r="AP317" t="s">
        <v>48</v>
      </c>
      <c r="AQ317" t="s">
        <v>48</v>
      </c>
      <c r="AV317" t="s">
        <v>920</v>
      </c>
      <c r="AW317" t="s">
        <v>48</v>
      </c>
      <c r="AX317" s="2" t="s">
        <v>80</v>
      </c>
      <c r="AY317" s="2" t="s">
        <v>63</v>
      </c>
      <c r="BC317">
        <f>SUM(cna_product_database_catalog_website[[#This Row],[Box Length (cm)]]*cna_product_database_catalog_website[[#This Row],[Box Width (cm)]]*cna_product_database_catalog_website[[#This Row],[Box Height (cm)]]/1000000)</f>
        <v>0</v>
      </c>
      <c r="BD317">
        <f>SUM(cna_product_database_catalog_website[[#This Row],[Box CBM]]*35.3147)</f>
        <v>0</v>
      </c>
      <c r="BE317" t="s">
        <v>48</v>
      </c>
      <c r="BI31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7">
        <f>SUM(cna_product_database_catalog_website[[#This Row],[Carton CFT]]/61024)</f>
        <v>0</v>
      </c>
      <c r="BM317" t="s">
        <v>48</v>
      </c>
      <c r="BN317" t="s">
        <v>48</v>
      </c>
      <c r="BO317" t="s">
        <v>48</v>
      </c>
      <c r="BP317" t="s">
        <v>48</v>
      </c>
      <c r="BQ317" t="s">
        <v>48</v>
      </c>
      <c r="BS317" t="s">
        <v>48</v>
      </c>
      <c r="BT317" t="s">
        <v>48</v>
      </c>
      <c r="BU317" t="s">
        <v>48</v>
      </c>
      <c r="BW317" t="s">
        <v>48</v>
      </c>
      <c r="BX317" t="s">
        <v>48</v>
      </c>
      <c r="BY317" t="s">
        <v>48</v>
      </c>
      <c r="BZ317" t="s">
        <v>48</v>
      </c>
      <c r="CA317" t="s">
        <v>48</v>
      </c>
      <c r="CB317" t="s">
        <v>48</v>
      </c>
      <c r="CC317" t="s">
        <v>48</v>
      </c>
      <c r="CD317" t="s">
        <v>48</v>
      </c>
      <c r="CE317" t="s">
        <v>48</v>
      </c>
      <c r="CF317" t="s">
        <v>48</v>
      </c>
      <c r="CG317" t="s">
        <v>48</v>
      </c>
      <c r="CH317" t="s">
        <v>48</v>
      </c>
      <c r="CI317" t="s">
        <v>48</v>
      </c>
      <c r="CJ317" t="s">
        <v>48</v>
      </c>
    </row>
    <row r="318" spans="1:88" x14ac:dyDescent="0.25">
      <c r="A318" s="4" t="s">
        <v>1439</v>
      </c>
      <c r="B318" s="4" t="s">
        <v>1214</v>
      </c>
      <c r="C318" s="4" t="s">
        <v>1804</v>
      </c>
      <c r="D318" s="4" t="str">
        <f>cna_product_database_catalog_website[[#This Row],[MainCategory]]&amp;"&gt;"&amp;cna_product_database_catalog_website[[#This Row],[SubCategory1]]&amp;"&gt;"&amp;cna_product_database_catalog_website[[#This Row],[SubCategory2]]</f>
        <v>CFL&gt;PLT (4-PIN)&gt;PLT-32W 4100K</v>
      </c>
      <c r="E318">
        <v>3730</v>
      </c>
      <c r="F318" t="s">
        <v>921</v>
      </c>
      <c r="G318" s="3">
        <v>498</v>
      </c>
      <c r="H318" s="8">
        <v>3.2</v>
      </c>
      <c r="I318" t="s">
        <v>921</v>
      </c>
      <c r="J318" t="s">
        <v>921</v>
      </c>
      <c r="K318" t="s">
        <v>914</v>
      </c>
      <c r="L318" t="s">
        <v>46</v>
      </c>
      <c r="M318" s="12"/>
      <c r="N318" t="s">
        <v>47</v>
      </c>
      <c r="O318" s="3">
        <v>1</v>
      </c>
      <c r="P318" s="3">
        <v>1</v>
      </c>
      <c r="Q318" t="s">
        <v>919</v>
      </c>
      <c r="R318" t="s">
        <v>895</v>
      </c>
      <c r="S318" t="s">
        <v>48</v>
      </c>
      <c r="T318" t="s">
        <v>48</v>
      </c>
      <c r="U318" t="s">
        <v>48</v>
      </c>
      <c r="V318" t="s">
        <v>48</v>
      </c>
      <c r="W318" t="s">
        <v>48</v>
      </c>
      <c r="X318" t="s">
        <v>48</v>
      </c>
      <c r="Y318" s="3" t="s">
        <v>48</v>
      </c>
      <c r="Z318" s="3" t="s">
        <v>48</v>
      </c>
      <c r="AA318" s="3" t="s">
        <v>48</v>
      </c>
      <c r="AB318" s="1" t="s">
        <v>48</v>
      </c>
      <c r="AC318" s="1" t="s">
        <v>48</v>
      </c>
      <c r="AD318" t="s">
        <v>48</v>
      </c>
      <c r="AE318"/>
      <c r="AF318" t="s">
        <v>48</v>
      </c>
      <c r="AG318" t="s">
        <v>48</v>
      </c>
      <c r="AH318" t="s">
        <v>48</v>
      </c>
      <c r="AI318" t="s">
        <v>48</v>
      </c>
      <c r="AL318" t="s">
        <v>48</v>
      </c>
      <c r="AO318" t="s">
        <v>48</v>
      </c>
      <c r="AP318" t="s">
        <v>48</v>
      </c>
      <c r="AQ318" t="s">
        <v>48</v>
      </c>
      <c r="AV318" t="s">
        <v>920</v>
      </c>
      <c r="AW318" t="s">
        <v>48</v>
      </c>
      <c r="AX318" s="2" t="s">
        <v>80</v>
      </c>
      <c r="AY318" s="2" t="s">
        <v>63</v>
      </c>
      <c r="BC318">
        <f>SUM(cna_product_database_catalog_website[[#This Row],[Box Length (cm)]]*cna_product_database_catalog_website[[#This Row],[Box Width (cm)]]*cna_product_database_catalog_website[[#This Row],[Box Height (cm)]]/1000000)</f>
        <v>0</v>
      </c>
      <c r="BD318">
        <f>SUM(cna_product_database_catalog_website[[#This Row],[Box CBM]]*35.3147)</f>
        <v>0</v>
      </c>
      <c r="BE318" t="s">
        <v>48</v>
      </c>
      <c r="BI31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8">
        <f>SUM(cna_product_database_catalog_website[[#This Row],[Carton CFT]]/61024)</f>
        <v>0</v>
      </c>
      <c r="BM318" t="s">
        <v>48</v>
      </c>
      <c r="BN318" t="s">
        <v>48</v>
      </c>
      <c r="BO318" t="s">
        <v>48</v>
      </c>
      <c r="BP318" t="s">
        <v>48</v>
      </c>
      <c r="BQ318" t="s">
        <v>48</v>
      </c>
      <c r="BS318" t="s">
        <v>48</v>
      </c>
      <c r="BT318" t="s">
        <v>48</v>
      </c>
      <c r="BU318" t="s">
        <v>48</v>
      </c>
      <c r="BW318" t="s">
        <v>48</v>
      </c>
      <c r="BX318" t="s">
        <v>48</v>
      </c>
      <c r="BY318" t="s">
        <v>48</v>
      </c>
      <c r="BZ318" t="s">
        <v>48</v>
      </c>
      <c r="CA318" t="s">
        <v>48</v>
      </c>
      <c r="CB318" t="s">
        <v>48</v>
      </c>
      <c r="CC318" t="s">
        <v>48</v>
      </c>
      <c r="CD318" t="s">
        <v>48</v>
      </c>
      <c r="CE318" t="s">
        <v>48</v>
      </c>
      <c r="CF318" t="s">
        <v>48</v>
      </c>
      <c r="CG318" t="s">
        <v>48</v>
      </c>
      <c r="CH318" t="s">
        <v>48</v>
      </c>
      <c r="CI318" t="s">
        <v>48</v>
      </c>
      <c r="CJ318" t="s">
        <v>48</v>
      </c>
    </row>
    <row r="319" spans="1:88" x14ac:dyDescent="0.25">
      <c r="A319" s="4" t="s">
        <v>1439</v>
      </c>
      <c r="B319" s="4" t="s">
        <v>1214</v>
      </c>
      <c r="C319" s="4" t="s">
        <v>1805</v>
      </c>
      <c r="D319" s="4" t="str">
        <f>cna_product_database_catalog_website[[#This Row],[MainCategory]]&amp;"&gt;"&amp;cna_product_database_catalog_website[[#This Row],[SubCategory1]]&amp;"&gt;"&amp;cna_product_database_catalog_website[[#This Row],[SubCategory2]]</f>
        <v>CFL&gt;PLT (4-PIN)&gt;PLT-42W 4100K</v>
      </c>
      <c r="E319">
        <v>3735</v>
      </c>
      <c r="F319" t="s">
        <v>922</v>
      </c>
      <c r="G319" s="3">
        <v>501</v>
      </c>
      <c r="H319" s="8">
        <v>3.45</v>
      </c>
      <c r="I319" t="s">
        <v>922</v>
      </c>
      <c r="J319" t="s">
        <v>922</v>
      </c>
      <c r="K319" t="s">
        <v>914</v>
      </c>
      <c r="L319" t="s">
        <v>46</v>
      </c>
      <c r="M319" s="12"/>
      <c r="N319" t="s">
        <v>47</v>
      </c>
      <c r="O319" s="3">
        <v>1</v>
      </c>
      <c r="P319" s="3">
        <v>1</v>
      </c>
      <c r="Q319" t="s">
        <v>791</v>
      </c>
      <c r="R319" t="s">
        <v>895</v>
      </c>
      <c r="S319" t="s">
        <v>48</v>
      </c>
      <c r="T319" t="s">
        <v>48</v>
      </c>
      <c r="U319" t="s">
        <v>48</v>
      </c>
      <c r="V319" t="s">
        <v>48</v>
      </c>
      <c r="W319" t="s">
        <v>48</v>
      </c>
      <c r="X319" t="s">
        <v>48</v>
      </c>
      <c r="Y319" s="3" t="s">
        <v>48</v>
      </c>
      <c r="Z319" s="3" t="s">
        <v>48</v>
      </c>
      <c r="AA319" s="3" t="s">
        <v>48</v>
      </c>
      <c r="AB319" s="1" t="s">
        <v>48</v>
      </c>
      <c r="AC319" s="1" t="s">
        <v>48</v>
      </c>
      <c r="AD319" t="s">
        <v>48</v>
      </c>
      <c r="AE319"/>
      <c r="AF319" t="s">
        <v>48</v>
      </c>
      <c r="AG319" t="s">
        <v>48</v>
      </c>
      <c r="AH319" t="s">
        <v>48</v>
      </c>
      <c r="AI319" t="s">
        <v>48</v>
      </c>
      <c r="AL319" t="s">
        <v>48</v>
      </c>
      <c r="AO319" t="s">
        <v>48</v>
      </c>
      <c r="AP319" t="s">
        <v>48</v>
      </c>
      <c r="AQ319" t="s">
        <v>48</v>
      </c>
      <c r="AV319" t="s">
        <v>923</v>
      </c>
      <c r="AW319" t="s">
        <v>48</v>
      </c>
      <c r="AX319" s="2" t="s">
        <v>80</v>
      </c>
      <c r="AY319" s="2" t="s">
        <v>63</v>
      </c>
      <c r="BC319">
        <f>SUM(cna_product_database_catalog_website[[#This Row],[Box Length (cm)]]*cna_product_database_catalog_website[[#This Row],[Box Width (cm)]]*cna_product_database_catalog_website[[#This Row],[Box Height (cm)]]/1000000)</f>
        <v>0</v>
      </c>
      <c r="BD319">
        <f>SUM(cna_product_database_catalog_website[[#This Row],[Box CBM]]*35.3147)</f>
        <v>0</v>
      </c>
      <c r="BE319" t="s">
        <v>48</v>
      </c>
      <c r="BI31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9">
        <f>SUM(cna_product_database_catalog_website[[#This Row],[Carton CFT]]/61024)</f>
        <v>0</v>
      </c>
      <c r="BM319" t="s">
        <v>48</v>
      </c>
      <c r="BN319" t="s">
        <v>48</v>
      </c>
      <c r="BO319" t="s">
        <v>48</v>
      </c>
      <c r="BP319" t="s">
        <v>48</v>
      </c>
      <c r="BQ319" t="s">
        <v>48</v>
      </c>
      <c r="BS319" t="s">
        <v>48</v>
      </c>
      <c r="BT319" t="s">
        <v>48</v>
      </c>
      <c r="BU319" t="s">
        <v>48</v>
      </c>
      <c r="BW319" t="s">
        <v>48</v>
      </c>
      <c r="BX319" t="s">
        <v>48</v>
      </c>
      <c r="BY319" t="s">
        <v>48</v>
      </c>
      <c r="BZ319" t="s">
        <v>48</v>
      </c>
      <c r="CA319" t="s">
        <v>48</v>
      </c>
      <c r="CB319" t="s">
        <v>48</v>
      </c>
      <c r="CC319" t="s">
        <v>48</v>
      </c>
      <c r="CD319" t="s">
        <v>48</v>
      </c>
      <c r="CE319" t="s">
        <v>48</v>
      </c>
      <c r="CF319" t="s">
        <v>48</v>
      </c>
      <c r="CG319" t="s">
        <v>48</v>
      </c>
      <c r="CH319" t="s">
        <v>48</v>
      </c>
      <c r="CI319" t="s">
        <v>48</v>
      </c>
      <c r="CJ319" t="s">
        <v>48</v>
      </c>
    </row>
    <row r="320" spans="1:88" x14ac:dyDescent="0.25">
      <c r="A320" s="4" t="s">
        <v>2156</v>
      </c>
      <c r="B320" s="4" t="s">
        <v>1215</v>
      </c>
      <c r="C320" s="4" t="s">
        <v>1806</v>
      </c>
      <c r="D320" s="4" t="str">
        <f>cna_product_database_catalog_website[[#This Row],[MainCategory]]&amp;"&gt;"&amp;cna_product_database_catalog_website[[#This Row],[SubCategory1]]&amp;"&gt;"&amp;cna_product_database_catalog_website[[#This Row],[SubCategory2]]</f>
        <v>Fluorescent Tubes&gt;T5 Tubes - 3 FT&gt;F21 T5 4100K</v>
      </c>
      <c r="E320">
        <v>3800</v>
      </c>
      <c r="F320" t="s">
        <v>924</v>
      </c>
      <c r="G320" s="3">
        <v>545</v>
      </c>
      <c r="H320" s="8">
        <v>1.5</v>
      </c>
      <c r="I320" t="s">
        <v>924</v>
      </c>
      <c r="J320" t="s">
        <v>924</v>
      </c>
      <c r="K320" t="s">
        <v>925</v>
      </c>
      <c r="L320" t="s">
        <v>926</v>
      </c>
      <c r="M320" s="12" t="str">
        <f>HYPERLINK(cna_product_database_catalog_website[[#This Row],[Spec Sheet Link]], cna_product_database_catalog_website[[#Headers],[Spec Sheet Link]])</f>
        <v>Spec Sheet Link</v>
      </c>
      <c r="N320" t="s">
        <v>47</v>
      </c>
      <c r="O320" s="3">
        <v>1</v>
      </c>
      <c r="P320" s="3">
        <v>1</v>
      </c>
      <c r="Q320" t="s">
        <v>927</v>
      </c>
      <c r="R320" t="s">
        <v>895</v>
      </c>
      <c r="S320" t="s">
        <v>928</v>
      </c>
      <c r="T320" t="s">
        <v>48</v>
      </c>
      <c r="U320" t="s">
        <v>929</v>
      </c>
      <c r="V320" t="s">
        <v>48</v>
      </c>
      <c r="W320" t="s">
        <v>930</v>
      </c>
      <c r="X320" t="s">
        <v>883</v>
      </c>
      <c r="Y320" s="3" t="s">
        <v>48</v>
      </c>
      <c r="Z320" s="3" t="s">
        <v>1006</v>
      </c>
      <c r="AA320" s="3" t="s">
        <v>48</v>
      </c>
      <c r="AB320" s="1" t="s">
        <v>48</v>
      </c>
      <c r="AC320" s="1" t="s">
        <v>48</v>
      </c>
      <c r="AD320" t="s">
        <v>48</v>
      </c>
      <c r="AE320"/>
      <c r="AF320" t="s">
        <v>931</v>
      </c>
      <c r="AG320" t="s">
        <v>48</v>
      </c>
      <c r="AH320" t="s">
        <v>48</v>
      </c>
      <c r="AI320" t="s">
        <v>48</v>
      </c>
      <c r="AL320" t="s">
        <v>48</v>
      </c>
      <c r="AO320" t="s">
        <v>48</v>
      </c>
      <c r="AP320" t="s">
        <v>48</v>
      </c>
      <c r="AQ320" t="s">
        <v>48</v>
      </c>
      <c r="AV320" t="s">
        <v>932</v>
      </c>
      <c r="AW320" t="s">
        <v>48</v>
      </c>
      <c r="AX320" s="2" t="s">
        <v>169</v>
      </c>
      <c r="AY320" s="2" t="s">
        <v>169</v>
      </c>
      <c r="BC320">
        <f>SUM(cna_product_database_catalog_website[[#This Row],[Box Length (cm)]]*cna_product_database_catalog_website[[#This Row],[Box Width (cm)]]*cna_product_database_catalog_website[[#This Row],[Box Height (cm)]]/1000000)</f>
        <v>0</v>
      </c>
      <c r="BD320">
        <f>SUM(cna_product_database_catalog_website[[#This Row],[Box CBM]]*35.3147)</f>
        <v>0</v>
      </c>
      <c r="BE320" t="s">
        <v>48</v>
      </c>
      <c r="BI32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0">
        <f>SUM(cna_product_database_catalog_website[[#This Row],[Carton CFT]]/61024)</f>
        <v>0</v>
      </c>
      <c r="BM320" t="s">
        <v>48</v>
      </c>
      <c r="BN320" t="s">
        <v>48</v>
      </c>
      <c r="BO320" t="s">
        <v>48</v>
      </c>
      <c r="BP320" t="s">
        <v>48</v>
      </c>
      <c r="BQ320" t="s">
        <v>48</v>
      </c>
      <c r="BS320" t="s">
        <v>48</v>
      </c>
      <c r="BT320" t="s">
        <v>48</v>
      </c>
      <c r="BU320" t="s">
        <v>48</v>
      </c>
      <c r="BW320" t="s">
        <v>48</v>
      </c>
      <c r="BX320" t="s">
        <v>48</v>
      </c>
      <c r="BY320" t="s">
        <v>48</v>
      </c>
      <c r="BZ320" t="s">
        <v>48</v>
      </c>
      <c r="CA320" t="s">
        <v>48</v>
      </c>
      <c r="CB320" t="s">
        <v>48</v>
      </c>
      <c r="CC320" t="s">
        <v>48</v>
      </c>
      <c r="CD320" t="s">
        <v>48</v>
      </c>
      <c r="CE320" t="s">
        <v>48</v>
      </c>
      <c r="CF320" t="s">
        <v>48</v>
      </c>
      <c r="CG320" t="s">
        <v>48</v>
      </c>
      <c r="CH320" t="s">
        <v>48</v>
      </c>
      <c r="CI320" t="s">
        <v>48</v>
      </c>
      <c r="CJ320" t="s">
        <v>48</v>
      </c>
    </row>
    <row r="321" spans="1:88" x14ac:dyDescent="0.25">
      <c r="A321" s="4" t="s">
        <v>2156</v>
      </c>
      <c r="B321" s="4" t="s">
        <v>1216</v>
      </c>
      <c r="C321" s="4" t="s">
        <v>1807</v>
      </c>
      <c r="D321" s="4" t="str">
        <f>cna_product_database_catalog_website[[#This Row],[MainCategory]]&amp;"&gt;"&amp;cna_product_database_catalog_website[[#This Row],[SubCategory1]]&amp;"&gt;"&amp;cna_product_database_catalog_website[[#This Row],[SubCategory2]]</f>
        <v>Fluorescent Tubes&gt;T5 Tubes - 4 FT&gt;F28 T5 4100K</v>
      </c>
      <c r="E321">
        <v>3805</v>
      </c>
      <c r="F321" t="s">
        <v>933</v>
      </c>
      <c r="G321" s="3">
        <v>546</v>
      </c>
      <c r="H321" s="8">
        <v>1.5</v>
      </c>
      <c r="I321" t="s">
        <v>933</v>
      </c>
      <c r="J321" t="s">
        <v>933</v>
      </c>
      <c r="K321" t="s">
        <v>925</v>
      </c>
      <c r="L321" t="s">
        <v>934</v>
      </c>
      <c r="M321" s="12" t="str">
        <f>HYPERLINK(cna_product_database_catalog_website[[#This Row],[Spec Sheet Link]], cna_product_database_catalog_website[[#Headers],[Spec Sheet Link]])</f>
        <v>Spec Sheet Link</v>
      </c>
      <c r="N321" t="s">
        <v>47</v>
      </c>
      <c r="O321" s="3">
        <v>1</v>
      </c>
      <c r="P321" s="3">
        <v>1</v>
      </c>
      <c r="Q321" t="s">
        <v>935</v>
      </c>
      <c r="R321" t="s">
        <v>895</v>
      </c>
      <c r="S321" t="s">
        <v>936</v>
      </c>
      <c r="T321" t="s">
        <v>48</v>
      </c>
      <c r="U321" t="s">
        <v>929</v>
      </c>
      <c r="V321" t="s">
        <v>48</v>
      </c>
      <c r="W321" t="s">
        <v>930</v>
      </c>
      <c r="X321" t="s">
        <v>883</v>
      </c>
      <c r="Y321" s="3" t="s">
        <v>48</v>
      </c>
      <c r="Z321" s="3" t="s">
        <v>1006</v>
      </c>
      <c r="AA321" s="3" t="s">
        <v>48</v>
      </c>
      <c r="AB321" s="1" t="s">
        <v>48</v>
      </c>
      <c r="AC321" s="1" t="s">
        <v>48</v>
      </c>
      <c r="AD321" t="s">
        <v>48</v>
      </c>
      <c r="AE321"/>
      <c r="AF321" t="s">
        <v>937</v>
      </c>
      <c r="AG321" t="s">
        <v>48</v>
      </c>
      <c r="AH321" t="s">
        <v>48</v>
      </c>
      <c r="AI321" t="s">
        <v>48</v>
      </c>
      <c r="AL321" t="s">
        <v>48</v>
      </c>
      <c r="AO321" t="s">
        <v>48</v>
      </c>
      <c r="AP321" t="s">
        <v>48</v>
      </c>
      <c r="AQ321" t="s">
        <v>48</v>
      </c>
      <c r="AV321" t="s">
        <v>938</v>
      </c>
      <c r="AW321" t="s">
        <v>48</v>
      </c>
      <c r="AX321" s="2" t="s">
        <v>169</v>
      </c>
      <c r="AY321" s="2" t="s">
        <v>169</v>
      </c>
      <c r="BC321">
        <f>SUM(cna_product_database_catalog_website[[#This Row],[Box Length (cm)]]*cna_product_database_catalog_website[[#This Row],[Box Width (cm)]]*cna_product_database_catalog_website[[#This Row],[Box Height (cm)]]/1000000)</f>
        <v>0</v>
      </c>
      <c r="BD321">
        <f>SUM(cna_product_database_catalog_website[[#This Row],[Box CBM]]*35.3147)</f>
        <v>0</v>
      </c>
      <c r="BE321" t="s">
        <v>48</v>
      </c>
      <c r="BI32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1">
        <f>SUM(cna_product_database_catalog_website[[#This Row],[Carton CFT]]/61024)</f>
        <v>0</v>
      </c>
      <c r="BM321" t="s">
        <v>48</v>
      </c>
      <c r="BN321" t="s">
        <v>48</v>
      </c>
      <c r="BO321" t="s">
        <v>48</v>
      </c>
      <c r="BP321" t="s">
        <v>48</v>
      </c>
      <c r="BQ321" t="s">
        <v>48</v>
      </c>
      <c r="BS321" t="s">
        <v>48</v>
      </c>
      <c r="BT321" t="s">
        <v>48</v>
      </c>
      <c r="BU321" t="s">
        <v>48</v>
      </c>
      <c r="BW321" t="s">
        <v>48</v>
      </c>
      <c r="BX321" t="s">
        <v>48</v>
      </c>
      <c r="BY321" t="s">
        <v>48</v>
      </c>
      <c r="BZ321" t="s">
        <v>48</v>
      </c>
      <c r="CA321" t="s">
        <v>48</v>
      </c>
      <c r="CB321" t="s">
        <v>48</v>
      </c>
      <c r="CC321" t="s">
        <v>48</v>
      </c>
      <c r="CD321" t="s">
        <v>48</v>
      </c>
      <c r="CE321" t="s">
        <v>48</v>
      </c>
      <c r="CF321" t="s">
        <v>48</v>
      </c>
      <c r="CG321" t="s">
        <v>48</v>
      </c>
      <c r="CH321" t="s">
        <v>48</v>
      </c>
      <c r="CI321" t="s">
        <v>48</v>
      </c>
      <c r="CJ321" t="s">
        <v>48</v>
      </c>
    </row>
    <row r="322" spans="1:88" x14ac:dyDescent="0.25">
      <c r="A322" s="4" t="s">
        <v>2156</v>
      </c>
      <c r="B322" s="4" t="s">
        <v>1217</v>
      </c>
      <c r="C322" s="4" t="s">
        <v>1808</v>
      </c>
      <c r="D322" s="4" t="str">
        <f>cna_product_database_catalog_website[[#This Row],[MainCategory]]&amp;"&gt;"&amp;cna_product_database_catalog_website[[#This Row],[SubCategory1]]&amp;"&gt;"&amp;cna_product_database_catalog_website[[#This Row],[SubCategory2]]</f>
        <v>Fluorescent Tubes&gt;T8 Tubes - 4 FT&gt;F32 T8 28W 5000K</v>
      </c>
      <c r="E322">
        <v>3810</v>
      </c>
      <c r="F322" t="s">
        <v>939</v>
      </c>
      <c r="G322" s="3">
        <v>326</v>
      </c>
      <c r="H322" s="8">
        <v>1.8</v>
      </c>
      <c r="I322" t="s">
        <v>939</v>
      </c>
      <c r="J322" t="s">
        <v>939</v>
      </c>
      <c r="K322" t="s">
        <v>940</v>
      </c>
      <c r="L322" t="s">
        <v>941</v>
      </c>
      <c r="M322" s="12" t="str">
        <f>HYPERLINK(cna_product_database_catalog_website[[#This Row],[Spec Sheet Link]], cna_product_database_catalog_website[[#Headers],[Spec Sheet Link]])</f>
        <v>Spec Sheet Link</v>
      </c>
      <c r="N322" t="s">
        <v>47</v>
      </c>
      <c r="O322" s="3">
        <v>1</v>
      </c>
      <c r="P322" s="3">
        <v>1</v>
      </c>
      <c r="Q322" t="s">
        <v>935</v>
      </c>
      <c r="R322" t="s">
        <v>895</v>
      </c>
      <c r="S322" t="s">
        <v>942</v>
      </c>
      <c r="T322" t="s">
        <v>48</v>
      </c>
      <c r="U322" t="s">
        <v>943</v>
      </c>
      <c r="V322" t="s">
        <v>48</v>
      </c>
      <c r="W322" t="s">
        <v>944</v>
      </c>
      <c r="X322" t="s">
        <v>803</v>
      </c>
      <c r="Y322" s="3" t="s">
        <v>48</v>
      </c>
      <c r="Z322" s="3" t="s">
        <v>1006</v>
      </c>
      <c r="AA322" s="3" t="s">
        <v>48</v>
      </c>
      <c r="AB322" s="1" t="s">
        <v>48</v>
      </c>
      <c r="AC322" s="1" t="s">
        <v>48</v>
      </c>
      <c r="AD322" t="s">
        <v>48</v>
      </c>
      <c r="AE322"/>
      <c r="AF322" t="s">
        <v>937</v>
      </c>
      <c r="AG322" t="s">
        <v>48</v>
      </c>
      <c r="AH322" t="s">
        <v>48</v>
      </c>
      <c r="AI322" t="s">
        <v>48</v>
      </c>
      <c r="AL322" t="s">
        <v>48</v>
      </c>
      <c r="AO322" t="s">
        <v>48</v>
      </c>
      <c r="AP322" t="s">
        <v>48</v>
      </c>
      <c r="AQ322" t="s">
        <v>48</v>
      </c>
      <c r="AV322" t="s">
        <v>946</v>
      </c>
      <c r="AW322" t="s">
        <v>48</v>
      </c>
      <c r="AX322" s="2" t="s">
        <v>945</v>
      </c>
      <c r="AY322" s="2" t="s">
        <v>945</v>
      </c>
      <c r="BC322">
        <f>SUM(cna_product_database_catalog_website[[#This Row],[Box Length (cm)]]*cna_product_database_catalog_website[[#This Row],[Box Width (cm)]]*cna_product_database_catalog_website[[#This Row],[Box Height (cm)]]/1000000)</f>
        <v>0</v>
      </c>
      <c r="BD322">
        <f>SUM(cna_product_database_catalog_website[[#This Row],[Box CBM]]*35.3147)</f>
        <v>0</v>
      </c>
      <c r="BE322" t="s">
        <v>48</v>
      </c>
      <c r="BI32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2">
        <f>SUM(cna_product_database_catalog_website[[#This Row],[Carton CFT]]/61024)</f>
        <v>0</v>
      </c>
      <c r="BM322" t="s">
        <v>48</v>
      </c>
      <c r="BN322" t="s">
        <v>48</v>
      </c>
      <c r="BO322" t="s">
        <v>48</v>
      </c>
      <c r="BP322" t="s">
        <v>48</v>
      </c>
      <c r="BQ322" t="s">
        <v>48</v>
      </c>
      <c r="BS322" t="s">
        <v>48</v>
      </c>
      <c r="BT322" t="s">
        <v>48</v>
      </c>
      <c r="BU322" t="s">
        <v>48</v>
      </c>
      <c r="BW322" t="s">
        <v>48</v>
      </c>
      <c r="BX322" t="s">
        <v>48</v>
      </c>
      <c r="BY322" t="s">
        <v>48</v>
      </c>
      <c r="BZ322" t="s">
        <v>48</v>
      </c>
      <c r="CA322" t="s">
        <v>48</v>
      </c>
      <c r="CB322" t="s">
        <v>48</v>
      </c>
      <c r="CC322" t="s">
        <v>48</v>
      </c>
      <c r="CD322" t="s">
        <v>48</v>
      </c>
      <c r="CE322" t="s">
        <v>48</v>
      </c>
      <c r="CF322" t="s">
        <v>48</v>
      </c>
      <c r="CG322" t="s">
        <v>48</v>
      </c>
      <c r="CH322" t="s">
        <v>48</v>
      </c>
      <c r="CI322" t="s">
        <v>48</v>
      </c>
      <c r="CJ322" t="s">
        <v>48</v>
      </c>
    </row>
    <row r="323" spans="1:88" x14ac:dyDescent="0.25">
      <c r="A323" s="4" t="s">
        <v>1440</v>
      </c>
      <c r="B323" s="4" t="s">
        <v>1218</v>
      </c>
      <c r="C323" s="4" t="s">
        <v>1410</v>
      </c>
      <c r="D323" s="4" t="str">
        <f>cna_product_database_catalog_website[[#This Row],[MainCategory]]&amp;"&gt;"&amp;cna_product_database_catalog_website[[#This Row],[SubCategory1]]&amp;"&gt;"&amp;cna_product_database_catalog_website[[#This Row],[SubCategory2]]</f>
        <v>HID&gt;Metal Halide - E12 - Medium&gt;MH-50W</v>
      </c>
      <c r="E323">
        <v>4000</v>
      </c>
      <c r="F323" t="s">
        <v>947</v>
      </c>
      <c r="G323" s="3">
        <v>133</v>
      </c>
      <c r="H323" s="8">
        <v>16</v>
      </c>
      <c r="I323" t="s">
        <v>947</v>
      </c>
      <c r="J323" t="s">
        <v>947</v>
      </c>
      <c r="K323" t="s">
        <v>948</v>
      </c>
      <c r="L323" t="s">
        <v>46</v>
      </c>
      <c r="M323" s="12"/>
      <c r="N323" t="s">
        <v>47</v>
      </c>
      <c r="O323" s="3">
        <v>1</v>
      </c>
      <c r="P323" s="3">
        <v>1</v>
      </c>
      <c r="Q323" t="s">
        <v>768</v>
      </c>
      <c r="R323" t="s">
        <v>895</v>
      </c>
      <c r="S323" t="s">
        <v>949</v>
      </c>
      <c r="T323" t="s">
        <v>48</v>
      </c>
      <c r="U323" t="s">
        <v>876</v>
      </c>
      <c r="V323" t="s">
        <v>48</v>
      </c>
      <c r="W323" t="s">
        <v>88</v>
      </c>
      <c r="X323" t="s">
        <v>950</v>
      </c>
      <c r="Y323" s="3" t="s">
        <v>48</v>
      </c>
      <c r="Z323" s="3" t="s">
        <v>951</v>
      </c>
      <c r="AA323" s="3" t="s">
        <v>48</v>
      </c>
      <c r="AB323" s="1" t="s">
        <v>48</v>
      </c>
      <c r="AC323" s="1" t="s">
        <v>48</v>
      </c>
      <c r="AD323" t="s">
        <v>48</v>
      </c>
      <c r="AE323"/>
      <c r="AF323" t="s">
        <v>48</v>
      </c>
      <c r="AG323" t="s">
        <v>48</v>
      </c>
      <c r="AH323" t="s">
        <v>48</v>
      </c>
      <c r="AI323" t="s">
        <v>48</v>
      </c>
      <c r="AL323" t="s">
        <v>48</v>
      </c>
      <c r="AO323" t="s">
        <v>48</v>
      </c>
      <c r="AP323" t="s">
        <v>48</v>
      </c>
      <c r="AQ323" t="s">
        <v>48</v>
      </c>
      <c r="AV323" t="s">
        <v>952</v>
      </c>
      <c r="AW323" t="s">
        <v>48</v>
      </c>
      <c r="AX323" s="2" t="s">
        <v>613</v>
      </c>
      <c r="AY323" s="2" t="s">
        <v>613</v>
      </c>
      <c r="BC323">
        <f>SUM(cna_product_database_catalog_website[[#This Row],[Box Length (cm)]]*cna_product_database_catalog_website[[#This Row],[Box Width (cm)]]*cna_product_database_catalog_website[[#This Row],[Box Height (cm)]]/1000000)</f>
        <v>0</v>
      </c>
      <c r="BD323">
        <f>SUM(cna_product_database_catalog_website[[#This Row],[Box CBM]]*35.3147)</f>
        <v>0</v>
      </c>
      <c r="BE323" t="s">
        <v>48</v>
      </c>
      <c r="BI32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3">
        <f>SUM(cna_product_database_catalog_website[[#This Row],[Carton CFT]]/61024)</f>
        <v>0</v>
      </c>
      <c r="BM323" t="s">
        <v>48</v>
      </c>
      <c r="BN323" t="s">
        <v>48</v>
      </c>
      <c r="BO323" t="s">
        <v>48</v>
      </c>
      <c r="BP323" t="s">
        <v>48</v>
      </c>
      <c r="BQ323" t="s">
        <v>48</v>
      </c>
      <c r="BS323" t="s">
        <v>48</v>
      </c>
      <c r="BT323" t="s">
        <v>48</v>
      </c>
      <c r="BU323" t="s">
        <v>48</v>
      </c>
      <c r="BW323" t="s">
        <v>48</v>
      </c>
      <c r="BX323" t="s">
        <v>48</v>
      </c>
      <c r="BY323" t="s">
        <v>48</v>
      </c>
      <c r="BZ323" t="s">
        <v>48</v>
      </c>
      <c r="CA323" t="s">
        <v>48</v>
      </c>
      <c r="CB323" t="s">
        <v>48</v>
      </c>
      <c r="CC323" t="s">
        <v>48</v>
      </c>
      <c r="CD323" t="s">
        <v>48</v>
      </c>
      <c r="CE323" t="s">
        <v>48</v>
      </c>
      <c r="CF323" t="s">
        <v>48</v>
      </c>
      <c r="CG323" t="s">
        <v>48</v>
      </c>
      <c r="CH323" t="s">
        <v>48</v>
      </c>
      <c r="CI323" t="s">
        <v>48</v>
      </c>
      <c r="CJ323" t="s">
        <v>48</v>
      </c>
    </row>
    <row r="324" spans="1:88" x14ac:dyDescent="0.25">
      <c r="A324" s="4" t="s">
        <v>1440</v>
      </c>
      <c r="B324" s="4" t="s">
        <v>1218</v>
      </c>
      <c r="C324" s="4" t="s">
        <v>1411</v>
      </c>
      <c r="D324" s="4" t="str">
        <f>cna_product_database_catalog_website[[#This Row],[MainCategory]]&amp;"&gt;"&amp;cna_product_database_catalog_website[[#This Row],[SubCategory1]]&amp;"&gt;"&amp;cna_product_database_catalog_website[[#This Row],[SubCategory2]]</f>
        <v>HID&gt;Metal Halide - E12 - Medium&gt;MH-150W</v>
      </c>
      <c r="E324">
        <v>4005</v>
      </c>
      <c r="F324" t="s">
        <v>954</v>
      </c>
      <c r="G324" s="3">
        <v>478</v>
      </c>
      <c r="H324" s="8">
        <v>16</v>
      </c>
      <c r="I324" t="s">
        <v>954</v>
      </c>
      <c r="J324" t="s">
        <v>954</v>
      </c>
      <c r="K324" t="s">
        <v>948</v>
      </c>
      <c r="L324" t="s">
        <v>46</v>
      </c>
      <c r="M324" s="12"/>
      <c r="N324" t="s">
        <v>47</v>
      </c>
      <c r="O324" s="3">
        <v>1</v>
      </c>
      <c r="P324" s="3">
        <v>1</v>
      </c>
      <c r="Q324" t="s">
        <v>813</v>
      </c>
      <c r="R324" t="s">
        <v>895</v>
      </c>
      <c r="S324" t="s">
        <v>955</v>
      </c>
      <c r="T324" t="s">
        <v>48</v>
      </c>
      <c r="U324" t="s">
        <v>876</v>
      </c>
      <c r="V324" t="s">
        <v>48</v>
      </c>
      <c r="W324" t="s">
        <v>88</v>
      </c>
      <c r="X324" t="s">
        <v>950</v>
      </c>
      <c r="Y324" s="3" t="s">
        <v>48</v>
      </c>
      <c r="Z324" s="3" t="s">
        <v>951</v>
      </c>
      <c r="AA324" s="3" t="s">
        <v>48</v>
      </c>
      <c r="AB324" s="1" t="s">
        <v>48</v>
      </c>
      <c r="AC324" s="1" t="s">
        <v>48</v>
      </c>
      <c r="AD324" t="s">
        <v>48</v>
      </c>
      <c r="AE324"/>
      <c r="AF324" t="s">
        <v>48</v>
      </c>
      <c r="AG324" t="s">
        <v>48</v>
      </c>
      <c r="AH324" t="s">
        <v>48</v>
      </c>
      <c r="AI324" t="s">
        <v>48</v>
      </c>
      <c r="AL324" t="s">
        <v>48</v>
      </c>
      <c r="AO324" t="s">
        <v>48</v>
      </c>
      <c r="AP324" t="s">
        <v>48</v>
      </c>
      <c r="AQ324" t="s">
        <v>48</v>
      </c>
      <c r="AV324" t="s">
        <v>952</v>
      </c>
      <c r="AW324" t="s">
        <v>48</v>
      </c>
      <c r="AX324" s="2" t="s">
        <v>613</v>
      </c>
      <c r="AY324" s="2" t="s">
        <v>613</v>
      </c>
      <c r="BC324">
        <f>SUM(cna_product_database_catalog_website[[#This Row],[Box Length (cm)]]*cna_product_database_catalog_website[[#This Row],[Box Width (cm)]]*cna_product_database_catalog_website[[#This Row],[Box Height (cm)]]/1000000)</f>
        <v>0</v>
      </c>
      <c r="BD324">
        <f>SUM(cna_product_database_catalog_website[[#This Row],[Box CBM]]*35.3147)</f>
        <v>0</v>
      </c>
      <c r="BE324" t="s">
        <v>48</v>
      </c>
      <c r="BI32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4">
        <f>SUM(cna_product_database_catalog_website[[#This Row],[Carton CFT]]/61024)</f>
        <v>0</v>
      </c>
      <c r="BM324" t="s">
        <v>48</v>
      </c>
      <c r="BN324" t="s">
        <v>48</v>
      </c>
      <c r="BO324" t="s">
        <v>48</v>
      </c>
      <c r="BP324" t="s">
        <v>48</v>
      </c>
      <c r="BQ324" t="s">
        <v>48</v>
      </c>
      <c r="BS324" t="s">
        <v>48</v>
      </c>
      <c r="BT324" t="s">
        <v>48</v>
      </c>
      <c r="BU324" t="s">
        <v>48</v>
      </c>
      <c r="BW324" t="s">
        <v>48</v>
      </c>
      <c r="BX324" t="s">
        <v>48</v>
      </c>
      <c r="BY324" t="s">
        <v>48</v>
      </c>
      <c r="BZ324" t="s">
        <v>48</v>
      </c>
      <c r="CA324" t="s">
        <v>48</v>
      </c>
      <c r="CB324" t="s">
        <v>48</v>
      </c>
      <c r="CC324" t="s">
        <v>48</v>
      </c>
      <c r="CD324" t="s">
        <v>48</v>
      </c>
      <c r="CE324" t="s">
        <v>48</v>
      </c>
      <c r="CF324" t="s">
        <v>48</v>
      </c>
      <c r="CG324" t="s">
        <v>48</v>
      </c>
      <c r="CH324" t="s">
        <v>48</v>
      </c>
      <c r="CI324" t="s">
        <v>48</v>
      </c>
      <c r="CJ324" t="s">
        <v>48</v>
      </c>
    </row>
    <row r="325" spans="1:88" x14ac:dyDescent="0.25">
      <c r="A325" s="4" t="s">
        <v>1440</v>
      </c>
      <c r="B325" s="4" t="s">
        <v>1218</v>
      </c>
      <c r="C325" s="4" t="s">
        <v>1412</v>
      </c>
      <c r="D325" s="4" t="str">
        <f>cna_product_database_catalog_website[[#This Row],[MainCategory]]&amp;"&gt;"&amp;cna_product_database_catalog_website[[#This Row],[SubCategory1]]&amp;"&gt;"&amp;cna_product_database_catalog_website[[#This Row],[SubCategory2]]</f>
        <v>HID&gt;Metal Halide - E12 - Medium&gt;MH-175W</v>
      </c>
      <c r="E325">
        <v>4010</v>
      </c>
      <c r="F325" t="s">
        <v>956</v>
      </c>
      <c r="G325" s="3">
        <v>111</v>
      </c>
      <c r="H325" s="8">
        <v>16</v>
      </c>
      <c r="I325" t="s">
        <v>956</v>
      </c>
      <c r="J325" t="s">
        <v>956</v>
      </c>
      <c r="K325" t="s">
        <v>948</v>
      </c>
      <c r="L325" t="s">
        <v>46</v>
      </c>
      <c r="M325" s="12"/>
      <c r="N325" t="s">
        <v>47</v>
      </c>
      <c r="O325" s="3">
        <v>1</v>
      </c>
      <c r="P325" s="3">
        <v>1</v>
      </c>
      <c r="Q325" t="s">
        <v>957</v>
      </c>
      <c r="R325" t="s">
        <v>895</v>
      </c>
      <c r="S325" t="s">
        <v>958</v>
      </c>
      <c r="T325" t="s">
        <v>48</v>
      </c>
      <c r="U325" t="s">
        <v>876</v>
      </c>
      <c r="V325" t="s">
        <v>48</v>
      </c>
      <c r="W325" t="s">
        <v>88</v>
      </c>
      <c r="X325" t="s">
        <v>950</v>
      </c>
      <c r="Y325" s="3" t="s">
        <v>48</v>
      </c>
      <c r="Z325" s="3" t="s">
        <v>951</v>
      </c>
      <c r="AA325" s="3" t="s">
        <v>48</v>
      </c>
      <c r="AB325" s="1" t="s">
        <v>48</v>
      </c>
      <c r="AC325" s="1" t="s">
        <v>48</v>
      </c>
      <c r="AD325" t="s">
        <v>48</v>
      </c>
      <c r="AE325"/>
      <c r="AF325" t="s">
        <v>48</v>
      </c>
      <c r="AG325" t="s">
        <v>48</v>
      </c>
      <c r="AH325" t="s">
        <v>48</v>
      </c>
      <c r="AI325" t="s">
        <v>48</v>
      </c>
      <c r="AL325" t="s">
        <v>48</v>
      </c>
      <c r="AO325" t="s">
        <v>48</v>
      </c>
      <c r="AP325" t="s">
        <v>48</v>
      </c>
      <c r="AQ325" t="s">
        <v>48</v>
      </c>
      <c r="AV325" t="s">
        <v>952</v>
      </c>
      <c r="AW325" t="s">
        <v>48</v>
      </c>
      <c r="AX325" s="2" t="s">
        <v>613</v>
      </c>
      <c r="AY325" s="2" t="s">
        <v>613</v>
      </c>
      <c r="BC325">
        <f>SUM(cna_product_database_catalog_website[[#This Row],[Box Length (cm)]]*cna_product_database_catalog_website[[#This Row],[Box Width (cm)]]*cna_product_database_catalog_website[[#This Row],[Box Height (cm)]]/1000000)</f>
        <v>0</v>
      </c>
      <c r="BD325">
        <f>SUM(cna_product_database_catalog_website[[#This Row],[Box CBM]]*35.3147)</f>
        <v>0</v>
      </c>
      <c r="BE325" t="s">
        <v>48</v>
      </c>
      <c r="BI32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5">
        <f>SUM(cna_product_database_catalog_website[[#This Row],[Carton CFT]]/61024)</f>
        <v>0</v>
      </c>
      <c r="BM325" t="s">
        <v>48</v>
      </c>
      <c r="BN325" t="s">
        <v>48</v>
      </c>
      <c r="BO325" t="s">
        <v>48</v>
      </c>
      <c r="BP325" t="s">
        <v>48</v>
      </c>
      <c r="BQ325" t="s">
        <v>48</v>
      </c>
      <c r="BS325" t="s">
        <v>48</v>
      </c>
      <c r="BT325" t="s">
        <v>48</v>
      </c>
      <c r="BU325" t="s">
        <v>48</v>
      </c>
      <c r="BW325" t="s">
        <v>48</v>
      </c>
      <c r="BX325" t="s">
        <v>48</v>
      </c>
      <c r="BY325" t="s">
        <v>48</v>
      </c>
      <c r="BZ325" t="s">
        <v>48</v>
      </c>
      <c r="CA325" t="s">
        <v>48</v>
      </c>
      <c r="CB325" t="s">
        <v>48</v>
      </c>
      <c r="CC325" t="s">
        <v>48</v>
      </c>
      <c r="CD325" t="s">
        <v>48</v>
      </c>
      <c r="CE325" t="s">
        <v>48</v>
      </c>
      <c r="CF325" t="s">
        <v>48</v>
      </c>
      <c r="CG325" t="s">
        <v>48</v>
      </c>
      <c r="CH325" t="s">
        <v>48</v>
      </c>
      <c r="CI325" t="s">
        <v>48</v>
      </c>
      <c r="CJ325" t="s">
        <v>48</v>
      </c>
    </row>
    <row r="326" spans="1:88" x14ac:dyDescent="0.25">
      <c r="A326" s="4" t="s">
        <v>1440</v>
      </c>
      <c r="B326" s="4" t="s">
        <v>1218</v>
      </c>
      <c r="C326" s="4" t="s">
        <v>1413</v>
      </c>
      <c r="D326" s="4" t="str">
        <f>cna_product_database_catalog_website[[#This Row],[MainCategory]]&amp;"&gt;"&amp;cna_product_database_catalog_website[[#This Row],[SubCategory1]]&amp;"&gt;"&amp;cna_product_database_catalog_website[[#This Row],[SubCategory2]]</f>
        <v>HID&gt;Metal Halide - E12 - Medium&gt;MH-175W COATED</v>
      </c>
      <c r="E326">
        <v>4015</v>
      </c>
      <c r="F326" t="s">
        <v>959</v>
      </c>
      <c r="G326" s="3">
        <v>366</v>
      </c>
      <c r="H326" s="8">
        <v>16</v>
      </c>
      <c r="I326" t="s">
        <v>959</v>
      </c>
      <c r="J326" t="s">
        <v>959</v>
      </c>
      <c r="K326" t="s">
        <v>948</v>
      </c>
      <c r="L326" t="s">
        <v>46</v>
      </c>
      <c r="M326" s="12"/>
      <c r="N326" t="s">
        <v>47</v>
      </c>
      <c r="O326" s="3">
        <v>1</v>
      </c>
      <c r="P326" s="3">
        <v>1</v>
      </c>
      <c r="Q326" t="s">
        <v>957</v>
      </c>
      <c r="R326" t="s">
        <v>895</v>
      </c>
      <c r="S326" t="s">
        <v>958</v>
      </c>
      <c r="T326" t="s">
        <v>48</v>
      </c>
      <c r="U326" t="s">
        <v>876</v>
      </c>
      <c r="V326" t="s">
        <v>48</v>
      </c>
      <c r="W326" t="s">
        <v>88</v>
      </c>
      <c r="X326" t="s">
        <v>950</v>
      </c>
      <c r="Y326" s="3" t="s">
        <v>48</v>
      </c>
      <c r="Z326" s="3" t="s">
        <v>951</v>
      </c>
      <c r="AA326" s="3" t="s">
        <v>48</v>
      </c>
      <c r="AB326" s="1" t="s">
        <v>48</v>
      </c>
      <c r="AC326" s="1" t="s">
        <v>48</v>
      </c>
      <c r="AD326" t="s">
        <v>48</v>
      </c>
      <c r="AE326"/>
      <c r="AF326" t="s">
        <v>48</v>
      </c>
      <c r="AG326" t="s">
        <v>48</v>
      </c>
      <c r="AH326" t="s">
        <v>48</v>
      </c>
      <c r="AI326" t="s">
        <v>48</v>
      </c>
      <c r="AL326" t="s">
        <v>48</v>
      </c>
      <c r="AO326" t="s">
        <v>48</v>
      </c>
      <c r="AP326" t="s">
        <v>48</v>
      </c>
      <c r="AQ326" t="s">
        <v>48</v>
      </c>
      <c r="AV326" t="s">
        <v>952</v>
      </c>
      <c r="AW326" t="s">
        <v>48</v>
      </c>
      <c r="AX326" s="2" t="s">
        <v>613</v>
      </c>
      <c r="AY326" s="2" t="s">
        <v>613</v>
      </c>
      <c r="BC326">
        <f>SUM(cna_product_database_catalog_website[[#This Row],[Box Length (cm)]]*cna_product_database_catalog_website[[#This Row],[Box Width (cm)]]*cna_product_database_catalog_website[[#This Row],[Box Height (cm)]]/1000000)</f>
        <v>0</v>
      </c>
      <c r="BD326">
        <f>SUM(cna_product_database_catalog_website[[#This Row],[Box CBM]]*35.3147)</f>
        <v>0</v>
      </c>
      <c r="BE326" t="s">
        <v>48</v>
      </c>
      <c r="BI32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6">
        <f>SUM(cna_product_database_catalog_website[[#This Row],[Carton CFT]]/61024)</f>
        <v>0</v>
      </c>
      <c r="BM326" t="s">
        <v>48</v>
      </c>
      <c r="BN326" t="s">
        <v>48</v>
      </c>
      <c r="BO326" t="s">
        <v>48</v>
      </c>
      <c r="BP326" t="s">
        <v>48</v>
      </c>
      <c r="BQ326" t="s">
        <v>48</v>
      </c>
      <c r="BS326" t="s">
        <v>48</v>
      </c>
      <c r="BT326" t="s">
        <v>48</v>
      </c>
      <c r="BU326" t="s">
        <v>48</v>
      </c>
      <c r="BW326" t="s">
        <v>48</v>
      </c>
      <c r="BX326" t="s">
        <v>48</v>
      </c>
      <c r="BY326" t="s">
        <v>48</v>
      </c>
      <c r="BZ326" t="s">
        <v>48</v>
      </c>
      <c r="CA326" t="s">
        <v>48</v>
      </c>
      <c r="CB326" t="s">
        <v>48</v>
      </c>
      <c r="CC326" t="s">
        <v>48</v>
      </c>
      <c r="CD326" t="s">
        <v>48</v>
      </c>
      <c r="CE326" t="s">
        <v>48</v>
      </c>
      <c r="CF326" t="s">
        <v>48</v>
      </c>
      <c r="CG326" t="s">
        <v>48</v>
      </c>
      <c r="CH326" t="s">
        <v>48</v>
      </c>
      <c r="CI326" t="s">
        <v>48</v>
      </c>
      <c r="CJ326" t="s">
        <v>48</v>
      </c>
    </row>
    <row r="327" spans="1:88" x14ac:dyDescent="0.25">
      <c r="A327" s="4" t="s">
        <v>1440</v>
      </c>
      <c r="B327" s="4" t="s">
        <v>1219</v>
      </c>
      <c r="C327" s="4" t="s">
        <v>1414</v>
      </c>
      <c r="D327" s="4" t="str">
        <f>cna_product_database_catalog_website[[#This Row],[MainCategory]]&amp;"&gt;"&amp;cna_product_database_catalog_website[[#This Row],[SubCategory1]]&amp;"&gt;"&amp;cna_product_database_catalog_website[[#This Row],[SubCategory2]]</f>
        <v>HID&gt;Metal Halide - E39 - Mogul&gt;MH-400W</v>
      </c>
      <c r="E327">
        <v>4030</v>
      </c>
      <c r="F327" t="s">
        <v>964</v>
      </c>
      <c r="G327" s="3">
        <v>289</v>
      </c>
      <c r="H327" s="8">
        <v>16</v>
      </c>
      <c r="I327" t="s">
        <v>964</v>
      </c>
      <c r="J327" t="s">
        <v>964</v>
      </c>
      <c r="K327" t="s">
        <v>948</v>
      </c>
      <c r="L327" t="s">
        <v>46</v>
      </c>
      <c r="M327" s="12"/>
      <c r="N327" t="s">
        <v>47</v>
      </c>
      <c r="O327" s="3">
        <v>1</v>
      </c>
      <c r="P327" s="3">
        <v>1</v>
      </c>
      <c r="Q327" t="s">
        <v>965</v>
      </c>
      <c r="R327" t="s">
        <v>895</v>
      </c>
      <c r="S327" t="s">
        <v>966</v>
      </c>
      <c r="T327" t="s">
        <v>48</v>
      </c>
      <c r="U327" t="s">
        <v>963</v>
      </c>
      <c r="V327" t="s">
        <v>48</v>
      </c>
      <c r="W327" t="s">
        <v>960</v>
      </c>
      <c r="X327" t="s">
        <v>950</v>
      </c>
      <c r="Y327" s="3" t="s">
        <v>48</v>
      </c>
      <c r="Z327" s="3" t="s">
        <v>951</v>
      </c>
      <c r="AA327" s="3" t="s">
        <v>48</v>
      </c>
      <c r="AB327" s="1" t="s">
        <v>48</v>
      </c>
      <c r="AC327" s="1" t="s">
        <v>48</v>
      </c>
      <c r="AD327" t="s">
        <v>48</v>
      </c>
      <c r="AE327"/>
      <c r="AF327" t="s">
        <v>48</v>
      </c>
      <c r="AG327" t="s">
        <v>48</v>
      </c>
      <c r="AH327" t="s">
        <v>48</v>
      </c>
      <c r="AI327" t="s">
        <v>48</v>
      </c>
      <c r="AL327" t="s">
        <v>48</v>
      </c>
      <c r="AO327" t="s">
        <v>48</v>
      </c>
      <c r="AP327" t="s">
        <v>48</v>
      </c>
      <c r="AQ327" t="s">
        <v>48</v>
      </c>
      <c r="AV327" t="s">
        <v>967</v>
      </c>
      <c r="AW327" t="s">
        <v>48</v>
      </c>
      <c r="AX327" s="2" t="s">
        <v>49</v>
      </c>
      <c r="AY327" s="2" t="s">
        <v>49</v>
      </c>
      <c r="BC327">
        <f>SUM(cna_product_database_catalog_website[[#This Row],[Box Length (cm)]]*cna_product_database_catalog_website[[#This Row],[Box Width (cm)]]*cna_product_database_catalog_website[[#This Row],[Box Height (cm)]]/1000000)</f>
        <v>0</v>
      </c>
      <c r="BD327">
        <f>SUM(cna_product_database_catalog_website[[#This Row],[Box CBM]]*35.3147)</f>
        <v>0</v>
      </c>
      <c r="BE327" t="s">
        <v>48</v>
      </c>
      <c r="BI32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7">
        <f>SUM(cna_product_database_catalog_website[[#This Row],[Carton CFT]]/61024)</f>
        <v>0</v>
      </c>
      <c r="BM327" t="s">
        <v>48</v>
      </c>
      <c r="BN327" t="s">
        <v>48</v>
      </c>
      <c r="BO327" t="s">
        <v>48</v>
      </c>
      <c r="BP327" t="s">
        <v>48</v>
      </c>
      <c r="BQ327" t="s">
        <v>48</v>
      </c>
      <c r="BS327" t="s">
        <v>48</v>
      </c>
      <c r="BT327" t="s">
        <v>48</v>
      </c>
      <c r="BU327" t="s">
        <v>48</v>
      </c>
      <c r="BW327" t="s">
        <v>48</v>
      </c>
      <c r="BX327" t="s">
        <v>48</v>
      </c>
      <c r="BY327" t="s">
        <v>48</v>
      </c>
      <c r="BZ327" t="s">
        <v>48</v>
      </c>
      <c r="CA327" t="s">
        <v>48</v>
      </c>
      <c r="CB327" t="s">
        <v>48</v>
      </c>
      <c r="CC327" t="s">
        <v>48</v>
      </c>
      <c r="CD327" t="s">
        <v>48</v>
      </c>
      <c r="CE327" t="s">
        <v>48</v>
      </c>
      <c r="CF327" t="s">
        <v>48</v>
      </c>
      <c r="CG327" t="s">
        <v>48</v>
      </c>
      <c r="CH327" t="s">
        <v>48</v>
      </c>
      <c r="CI327" t="s">
        <v>48</v>
      </c>
      <c r="CJ327" t="s">
        <v>48</v>
      </c>
    </row>
    <row r="328" spans="1:88" x14ac:dyDescent="0.25">
      <c r="A328" s="4" t="s">
        <v>1440</v>
      </c>
      <c r="B328" s="4" t="s">
        <v>1219</v>
      </c>
      <c r="C328" s="4" t="s">
        <v>1415</v>
      </c>
      <c r="D328" s="4" t="str">
        <f>cna_product_database_catalog_website[[#This Row],[MainCategory]]&amp;"&gt;"&amp;cna_product_database_catalog_website[[#This Row],[SubCategory1]]&amp;"&gt;"&amp;cna_product_database_catalog_website[[#This Row],[SubCategory2]]</f>
        <v>HID&gt;Metal Halide - E39 - Mogul&gt;MH-175W PS</v>
      </c>
      <c r="E328">
        <v>4035</v>
      </c>
      <c r="F328" t="s">
        <v>968</v>
      </c>
      <c r="G328" s="3">
        <v>726</v>
      </c>
      <c r="H328" s="8">
        <v>16</v>
      </c>
      <c r="I328" t="s">
        <v>968</v>
      </c>
      <c r="J328" t="s">
        <v>968</v>
      </c>
      <c r="K328" t="s">
        <v>948</v>
      </c>
      <c r="L328" t="s">
        <v>46</v>
      </c>
      <c r="M328" s="12"/>
      <c r="N328" t="s">
        <v>47</v>
      </c>
      <c r="O328" s="3">
        <v>1</v>
      </c>
      <c r="P328" s="3">
        <v>1</v>
      </c>
      <c r="Q328" t="s">
        <v>957</v>
      </c>
      <c r="R328" t="s">
        <v>895</v>
      </c>
      <c r="S328" t="s">
        <v>969</v>
      </c>
      <c r="T328" t="s">
        <v>48</v>
      </c>
      <c r="U328" t="s">
        <v>963</v>
      </c>
      <c r="V328" t="s">
        <v>48</v>
      </c>
      <c r="W328" t="s">
        <v>960</v>
      </c>
      <c r="X328" t="s">
        <v>950</v>
      </c>
      <c r="Y328" s="3" t="s">
        <v>48</v>
      </c>
      <c r="Z328" s="3" t="s">
        <v>951</v>
      </c>
      <c r="AA328" s="3" t="s">
        <v>48</v>
      </c>
      <c r="AB328" s="1" t="s">
        <v>48</v>
      </c>
      <c r="AC328" s="1" t="s">
        <v>48</v>
      </c>
      <c r="AD328" t="s">
        <v>48</v>
      </c>
      <c r="AE328"/>
      <c r="AF328" t="s">
        <v>48</v>
      </c>
      <c r="AG328" t="s">
        <v>48</v>
      </c>
      <c r="AH328" t="s">
        <v>48</v>
      </c>
      <c r="AI328" t="s">
        <v>48</v>
      </c>
      <c r="AL328" t="s">
        <v>48</v>
      </c>
      <c r="AO328" t="s">
        <v>48</v>
      </c>
      <c r="AP328" t="s">
        <v>48</v>
      </c>
      <c r="AQ328" t="s">
        <v>48</v>
      </c>
      <c r="AV328" t="s">
        <v>961</v>
      </c>
      <c r="AW328" t="s">
        <v>48</v>
      </c>
      <c r="AX328" s="2" t="s">
        <v>49</v>
      </c>
      <c r="AY328" s="2" t="s">
        <v>49</v>
      </c>
      <c r="BC328">
        <f>SUM(cna_product_database_catalog_website[[#This Row],[Box Length (cm)]]*cna_product_database_catalog_website[[#This Row],[Box Width (cm)]]*cna_product_database_catalog_website[[#This Row],[Box Height (cm)]]/1000000)</f>
        <v>0</v>
      </c>
      <c r="BD328">
        <f>SUM(cna_product_database_catalog_website[[#This Row],[Box CBM]]*35.3147)</f>
        <v>0</v>
      </c>
      <c r="BE328" t="s">
        <v>48</v>
      </c>
      <c r="BI32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8">
        <f>SUM(cna_product_database_catalog_website[[#This Row],[Carton CFT]]/61024)</f>
        <v>0</v>
      </c>
      <c r="BM328" t="s">
        <v>48</v>
      </c>
      <c r="BN328" t="s">
        <v>48</v>
      </c>
      <c r="BO328" t="s">
        <v>48</v>
      </c>
      <c r="BP328" t="s">
        <v>48</v>
      </c>
      <c r="BQ328" t="s">
        <v>48</v>
      </c>
      <c r="BS328" t="s">
        <v>48</v>
      </c>
      <c r="BT328" t="s">
        <v>48</v>
      </c>
      <c r="BU328" t="s">
        <v>48</v>
      </c>
      <c r="BW328" t="s">
        <v>48</v>
      </c>
      <c r="BX328" t="s">
        <v>48</v>
      </c>
      <c r="BY328" t="s">
        <v>48</v>
      </c>
      <c r="BZ328" t="s">
        <v>48</v>
      </c>
      <c r="CA328" t="s">
        <v>48</v>
      </c>
      <c r="CB328" t="s">
        <v>48</v>
      </c>
      <c r="CC328" t="s">
        <v>48</v>
      </c>
      <c r="CD328" t="s">
        <v>48</v>
      </c>
      <c r="CE328" t="s">
        <v>48</v>
      </c>
      <c r="CF328" t="s">
        <v>48</v>
      </c>
      <c r="CG328" t="s">
        <v>48</v>
      </c>
      <c r="CH328" t="s">
        <v>48</v>
      </c>
      <c r="CI328" t="s">
        <v>48</v>
      </c>
      <c r="CJ328" t="s">
        <v>48</v>
      </c>
    </row>
    <row r="329" spans="1:88" x14ac:dyDescent="0.25">
      <c r="A329" s="4" t="s">
        <v>1440</v>
      </c>
      <c r="B329" s="4" t="s">
        <v>1219</v>
      </c>
      <c r="C329" s="4" t="s">
        <v>1416</v>
      </c>
      <c r="D329" s="4" t="str">
        <f>cna_product_database_catalog_website[[#This Row],[MainCategory]]&amp;"&gt;"&amp;cna_product_database_catalog_website[[#This Row],[SubCategory1]]&amp;"&gt;"&amp;cna_product_database_catalog_website[[#This Row],[SubCategory2]]</f>
        <v>HID&gt;Metal Halide - E39 - Mogul&gt;MH-200W PS</v>
      </c>
      <c r="E329">
        <v>4040</v>
      </c>
      <c r="F329" t="s">
        <v>970</v>
      </c>
      <c r="G329" s="3">
        <v>727</v>
      </c>
      <c r="H329" s="8">
        <v>16</v>
      </c>
      <c r="I329" t="s">
        <v>970</v>
      </c>
      <c r="J329" t="s">
        <v>970</v>
      </c>
      <c r="K329" t="s">
        <v>948</v>
      </c>
      <c r="L329" t="s">
        <v>46</v>
      </c>
      <c r="M329" s="12"/>
      <c r="N329" t="s">
        <v>47</v>
      </c>
      <c r="O329" s="3">
        <v>1</v>
      </c>
      <c r="P329" s="3">
        <v>1</v>
      </c>
      <c r="Q329" t="s">
        <v>817</v>
      </c>
      <c r="R329" t="s">
        <v>895</v>
      </c>
      <c r="S329" t="s">
        <v>971</v>
      </c>
      <c r="T329" t="s">
        <v>48</v>
      </c>
      <c r="U329" t="s">
        <v>55</v>
      </c>
      <c r="V329" t="s">
        <v>48</v>
      </c>
      <c r="W329" t="s">
        <v>960</v>
      </c>
      <c r="X329" t="s">
        <v>950</v>
      </c>
      <c r="Y329" s="3" t="s">
        <v>48</v>
      </c>
      <c r="Z329" s="3" t="s">
        <v>951</v>
      </c>
      <c r="AA329" s="3" t="s">
        <v>48</v>
      </c>
      <c r="AB329" s="1" t="s">
        <v>48</v>
      </c>
      <c r="AC329" s="1" t="s">
        <v>48</v>
      </c>
      <c r="AD329" t="s">
        <v>48</v>
      </c>
      <c r="AE329"/>
      <c r="AF329" t="s">
        <v>48</v>
      </c>
      <c r="AG329" t="s">
        <v>48</v>
      </c>
      <c r="AH329" t="s">
        <v>48</v>
      </c>
      <c r="AI329" t="s">
        <v>48</v>
      </c>
      <c r="AL329" t="s">
        <v>48</v>
      </c>
      <c r="AO329" t="s">
        <v>48</v>
      </c>
      <c r="AP329" t="s">
        <v>48</v>
      </c>
      <c r="AQ329" t="s">
        <v>48</v>
      </c>
      <c r="AV329" t="s">
        <v>961</v>
      </c>
      <c r="AW329" t="s">
        <v>48</v>
      </c>
      <c r="AX329" s="2" t="s">
        <v>49</v>
      </c>
      <c r="AY329" s="2" t="s">
        <v>49</v>
      </c>
      <c r="BC329">
        <f>SUM(cna_product_database_catalog_website[[#This Row],[Box Length (cm)]]*cna_product_database_catalog_website[[#This Row],[Box Width (cm)]]*cna_product_database_catalog_website[[#This Row],[Box Height (cm)]]/1000000)</f>
        <v>0</v>
      </c>
      <c r="BD329">
        <f>SUM(cna_product_database_catalog_website[[#This Row],[Box CBM]]*35.3147)</f>
        <v>0</v>
      </c>
      <c r="BE329" t="s">
        <v>48</v>
      </c>
      <c r="BI32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9">
        <f>SUM(cna_product_database_catalog_website[[#This Row],[Carton CFT]]/61024)</f>
        <v>0</v>
      </c>
      <c r="BM329" t="s">
        <v>48</v>
      </c>
      <c r="BN329" t="s">
        <v>48</v>
      </c>
      <c r="BO329" t="s">
        <v>48</v>
      </c>
      <c r="BP329" t="s">
        <v>48</v>
      </c>
      <c r="BQ329" t="s">
        <v>48</v>
      </c>
      <c r="BS329" t="s">
        <v>48</v>
      </c>
      <c r="BT329" t="s">
        <v>48</v>
      </c>
      <c r="BU329" t="s">
        <v>48</v>
      </c>
      <c r="BW329" t="s">
        <v>48</v>
      </c>
      <c r="BX329" t="s">
        <v>48</v>
      </c>
      <c r="BY329" t="s">
        <v>48</v>
      </c>
      <c r="BZ329" t="s">
        <v>48</v>
      </c>
      <c r="CA329" t="s">
        <v>48</v>
      </c>
      <c r="CB329" t="s">
        <v>48</v>
      </c>
      <c r="CC329" t="s">
        <v>48</v>
      </c>
      <c r="CD329" t="s">
        <v>48</v>
      </c>
      <c r="CE329" t="s">
        <v>48</v>
      </c>
      <c r="CF329" t="s">
        <v>48</v>
      </c>
      <c r="CG329" t="s">
        <v>48</v>
      </c>
      <c r="CH329" t="s">
        <v>48</v>
      </c>
      <c r="CI329" t="s">
        <v>48</v>
      </c>
      <c r="CJ329" t="s">
        <v>48</v>
      </c>
    </row>
    <row r="330" spans="1:88" x14ac:dyDescent="0.25">
      <c r="A330" s="4" t="s">
        <v>1440</v>
      </c>
      <c r="B330" s="4" t="s">
        <v>1219</v>
      </c>
      <c r="C330" s="4" t="s">
        <v>1417</v>
      </c>
      <c r="D330" s="4" t="str">
        <f>cna_product_database_catalog_website[[#This Row],[MainCategory]]&amp;"&gt;"&amp;cna_product_database_catalog_website[[#This Row],[SubCategory1]]&amp;"&gt;"&amp;cna_product_database_catalog_website[[#This Row],[SubCategory2]]</f>
        <v>HID&gt;Metal Halide - E39 - Mogul&gt;MH-320W PS</v>
      </c>
      <c r="E330">
        <v>4045</v>
      </c>
      <c r="F330" t="s">
        <v>972</v>
      </c>
      <c r="G330" s="3">
        <v>728</v>
      </c>
      <c r="H330" s="8">
        <v>16</v>
      </c>
      <c r="I330" t="s">
        <v>972</v>
      </c>
      <c r="J330" t="s">
        <v>972</v>
      </c>
      <c r="K330" t="s">
        <v>948</v>
      </c>
      <c r="L330" t="s">
        <v>46</v>
      </c>
      <c r="M330" s="12"/>
      <c r="N330" t="s">
        <v>47</v>
      </c>
      <c r="O330" s="3">
        <v>1</v>
      </c>
      <c r="P330" s="3">
        <v>1</v>
      </c>
      <c r="Q330" t="s">
        <v>973</v>
      </c>
      <c r="R330" t="s">
        <v>895</v>
      </c>
      <c r="S330" t="s">
        <v>974</v>
      </c>
      <c r="T330" t="s">
        <v>48</v>
      </c>
      <c r="U330" t="s">
        <v>975</v>
      </c>
      <c r="V330" t="s">
        <v>48</v>
      </c>
      <c r="W330" t="s">
        <v>960</v>
      </c>
      <c r="X330" t="s">
        <v>950</v>
      </c>
      <c r="Y330" s="3" t="s">
        <v>48</v>
      </c>
      <c r="Z330" s="3" t="s">
        <v>951</v>
      </c>
      <c r="AA330" s="3" t="s">
        <v>48</v>
      </c>
      <c r="AB330" s="1" t="s">
        <v>48</v>
      </c>
      <c r="AC330" s="1" t="s">
        <v>48</v>
      </c>
      <c r="AD330" t="s">
        <v>48</v>
      </c>
      <c r="AE330"/>
      <c r="AF330" t="s">
        <v>48</v>
      </c>
      <c r="AG330" t="s">
        <v>48</v>
      </c>
      <c r="AH330" t="s">
        <v>48</v>
      </c>
      <c r="AI330" t="s">
        <v>48</v>
      </c>
      <c r="AL330" t="s">
        <v>48</v>
      </c>
      <c r="AO330" t="s">
        <v>48</v>
      </c>
      <c r="AP330" t="s">
        <v>48</v>
      </c>
      <c r="AQ330" t="s">
        <v>48</v>
      </c>
      <c r="AV330" t="s">
        <v>967</v>
      </c>
      <c r="AW330" t="s">
        <v>48</v>
      </c>
      <c r="AX330" s="2" t="s">
        <v>49</v>
      </c>
      <c r="AY330" s="2" t="s">
        <v>49</v>
      </c>
      <c r="BC330">
        <f>SUM(cna_product_database_catalog_website[[#This Row],[Box Length (cm)]]*cna_product_database_catalog_website[[#This Row],[Box Width (cm)]]*cna_product_database_catalog_website[[#This Row],[Box Height (cm)]]/1000000)</f>
        <v>0</v>
      </c>
      <c r="BD330">
        <f>SUM(cna_product_database_catalog_website[[#This Row],[Box CBM]]*35.3147)</f>
        <v>0</v>
      </c>
      <c r="BE330" t="s">
        <v>48</v>
      </c>
      <c r="BI33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0">
        <f>SUM(cna_product_database_catalog_website[[#This Row],[Carton CFT]]/61024)</f>
        <v>0</v>
      </c>
      <c r="BM330" t="s">
        <v>48</v>
      </c>
      <c r="BN330" t="s">
        <v>48</v>
      </c>
      <c r="BO330" t="s">
        <v>48</v>
      </c>
      <c r="BP330" t="s">
        <v>48</v>
      </c>
      <c r="BQ330" t="s">
        <v>48</v>
      </c>
      <c r="BS330" t="s">
        <v>48</v>
      </c>
      <c r="BT330" t="s">
        <v>48</v>
      </c>
      <c r="BU330" t="s">
        <v>48</v>
      </c>
      <c r="BW330" t="s">
        <v>48</v>
      </c>
      <c r="BX330" t="s">
        <v>48</v>
      </c>
      <c r="BY330" t="s">
        <v>48</v>
      </c>
      <c r="BZ330" t="s">
        <v>48</v>
      </c>
      <c r="CA330" t="s">
        <v>48</v>
      </c>
      <c r="CB330" t="s">
        <v>48</v>
      </c>
      <c r="CC330" t="s">
        <v>48</v>
      </c>
      <c r="CD330" t="s">
        <v>48</v>
      </c>
      <c r="CE330" t="s">
        <v>48</v>
      </c>
      <c r="CF330" t="s">
        <v>48</v>
      </c>
      <c r="CG330" t="s">
        <v>48</v>
      </c>
      <c r="CH330" t="s">
        <v>48</v>
      </c>
      <c r="CI330" t="s">
        <v>48</v>
      </c>
      <c r="CJ330" t="s">
        <v>48</v>
      </c>
    </row>
    <row r="331" spans="1:88" x14ac:dyDescent="0.25">
      <c r="A331" s="4" t="s">
        <v>1440</v>
      </c>
      <c r="B331" s="4" t="s">
        <v>1219</v>
      </c>
      <c r="C331" s="4" t="s">
        <v>1407</v>
      </c>
      <c r="D331" s="4" t="str">
        <f>cna_product_database_catalog_website[[#This Row],[MainCategory]]&amp;"&gt;"&amp;cna_product_database_catalog_website[[#This Row],[SubCategory1]]&amp;"&gt;"&amp;cna_product_database_catalog_website[[#This Row],[SubCategory2]]</f>
        <v>HID&gt;Metal Halide - E39 - Mogul&gt;250W Conversion</v>
      </c>
      <c r="E331">
        <v>4050</v>
      </c>
      <c r="F331" t="s">
        <v>976</v>
      </c>
      <c r="G331" s="3">
        <v>519</v>
      </c>
      <c r="H331" s="8">
        <v>16</v>
      </c>
      <c r="I331" t="s">
        <v>976</v>
      </c>
      <c r="J331" t="s">
        <v>976</v>
      </c>
      <c r="K331" t="s">
        <v>948</v>
      </c>
      <c r="L331" t="s">
        <v>46</v>
      </c>
      <c r="M331" s="12"/>
      <c r="N331" t="s">
        <v>47</v>
      </c>
      <c r="O331" s="3">
        <v>1</v>
      </c>
      <c r="P331" s="3">
        <v>1</v>
      </c>
      <c r="Q331" t="s">
        <v>824</v>
      </c>
      <c r="R331" t="s">
        <v>895</v>
      </c>
      <c r="S331" t="s">
        <v>962</v>
      </c>
      <c r="T331" t="s">
        <v>48</v>
      </c>
      <c r="U331" t="s">
        <v>876</v>
      </c>
      <c r="V331" t="s">
        <v>48</v>
      </c>
      <c r="W331" t="s">
        <v>960</v>
      </c>
      <c r="X331" t="s">
        <v>950</v>
      </c>
      <c r="Y331" s="3" t="s">
        <v>48</v>
      </c>
      <c r="Z331" s="3" t="s">
        <v>951</v>
      </c>
      <c r="AA331" s="3" t="s">
        <v>48</v>
      </c>
      <c r="AB331" s="1" t="s">
        <v>48</v>
      </c>
      <c r="AC331" s="1" t="s">
        <v>48</v>
      </c>
      <c r="AD331" t="s">
        <v>48</v>
      </c>
      <c r="AE331"/>
      <c r="AF331" t="s">
        <v>48</v>
      </c>
      <c r="AG331" t="s">
        <v>48</v>
      </c>
      <c r="AH331" t="s">
        <v>48</v>
      </c>
      <c r="AI331" t="s">
        <v>48</v>
      </c>
      <c r="AL331" t="s">
        <v>48</v>
      </c>
      <c r="AO331" t="s">
        <v>48</v>
      </c>
      <c r="AP331" t="s">
        <v>48</v>
      </c>
      <c r="AQ331" t="s">
        <v>48</v>
      </c>
      <c r="AV331" t="s">
        <v>961</v>
      </c>
      <c r="AW331" t="s">
        <v>48</v>
      </c>
      <c r="AX331" s="2" t="s">
        <v>49</v>
      </c>
      <c r="AY331" s="2" t="s">
        <v>49</v>
      </c>
      <c r="BC331">
        <f>SUM(cna_product_database_catalog_website[[#This Row],[Box Length (cm)]]*cna_product_database_catalog_website[[#This Row],[Box Width (cm)]]*cna_product_database_catalog_website[[#This Row],[Box Height (cm)]]/1000000)</f>
        <v>0</v>
      </c>
      <c r="BD331">
        <f>SUM(cna_product_database_catalog_website[[#This Row],[Box CBM]]*35.3147)</f>
        <v>0</v>
      </c>
      <c r="BE331" t="s">
        <v>48</v>
      </c>
      <c r="BI33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1">
        <f>SUM(cna_product_database_catalog_website[[#This Row],[Carton CFT]]/61024)</f>
        <v>0</v>
      </c>
      <c r="BM331" t="s">
        <v>48</v>
      </c>
      <c r="BN331" t="s">
        <v>48</v>
      </c>
      <c r="BO331" t="s">
        <v>48</v>
      </c>
      <c r="BP331" t="s">
        <v>48</v>
      </c>
      <c r="BQ331" t="s">
        <v>48</v>
      </c>
      <c r="BS331" t="s">
        <v>48</v>
      </c>
      <c r="BT331" t="s">
        <v>48</v>
      </c>
      <c r="BU331" t="s">
        <v>48</v>
      </c>
      <c r="BW331" t="s">
        <v>48</v>
      </c>
      <c r="BX331" t="s">
        <v>48</v>
      </c>
      <c r="BY331" t="s">
        <v>48</v>
      </c>
      <c r="BZ331" t="s">
        <v>48</v>
      </c>
      <c r="CA331" t="s">
        <v>48</v>
      </c>
      <c r="CB331" t="s">
        <v>48</v>
      </c>
      <c r="CC331" t="s">
        <v>48</v>
      </c>
      <c r="CD331" t="s">
        <v>48</v>
      </c>
      <c r="CE331" t="s">
        <v>48</v>
      </c>
      <c r="CF331" t="s">
        <v>48</v>
      </c>
      <c r="CG331" t="s">
        <v>48</v>
      </c>
      <c r="CH331" t="s">
        <v>48</v>
      </c>
      <c r="CI331" t="s">
        <v>48</v>
      </c>
      <c r="CJ331" t="s">
        <v>48</v>
      </c>
    </row>
    <row r="332" spans="1:88" x14ac:dyDescent="0.25">
      <c r="A332" s="4" t="s">
        <v>1440</v>
      </c>
      <c r="B332" s="4" t="s">
        <v>1219</v>
      </c>
      <c r="C332" s="4" t="s">
        <v>1408</v>
      </c>
      <c r="D332" s="4" t="str">
        <f>cna_product_database_catalog_website[[#This Row],[MainCategory]]&amp;"&gt;"&amp;cna_product_database_catalog_website[[#This Row],[SubCategory1]]&amp;"&gt;"&amp;cna_product_database_catalog_website[[#This Row],[SubCategory2]]</f>
        <v>HID&gt;Metal Halide - E39 - Mogul&gt;400W Conversion</v>
      </c>
      <c r="E332">
        <v>4055</v>
      </c>
      <c r="F332" t="s">
        <v>977</v>
      </c>
      <c r="G332" s="3">
        <v>395</v>
      </c>
      <c r="H332" s="8">
        <v>16</v>
      </c>
      <c r="I332" t="s">
        <v>977</v>
      </c>
      <c r="J332" t="s">
        <v>977</v>
      </c>
      <c r="K332" t="s">
        <v>948</v>
      </c>
      <c r="L332" t="s">
        <v>46</v>
      </c>
      <c r="M332" s="12"/>
      <c r="N332" t="s">
        <v>47</v>
      </c>
      <c r="O332" s="3">
        <v>1</v>
      </c>
      <c r="P332" s="3">
        <v>1</v>
      </c>
      <c r="Q332" t="s">
        <v>965</v>
      </c>
      <c r="R332" t="s">
        <v>895</v>
      </c>
      <c r="S332" t="s">
        <v>966</v>
      </c>
      <c r="T332" t="s">
        <v>48</v>
      </c>
      <c r="U332" t="s">
        <v>876</v>
      </c>
      <c r="V332" t="s">
        <v>48</v>
      </c>
      <c r="W332" t="s">
        <v>960</v>
      </c>
      <c r="X332" t="s">
        <v>950</v>
      </c>
      <c r="Y332" s="3" t="s">
        <v>48</v>
      </c>
      <c r="Z332" s="3" t="s">
        <v>951</v>
      </c>
      <c r="AA332" s="3" t="s">
        <v>48</v>
      </c>
      <c r="AB332" s="1" t="s">
        <v>48</v>
      </c>
      <c r="AC332" s="1" t="s">
        <v>48</v>
      </c>
      <c r="AD332" t="s">
        <v>48</v>
      </c>
      <c r="AE332"/>
      <c r="AF332" t="s">
        <v>48</v>
      </c>
      <c r="AG332" t="s">
        <v>48</v>
      </c>
      <c r="AH332" t="s">
        <v>48</v>
      </c>
      <c r="AI332" t="s">
        <v>48</v>
      </c>
      <c r="AL332" t="s">
        <v>48</v>
      </c>
      <c r="AO332" t="s">
        <v>48</v>
      </c>
      <c r="AP332" t="s">
        <v>48</v>
      </c>
      <c r="AQ332" t="s">
        <v>48</v>
      </c>
      <c r="AV332" t="s">
        <v>967</v>
      </c>
      <c r="AW332" t="s">
        <v>48</v>
      </c>
      <c r="AX332" s="2" t="s">
        <v>49</v>
      </c>
      <c r="AY332" s="2" t="s">
        <v>49</v>
      </c>
      <c r="BC332">
        <f>SUM(cna_product_database_catalog_website[[#This Row],[Box Length (cm)]]*cna_product_database_catalog_website[[#This Row],[Box Width (cm)]]*cna_product_database_catalog_website[[#This Row],[Box Height (cm)]]/1000000)</f>
        <v>0</v>
      </c>
      <c r="BD332">
        <f>SUM(cna_product_database_catalog_website[[#This Row],[Box CBM]]*35.3147)</f>
        <v>0</v>
      </c>
      <c r="BE332" t="s">
        <v>48</v>
      </c>
      <c r="BI33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2">
        <f>SUM(cna_product_database_catalog_website[[#This Row],[Carton CFT]]/61024)</f>
        <v>0</v>
      </c>
      <c r="BM332" t="s">
        <v>48</v>
      </c>
      <c r="BN332" t="s">
        <v>48</v>
      </c>
      <c r="BO332" t="s">
        <v>48</v>
      </c>
      <c r="BP332" t="s">
        <v>48</v>
      </c>
      <c r="BQ332" t="s">
        <v>48</v>
      </c>
      <c r="BS332" t="s">
        <v>48</v>
      </c>
      <c r="BT332" t="s">
        <v>48</v>
      </c>
      <c r="BU332" t="s">
        <v>48</v>
      </c>
      <c r="BW332" t="s">
        <v>48</v>
      </c>
      <c r="BX332" t="s">
        <v>48</v>
      </c>
      <c r="BY332" t="s">
        <v>48</v>
      </c>
      <c r="BZ332" t="s">
        <v>48</v>
      </c>
      <c r="CA332" t="s">
        <v>48</v>
      </c>
      <c r="CB332" t="s">
        <v>48</v>
      </c>
      <c r="CC332" t="s">
        <v>48</v>
      </c>
      <c r="CD332" t="s">
        <v>48</v>
      </c>
      <c r="CE332" t="s">
        <v>48</v>
      </c>
      <c r="CF332" t="s">
        <v>48</v>
      </c>
      <c r="CG332" t="s">
        <v>48</v>
      </c>
      <c r="CH332" t="s">
        <v>48</v>
      </c>
      <c r="CI332" t="s">
        <v>48</v>
      </c>
      <c r="CJ332" t="s">
        <v>48</v>
      </c>
    </row>
    <row r="333" spans="1:88" x14ac:dyDescent="0.25">
      <c r="A333" s="4" t="s">
        <v>1440</v>
      </c>
      <c r="B333" s="4" t="s">
        <v>1219</v>
      </c>
      <c r="C333" s="4" t="s">
        <v>1409</v>
      </c>
      <c r="D333" s="4" t="str">
        <f>cna_product_database_catalog_website[[#This Row],[MainCategory]]&amp;"&gt;"&amp;cna_product_database_catalog_website[[#This Row],[SubCategory1]]&amp;"&gt;"&amp;cna_product_database_catalog_website[[#This Row],[SubCategory2]]</f>
        <v>HID&gt;Metal Halide - E39 - Mogul&gt;600W Conversion</v>
      </c>
      <c r="E333">
        <v>4060</v>
      </c>
      <c r="F333" t="s">
        <v>978</v>
      </c>
      <c r="G333" s="3">
        <v>396</v>
      </c>
      <c r="H333" s="8">
        <v>16</v>
      </c>
      <c r="I333" t="s">
        <v>978</v>
      </c>
      <c r="J333" t="s">
        <v>978</v>
      </c>
      <c r="K333" t="s">
        <v>948</v>
      </c>
      <c r="L333" t="s">
        <v>46</v>
      </c>
      <c r="M333" s="12"/>
      <c r="N333" t="s">
        <v>47</v>
      </c>
      <c r="O333" s="3">
        <v>1</v>
      </c>
      <c r="P333" s="3">
        <v>1</v>
      </c>
      <c r="Q333" t="s">
        <v>979</v>
      </c>
      <c r="R333" t="s">
        <v>895</v>
      </c>
      <c r="S333" t="s">
        <v>980</v>
      </c>
      <c r="T333" t="s">
        <v>48</v>
      </c>
      <c r="U333" t="s">
        <v>876</v>
      </c>
      <c r="V333" t="s">
        <v>48</v>
      </c>
      <c r="W333" t="s">
        <v>960</v>
      </c>
      <c r="X333" t="s">
        <v>950</v>
      </c>
      <c r="Y333" s="3" t="s">
        <v>48</v>
      </c>
      <c r="Z333" s="3" t="s">
        <v>951</v>
      </c>
      <c r="AA333" s="3" t="s">
        <v>48</v>
      </c>
      <c r="AB333" s="1" t="s">
        <v>48</v>
      </c>
      <c r="AC333" s="1" t="s">
        <v>48</v>
      </c>
      <c r="AD333" t="s">
        <v>48</v>
      </c>
      <c r="AE333"/>
      <c r="AF333" t="s">
        <v>48</v>
      </c>
      <c r="AG333" t="s">
        <v>48</v>
      </c>
      <c r="AH333" t="s">
        <v>48</v>
      </c>
      <c r="AI333" t="s">
        <v>48</v>
      </c>
      <c r="AL333" t="s">
        <v>48</v>
      </c>
      <c r="AO333" t="s">
        <v>48</v>
      </c>
      <c r="AP333" t="s">
        <v>48</v>
      </c>
      <c r="AQ333" t="s">
        <v>48</v>
      </c>
      <c r="AV333" t="s">
        <v>981</v>
      </c>
      <c r="AW333" t="s">
        <v>48</v>
      </c>
      <c r="AX333" s="2" t="s">
        <v>49</v>
      </c>
      <c r="AY333" s="2" t="s">
        <v>49</v>
      </c>
      <c r="BC333">
        <f>SUM(cna_product_database_catalog_website[[#This Row],[Box Length (cm)]]*cna_product_database_catalog_website[[#This Row],[Box Width (cm)]]*cna_product_database_catalog_website[[#This Row],[Box Height (cm)]]/1000000)</f>
        <v>0</v>
      </c>
      <c r="BD333">
        <f>SUM(cna_product_database_catalog_website[[#This Row],[Box CBM]]*35.3147)</f>
        <v>0</v>
      </c>
      <c r="BE333" t="s">
        <v>48</v>
      </c>
      <c r="BI33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3">
        <f>SUM(cna_product_database_catalog_website[[#This Row],[Carton CFT]]/61024)</f>
        <v>0</v>
      </c>
      <c r="BM333" t="s">
        <v>48</v>
      </c>
      <c r="BN333" t="s">
        <v>48</v>
      </c>
      <c r="BO333" t="s">
        <v>48</v>
      </c>
      <c r="BP333" t="s">
        <v>48</v>
      </c>
      <c r="BQ333" t="s">
        <v>48</v>
      </c>
      <c r="BS333" t="s">
        <v>48</v>
      </c>
      <c r="BT333" t="s">
        <v>48</v>
      </c>
      <c r="BU333" t="s">
        <v>48</v>
      </c>
      <c r="BW333" t="s">
        <v>48</v>
      </c>
      <c r="BX333" t="s">
        <v>48</v>
      </c>
      <c r="BY333" t="s">
        <v>48</v>
      </c>
      <c r="BZ333" t="s">
        <v>48</v>
      </c>
      <c r="CA333" t="s">
        <v>48</v>
      </c>
      <c r="CB333" t="s">
        <v>48</v>
      </c>
      <c r="CC333" t="s">
        <v>48</v>
      </c>
      <c r="CD333" t="s">
        <v>48</v>
      </c>
      <c r="CE333" t="s">
        <v>48</v>
      </c>
      <c r="CF333" t="s">
        <v>48</v>
      </c>
      <c r="CG333" t="s">
        <v>48</v>
      </c>
      <c r="CH333" t="s">
        <v>48</v>
      </c>
      <c r="CI333" t="s">
        <v>48</v>
      </c>
      <c r="CJ333" t="s">
        <v>48</v>
      </c>
    </row>
    <row r="334" spans="1:88" x14ac:dyDescent="0.25">
      <c r="A334" s="4" t="s">
        <v>1440</v>
      </c>
      <c r="B334" s="4" t="s">
        <v>1220</v>
      </c>
      <c r="C334" s="4" t="s">
        <v>1419</v>
      </c>
      <c r="D334" s="4" t="str">
        <f>cna_product_database_catalog_website[[#This Row],[MainCategory]]&amp;"&gt;"&amp;cna_product_database_catalog_website[[#This Row],[SubCategory1]]&amp;"&gt;"&amp;cna_product_database_catalog_website[[#This Row],[SubCategory2]]</f>
        <v>HID&gt;High Pressure Sodium - HPS / LU - E12 - Medium&gt;HPS-35W</v>
      </c>
      <c r="E334">
        <v>4100</v>
      </c>
      <c r="F334" t="s">
        <v>982</v>
      </c>
      <c r="G334" s="3">
        <v>339</v>
      </c>
      <c r="H334" s="8">
        <v>8.5</v>
      </c>
      <c r="I334" t="s">
        <v>982</v>
      </c>
      <c r="J334" t="s">
        <v>982</v>
      </c>
      <c r="K334" t="s">
        <v>983</v>
      </c>
      <c r="L334" t="s">
        <v>46</v>
      </c>
      <c r="M334" s="12"/>
      <c r="N334" t="s">
        <v>47</v>
      </c>
      <c r="O334" s="3">
        <v>1</v>
      </c>
      <c r="P334" s="3">
        <v>1</v>
      </c>
      <c r="Q334" t="s">
        <v>779</v>
      </c>
      <c r="R334" t="s">
        <v>895</v>
      </c>
      <c r="S334" t="s">
        <v>984</v>
      </c>
      <c r="T334" t="s">
        <v>48</v>
      </c>
      <c r="U334" t="s">
        <v>985</v>
      </c>
      <c r="V334" t="s">
        <v>46</v>
      </c>
      <c r="W334" t="s">
        <v>88</v>
      </c>
      <c r="X334" t="s">
        <v>986</v>
      </c>
      <c r="Y334" s="3" t="s">
        <v>48</v>
      </c>
      <c r="Z334" s="3" t="s">
        <v>987</v>
      </c>
      <c r="AA334" s="3" t="s">
        <v>48</v>
      </c>
      <c r="AB334" s="1" t="s">
        <v>48</v>
      </c>
      <c r="AC334" s="1" t="s">
        <v>48</v>
      </c>
      <c r="AD334" t="s">
        <v>48</v>
      </c>
      <c r="AE334"/>
      <c r="AF334" t="s">
        <v>48</v>
      </c>
      <c r="AG334" t="s">
        <v>48</v>
      </c>
      <c r="AH334" t="s">
        <v>48</v>
      </c>
      <c r="AI334" t="s">
        <v>48</v>
      </c>
      <c r="AL334" t="s">
        <v>48</v>
      </c>
      <c r="AO334" t="s">
        <v>48</v>
      </c>
      <c r="AP334" t="s">
        <v>48</v>
      </c>
      <c r="AQ334" t="s">
        <v>48</v>
      </c>
      <c r="AV334" t="s">
        <v>988</v>
      </c>
      <c r="AW334" t="s">
        <v>48</v>
      </c>
      <c r="AX334" s="2" t="s">
        <v>613</v>
      </c>
      <c r="AY334" s="2" t="s">
        <v>613</v>
      </c>
      <c r="BC334">
        <f>SUM(cna_product_database_catalog_website[[#This Row],[Box Length (cm)]]*cna_product_database_catalog_website[[#This Row],[Box Width (cm)]]*cna_product_database_catalog_website[[#This Row],[Box Height (cm)]]/1000000)</f>
        <v>0</v>
      </c>
      <c r="BD334">
        <f>SUM(cna_product_database_catalog_website[[#This Row],[Box CBM]]*35.3147)</f>
        <v>0</v>
      </c>
      <c r="BE334" t="s">
        <v>48</v>
      </c>
      <c r="BI33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4">
        <f>SUM(cna_product_database_catalog_website[[#This Row],[Carton CFT]]/61024)</f>
        <v>0</v>
      </c>
      <c r="BM334" t="s">
        <v>48</v>
      </c>
      <c r="BN334" t="s">
        <v>48</v>
      </c>
      <c r="BO334" t="s">
        <v>48</v>
      </c>
      <c r="BP334" t="s">
        <v>48</v>
      </c>
      <c r="BQ334" t="s">
        <v>48</v>
      </c>
      <c r="BS334" t="s">
        <v>48</v>
      </c>
      <c r="BT334" t="s">
        <v>48</v>
      </c>
      <c r="BU334" t="s">
        <v>48</v>
      </c>
      <c r="BW334" t="s">
        <v>48</v>
      </c>
      <c r="BX334" t="s">
        <v>48</v>
      </c>
      <c r="BY334" t="s">
        <v>48</v>
      </c>
      <c r="BZ334" t="s">
        <v>48</v>
      </c>
      <c r="CA334" t="s">
        <v>48</v>
      </c>
      <c r="CB334" t="s">
        <v>48</v>
      </c>
      <c r="CC334" t="s">
        <v>48</v>
      </c>
      <c r="CD334" t="s">
        <v>48</v>
      </c>
      <c r="CE334" t="s">
        <v>48</v>
      </c>
      <c r="CF334" t="s">
        <v>48</v>
      </c>
      <c r="CG334" t="s">
        <v>48</v>
      </c>
      <c r="CH334" t="s">
        <v>48</v>
      </c>
      <c r="CI334" t="s">
        <v>48</v>
      </c>
      <c r="CJ334" t="s">
        <v>48</v>
      </c>
    </row>
    <row r="335" spans="1:88" x14ac:dyDescent="0.25">
      <c r="A335" s="4" t="s">
        <v>1440</v>
      </c>
      <c r="B335" s="4" t="s">
        <v>1220</v>
      </c>
      <c r="C335" s="4" t="s">
        <v>1418</v>
      </c>
      <c r="D335" s="4" t="str">
        <f>cna_product_database_catalog_website[[#This Row],[MainCategory]]&amp;"&gt;"&amp;cna_product_database_catalog_website[[#This Row],[SubCategory1]]&amp;"&gt;"&amp;cna_product_database_catalog_website[[#This Row],[SubCategory2]]</f>
        <v>HID&gt;High Pressure Sodium - HPS / LU - E12 - Medium&gt;HPS-50W</v>
      </c>
      <c r="E335">
        <v>4105</v>
      </c>
      <c r="F335" t="s">
        <v>989</v>
      </c>
      <c r="G335" s="3">
        <v>340</v>
      </c>
      <c r="H335" s="8">
        <v>8.5</v>
      </c>
      <c r="I335" t="s">
        <v>989</v>
      </c>
      <c r="J335" t="s">
        <v>989</v>
      </c>
      <c r="K335" t="s">
        <v>983</v>
      </c>
      <c r="L335" t="s">
        <v>46</v>
      </c>
      <c r="M335" s="12"/>
      <c r="N335" t="s">
        <v>47</v>
      </c>
      <c r="O335" s="3">
        <v>1</v>
      </c>
      <c r="P335" s="3">
        <v>1</v>
      </c>
      <c r="Q335" t="s">
        <v>768</v>
      </c>
      <c r="R335" t="s">
        <v>895</v>
      </c>
      <c r="S335" t="s">
        <v>521</v>
      </c>
      <c r="T335" t="s">
        <v>48</v>
      </c>
      <c r="U335" t="s">
        <v>985</v>
      </c>
      <c r="V335" t="s">
        <v>48</v>
      </c>
      <c r="W335" t="s">
        <v>88</v>
      </c>
      <c r="X335" t="s">
        <v>986</v>
      </c>
      <c r="Y335" s="3" t="s">
        <v>48</v>
      </c>
      <c r="Z335" s="3" t="s">
        <v>987</v>
      </c>
      <c r="AA335" s="3" t="s">
        <v>48</v>
      </c>
      <c r="AB335" s="1" t="s">
        <v>48</v>
      </c>
      <c r="AC335" s="1" t="s">
        <v>48</v>
      </c>
      <c r="AD335" t="s">
        <v>48</v>
      </c>
      <c r="AE335"/>
      <c r="AF335" t="s">
        <v>48</v>
      </c>
      <c r="AG335" t="s">
        <v>48</v>
      </c>
      <c r="AH335" t="s">
        <v>48</v>
      </c>
      <c r="AI335" t="s">
        <v>48</v>
      </c>
      <c r="AL335" t="s">
        <v>48</v>
      </c>
      <c r="AO335" t="s">
        <v>48</v>
      </c>
      <c r="AP335" t="s">
        <v>48</v>
      </c>
      <c r="AQ335" t="s">
        <v>48</v>
      </c>
      <c r="AV335" t="s">
        <v>988</v>
      </c>
      <c r="AW335" t="s">
        <v>48</v>
      </c>
      <c r="AX335" s="2" t="s">
        <v>613</v>
      </c>
      <c r="AY335" s="2" t="s">
        <v>613</v>
      </c>
      <c r="BC335">
        <f>SUM(cna_product_database_catalog_website[[#This Row],[Box Length (cm)]]*cna_product_database_catalog_website[[#This Row],[Box Width (cm)]]*cna_product_database_catalog_website[[#This Row],[Box Height (cm)]]/1000000)</f>
        <v>0</v>
      </c>
      <c r="BD335">
        <f>SUM(cna_product_database_catalog_website[[#This Row],[Box CBM]]*35.3147)</f>
        <v>0</v>
      </c>
      <c r="BE335" t="s">
        <v>48</v>
      </c>
      <c r="BI33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5">
        <f>SUM(cna_product_database_catalog_website[[#This Row],[Carton CFT]]/61024)</f>
        <v>0</v>
      </c>
      <c r="BM335" t="s">
        <v>48</v>
      </c>
      <c r="BN335" t="s">
        <v>48</v>
      </c>
      <c r="BO335" t="s">
        <v>48</v>
      </c>
      <c r="BP335" t="s">
        <v>48</v>
      </c>
      <c r="BQ335" t="s">
        <v>48</v>
      </c>
      <c r="BS335" t="s">
        <v>48</v>
      </c>
      <c r="BT335" t="s">
        <v>48</v>
      </c>
      <c r="BU335" t="s">
        <v>48</v>
      </c>
      <c r="BW335" t="s">
        <v>48</v>
      </c>
      <c r="BX335" t="s">
        <v>48</v>
      </c>
      <c r="BY335" t="s">
        <v>48</v>
      </c>
      <c r="BZ335" t="s">
        <v>48</v>
      </c>
      <c r="CA335" t="s">
        <v>48</v>
      </c>
      <c r="CB335" t="s">
        <v>48</v>
      </c>
      <c r="CC335" t="s">
        <v>48</v>
      </c>
      <c r="CD335" t="s">
        <v>48</v>
      </c>
      <c r="CE335" t="s">
        <v>48</v>
      </c>
      <c r="CF335" t="s">
        <v>48</v>
      </c>
      <c r="CG335" t="s">
        <v>48</v>
      </c>
      <c r="CH335" t="s">
        <v>48</v>
      </c>
      <c r="CI335" t="s">
        <v>48</v>
      </c>
      <c r="CJ335" t="s">
        <v>48</v>
      </c>
    </row>
    <row r="336" spans="1:88" x14ac:dyDescent="0.25">
      <c r="A336" s="4" t="s">
        <v>1440</v>
      </c>
      <c r="B336" s="4" t="s">
        <v>1220</v>
      </c>
      <c r="C336" s="4" t="s">
        <v>1420</v>
      </c>
      <c r="D336" s="4" t="str">
        <f>cna_product_database_catalog_website[[#This Row],[MainCategory]]&amp;"&gt;"&amp;cna_product_database_catalog_website[[#This Row],[SubCategory1]]&amp;"&gt;"&amp;cna_product_database_catalog_website[[#This Row],[SubCategory2]]</f>
        <v>HID&gt;High Pressure Sodium - HPS / LU - E12 - Medium&gt;HPS-100W</v>
      </c>
      <c r="E336">
        <v>4110</v>
      </c>
      <c r="F336" t="s">
        <v>990</v>
      </c>
      <c r="G336" s="3">
        <v>344</v>
      </c>
      <c r="H336" s="8">
        <v>8.5</v>
      </c>
      <c r="I336" t="s">
        <v>990</v>
      </c>
      <c r="J336" t="s">
        <v>990</v>
      </c>
      <c r="K336" t="s">
        <v>983</v>
      </c>
      <c r="L336" t="s">
        <v>46</v>
      </c>
      <c r="M336" s="12"/>
      <c r="N336" t="s">
        <v>47</v>
      </c>
      <c r="O336" s="3">
        <v>1</v>
      </c>
      <c r="P336" s="3">
        <v>1</v>
      </c>
      <c r="Q336" t="s">
        <v>762</v>
      </c>
      <c r="R336" t="s">
        <v>895</v>
      </c>
      <c r="S336" t="s">
        <v>991</v>
      </c>
      <c r="T336" t="s">
        <v>48</v>
      </c>
      <c r="U336" t="s">
        <v>985</v>
      </c>
      <c r="V336" t="s">
        <v>48</v>
      </c>
      <c r="W336" t="s">
        <v>88</v>
      </c>
      <c r="X336" t="s">
        <v>986</v>
      </c>
      <c r="Y336" s="3" t="s">
        <v>48</v>
      </c>
      <c r="Z336" s="3" t="s">
        <v>987</v>
      </c>
      <c r="AA336" s="3" t="s">
        <v>48</v>
      </c>
      <c r="AB336" s="1" t="s">
        <v>48</v>
      </c>
      <c r="AC336" s="1" t="s">
        <v>48</v>
      </c>
      <c r="AD336" t="s">
        <v>48</v>
      </c>
      <c r="AE336"/>
      <c r="AF336" t="s">
        <v>48</v>
      </c>
      <c r="AG336" t="s">
        <v>48</v>
      </c>
      <c r="AH336" t="s">
        <v>48</v>
      </c>
      <c r="AI336" t="s">
        <v>48</v>
      </c>
      <c r="AL336" t="s">
        <v>48</v>
      </c>
      <c r="AO336" t="s">
        <v>48</v>
      </c>
      <c r="AP336" t="s">
        <v>48</v>
      </c>
      <c r="AQ336" t="s">
        <v>48</v>
      </c>
      <c r="AV336" t="s">
        <v>988</v>
      </c>
      <c r="AW336" t="s">
        <v>48</v>
      </c>
      <c r="AX336" s="2" t="s">
        <v>613</v>
      </c>
      <c r="AY336" s="2" t="s">
        <v>613</v>
      </c>
      <c r="BC336">
        <f>SUM(cna_product_database_catalog_website[[#This Row],[Box Length (cm)]]*cna_product_database_catalog_website[[#This Row],[Box Width (cm)]]*cna_product_database_catalog_website[[#This Row],[Box Height (cm)]]/1000000)</f>
        <v>0</v>
      </c>
      <c r="BD336">
        <f>SUM(cna_product_database_catalog_website[[#This Row],[Box CBM]]*35.3147)</f>
        <v>0</v>
      </c>
      <c r="BE336" t="s">
        <v>48</v>
      </c>
      <c r="BI33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6">
        <f>SUM(cna_product_database_catalog_website[[#This Row],[Carton CFT]]/61024)</f>
        <v>0</v>
      </c>
      <c r="BM336" t="s">
        <v>48</v>
      </c>
      <c r="BN336" t="s">
        <v>48</v>
      </c>
      <c r="BO336" t="s">
        <v>48</v>
      </c>
      <c r="BP336" t="s">
        <v>48</v>
      </c>
      <c r="BQ336" t="s">
        <v>48</v>
      </c>
      <c r="BS336" t="s">
        <v>48</v>
      </c>
      <c r="BT336" t="s">
        <v>48</v>
      </c>
      <c r="BU336" t="s">
        <v>48</v>
      </c>
      <c r="BW336" t="s">
        <v>48</v>
      </c>
      <c r="BX336" t="s">
        <v>48</v>
      </c>
      <c r="BY336" t="s">
        <v>48</v>
      </c>
      <c r="BZ336" t="s">
        <v>48</v>
      </c>
      <c r="CA336" t="s">
        <v>48</v>
      </c>
      <c r="CB336" t="s">
        <v>48</v>
      </c>
      <c r="CC336" t="s">
        <v>48</v>
      </c>
      <c r="CD336" t="s">
        <v>48</v>
      </c>
      <c r="CE336" t="s">
        <v>48</v>
      </c>
      <c r="CF336" t="s">
        <v>48</v>
      </c>
      <c r="CG336" t="s">
        <v>48</v>
      </c>
      <c r="CH336" t="s">
        <v>48</v>
      </c>
      <c r="CI336" t="s">
        <v>48</v>
      </c>
      <c r="CJ336" t="s">
        <v>48</v>
      </c>
    </row>
    <row r="337" spans="1:88" x14ac:dyDescent="0.25">
      <c r="A337" s="4" t="s">
        <v>1440</v>
      </c>
      <c r="B337" s="4" t="s">
        <v>1220</v>
      </c>
      <c r="C337" s="4" t="s">
        <v>1421</v>
      </c>
      <c r="D337" s="4" t="str">
        <f>cna_product_database_catalog_website[[#This Row],[MainCategory]]&amp;"&gt;"&amp;cna_product_database_catalog_website[[#This Row],[SubCategory1]]&amp;"&gt;"&amp;cna_product_database_catalog_website[[#This Row],[SubCategory2]]</f>
        <v>HID&gt;High Pressure Sodium - HPS / LU - E12 - Medium&gt;HPS-150W</v>
      </c>
      <c r="E337">
        <v>4115</v>
      </c>
      <c r="F337" t="s">
        <v>992</v>
      </c>
      <c r="G337" s="3">
        <v>346</v>
      </c>
      <c r="H337" s="8">
        <v>8.5</v>
      </c>
      <c r="I337" t="s">
        <v>992</v>
      </c>
      <c r="J337" t="s">
        <v>992</v>
      </c>
      <c r="K337" t="s">
        <v>983</v>
      </c>
      <c r="L337" t="s">
        <v>46</v>
      </c>
      <c r="M337" s="12"/>
      <c r="N337" t="s">
        <v>47</v>
      </c>
      <c r="O337" s="3">
        <v>1</v>
      </c>
      <c r="P337" s="3">
        <v>1</v>
      </c>
      <c r="Q337" t="s">
        <v>813</v>
      </c>
      <c r="R337" t="s">
        <v>895</v>
      </c>
      <c r="S337" t="s">
        <v>993</v>
      </c>
      <c r="T337" t="s">
        <v>48</v>
      </c>
      <c r="U337" t="s">
        <v>985</v>
      </c>
      <c r="V337" t="s">
        <v>48</v>
      </c>
      <c r="W337" t="s">
        <v>88</v>
      </c>
      <c r="X337" t="s">
        <v>986</v>
      </c>
      <c r="Y337" s="3" t="s">
        <v>48</v>
      </c>
      <c r="Z337" s="3" t="s">
        <v>987</v>
      </c>
      <c r="AA337" s="3" t="s">
        <v>48</v>
      </c>
      <c r="AB337" s="1" t="s">
        <v>48</v>
      </c>
      <c r="AC337" s="1" t="s">
        <v>48</v>
      </c>
      <c r="AD337" t="s">
        <v>48</v>
      </c>
      <c r="AE337"/>
      <c r="AF337" t="s">
        <v>48</v>
      </c>
      <c r="AG337" t="s">
        <v>48</v>
      </c>
      <c r="AH337" t="s">
        <v>48</v>
      </c>
      <c r="AI337" t="s">
        <v>48</v>
      </c>
      <c r="AL337" t="s">
        <v>48</v>
      </c>
      <c r="AO337" t="s">
        <v>48</v>
      </c>
      <c r="AP337" t="s">
        <v>48</v>
      </c>
      <c r="AQ337" t="s">
        <v>48</v>
      </c>
      <c r="AV337" t="s">
        <v>988</v>
      </c>
      <c r="AW337" t="s">
        <v>48</v>
      </c>
      <c r="AX337" s="2" t="s">
        <v>613</v>
      </c>
      <c r="AY337" s="2" t="s">
        <v>613</v>
      </c>
      <c r="BC337">
        <f>SUM(cna_product_database_catalog_website[[#This Row],[Box Length (cm)]]*cna_product_database_catalog_website[[#This Row],[Box Width (cm)]]*cna_product_database_catalog_website[[#This Row],[Box Height (cm)]]/1000000)</f>
        <v>0</v>
      </c>
      <c r="BD337">
        <f>SUM(cna_product_database_catalog_website[[#This Row],[Box CBM]]*35.3147)</f>
        <v>0</v>
      </c>
      <c r="BE337" t="s">
        <v>48</v>
      </c>
      <c r="BI33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7">
        <f>SUM(cna_product_database_catalog_website[[#This Row],[Carton CFT]]/61024)</f>
        <v>0</v>
      </c>
      <c r="BM337" t="s">
        <v>48</v>
      </c>
      <c r="BN337" t="s">
        <v>48</v>
      </c>
      <c r="BO337" t="s">
        <v>48</v>
      </c>
      <c r="BP337" t="s">
        <v>48</v>
      </c>
      <c r="BQ337" t="s">
        <v>48</v>
      </c>
      <c r="BS337" t="s">
        <v>48</v>
      </c>
      <c r="BT337" t="s">
        <v>48</v>
      </c>
      <c r="BU337" t="s">
        <v>48</v>
      </c>
      <c r="BW337" t="s">
        <v>48</v>
      </c>
      <c r="BX337" t="s">
        <v>48</v>
      </c>
      <c r="BY337" t="s">
        <v>48</v>
      </c>
      <c r="BZ337" t="s">
        <v>48</v>
      </c>
      <c r="CA337" t="s">
        <v>48</v>
      </c>
      <c r="CB337" t="s">
        <v>48</v>
      </c>
      <c r="CC337" t="s">
        <v>48</v>
      </c>
      <c r="CD337" t="s">
        <v>48</v>
      </c>
      <c r="CE337" t="s">
        <v>48</v>
      </c>
      <c r="CF337" t="s">
        <v>48</v>
      </c>
      <c r="CG337" t="s">
        <v>48</v>
      </c>
      <c r="CH337" t="s">
        <v>48</v>
      </c>
      <c r="CI337" t="s">
        <v>48</v>
      </c>
      <c r="CJ337" t="s">
        <v>48</v>
      </c>
    </row>
    <row r="338" spans="1:88" x14ac:dyDescent="0.25">
      <c r="A338" s="4" t="s">
        <v>1440</v>
      </c>
      <c r="B338" s="4" t="s">
        <v>1221</v>
      </c>
      <c r="C338" s="4" t="s">
        <v>1418</v>
      </c>
      <c r="D338" s="4" t="str">
        <f>cna_product_database_catalog_website[[#This Row],[MainCategory]]&amp;"&gt;"&amp;cna_product_database_catalog_website[[#This Row],[SubCategory1]]&amp;"&gt;"&amp;cna_product_database_catalog_website[[#This Row],[SubCategory2]]</f>
        <v>HID&gt;High Pressure Sodium - HPS / LU - E39 - Mogul&gt;HPS-50W</v>
      </c>
      <c r="E338">
        <v>4120</v>
      </c>
      <c r="F338" t="s">
        <v>994</v>
      </c>
      <c r="G338" s="3">
        <v>341</v>
      </c>
      <c r="H338" s="8">
        <v>8.5</v>
      </c>
      <c r="I338" t="s">
        <v>994</v>
      </c>
      <c r="J338" t="s">
        <v>994</v>
      </c>
      <c r="K338" t="s">
        <v>983</v>
      </c>
      <c r="L338" t="s">
        <v>46</v>
      </c>
      <c r="M338" s="12"/>
      <c r="N338" t="s">
        <v>47</v>
      </c>
      <c r="O338" s="3">
        <v>1</v>
      </c>
      <c r="P338" s="3">
        <v>1</v>
      </c>
      <c r="Q338" t="s">
        <v>768</v>
      </c>
      <c r="R338" t="s">
        <v>895</v>
      </c>
      <c r="S338" t="s">
        <v>521</v>
      </c>
      <c r="T338" t="s">
        <v>48</v>
      </c>
      <c r="U338" t="s">
        <v>985</v>
      </c>
      <c r="V338" t="s">
        <v>48</v>
      </c>
      <c r="W338" t="s">
        <v>995</v>
      </c>
      <c r="X338" t="s">
        <v>986</v>
      </c>
      <c r="Y338" s="3" t="s">
        <v>48</v>
      </c>
      <c r="Z338" s="3" t="s">
        <v>987</v>
      </c>
      <c r="AA338" s="3" t="s">
        <v>48</v>
      </c>
      <c r="AB338" s="1" t="s">
        <v>48</v>
      </c>
      <c r="AC338" s="1" t="s">
        <v>48</v>
      </c>
      <c r="AD338" t="s">
        <v>48</v>
      </c>
      <c r="AE338"/>
      <c r="AF338" t="s">
        <v>48</v>
      </c>
      <c r="AG338" t="s">
        <v>48</v>
      </c>
      <c r="AH338" t="s">
        <v>48</v>
      </c>
      <c r="AI338" t="s">
        <v>48</v>
      </c>
      <c r="AL338" t="s">
        <v>48</v>
      </c>
      <c r="AO338" t="s">
        <v>48</v>
      </c>
      <c r="AP338" t="s">
        <v>48</v>
      </c>
      <c r="AQ338" t="s">
        <v>48</v>
      </c>
      <c r="AV338" t="s">
        <v>996</v>
      </c>
      <c r="AW338" t="s">
        <v>48</v>
      </c>
      <c r="AX338" s="2" t="s">
        <v>49</v>
      </c>
      <c r="AY338" s="2" t="s">
        <v>49</v>
      </c>
      <c r="BC338">
        <f>SUM(cna_product_database_catalog_website[[#This Row],[Box Length (cm)]]*cna_product_database_catalog_website[[#This Row],[Box Width (cm)]]*cna_product_database_catalog_website[[#This Row],[Box Height (cm)]]/1000000)</f>
        <v>0</v>
      </c>
      <c r="BD338">
        <f>SUM(cna_product_database_catalog_website[[#This Row],[Box CBM]]*35.3147)</f>
        <v>0</v>
      </c>
      <c r="BE338" t="s">
        <v>48</v>
      </c>
      <c r="BI33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8">
        <f>SUM(cna_product_database_catalog_website[[#This Row],[Carton CFT]]/61024)</f>
        <v>0</v>
      </c>
      <c r="BM338" t="s">
        <v>48</v>
      </c>
      <c r="BN338" t="s">
        <v>48</v>
      </c>
      <c r="BO338" t="s">
        <v>48</v>
      </c>
      <c r="BP338" t="s">
        <v>48</v>
      </c>
      <c r="BQ338" t="s">
        <v>48</v>
      </c>
      <c r="BS338" t="s">
        <v>48</v>
      </c>
      <c r="BT338" t="s">
        <v>48</v>
      </c>
      <c r="BU338" t="s">
        <v>48</v>
      </c>
      <c r="BW338" t="s">
        <v>48</v>
      </c>
      <c r="BX338" t="s">
        <v>48</v>
      </c>
      <c r="BY338" t="s">
        <v>48</v>
      </c>
      <c r="BZ338" t="s">
        <v>48</v>
      </c>
      <c r="CA338" t="s">
        <v>48</v>
      </c>
      <c r="CB338" t="s">
        <v>48</v>
      </c>
      <c r="CC338" t="s">
        <v>48</v>
      </c>
      <c r="CD338" t="s">
        <v>48</v>
      </c>
      <c r="CE338" t="s">
        <v>48</v>
      </c>
      <c r="CF338" t="s">
        <v>48</v>
      </c>
      <c r="CG338" t="s">
        <v>48</v>
      </c>
      <c r="CH338" t="s">
        <v>48</v>
      </c>
      <c r="CI338" t="s">
        <v>48</v>
      </c>
      <c r="CJ338" t="s">
        <v>48</v>
      </c>
    </row>
    <row r="339" spans="1:88" x14ac:dyDescent="0.25">
      <c r="A339" s="4" t="s">
        <v>1440</v>
      </c>
      <c r="B339" s="4" t="s">
        <v>1221</v>
      </c>
      <c r="C339" s="4" t="s">
        <v>1422</v>
      </c>
      <c r="D339" s="4" t="str">
        <f>cna_product_database_catalog_website[[#This Row],[MainCategory]]&amp;"&gt;"&amp;cna_product_database_catalog_website[[#This Row],[SubCategory1]]&amp;"&gt;"&amp;cna_product_database_catalog_website[[#This Row],[SubCategory2]]</f>
        <v>HID&gt;High Pressure Sodium - HPS / LU - E39 - Mogul&gt;HPS-70W</v>
      </c>
      <c r="E339">
        <v>4125</v>
      </c>
      <c r="F339" t="s">
        <v>997</v>
      </c>
      <c r="G339" s="3">
        <v>343</v>
      </c>
      <c r="H339" s="8">
        <v>8.5</v>
      </c>
      <c r="I339" t="s">
        <v>997</v>
      </c>
      <c r="J339" t="s">
        <v>997</v>
      </c>
      <c r="K339" t="s">
        <v>983</v>
      </c>
      <c r="L339" t="s">
        <v>46</v>
      </c>
      <c r="M339" s="12"/>
      <c r="N339" t="s">
        <v>47</v>
      </c>
      <c r="O339" s="3">
        <v>1</v>
      </c>
      <c r="P339" s="3">
        <v>1</v>
      </c>
      <c r="Q339" t="s">
        <v>953</v>
      </c>
      <c r="R339" t="s">
        <v>895</v>
      </c>
      <c r="S339" t="s">
        <v>998</v>
      </c>
      <c r="T339" t="s">
        <v>48</v>
      </c>
      <c r="U339" t="s">
        <v>985</v>
      </c>
      <c r="V339" t="s">
        <v>48</v>
      </c>
      <c r="W339" t="s">
        <v>995</v>
      </c>
      <c r="X339" t="s">
        <v>986</v>
      </c>
      <c r="Y339" s="3" t="s">
        <v>48</v>
      </c>
      <c r="Z339" s="3" t="s">
        <v>987</v>
      </c>
      <c r="AA339" s="3" t="s">
        <v>48</v>
      </c>
      <c r="AB339" s="1" t="s">
        <v>48</v>
      </c>
      <c r="AC339" s="1" t="s">
        <v>48</v>
      </c>
      <c r="AD339" t="s">
        <v>48</v>
      </c>
      <c r="AE339"/>
      <c r="AF339" t="s">
        <v>48</v>
      </c>
      <c r="AG339" t="s">
        <v>48</v>
      </c>
      <c r="AH339" t="s">
        <v>48</v>
      </c>
      <c r="AI339" t="s">
        <v>48</v>
      </c>
      <c r="AL339" t="s">
        <v>48</v>
      </c>
      <c r="AO339" t="s">
        <v>48</v>
      </c>
      <c r="AP339" t="s">
        <v>48</v>
      </c>
      <c r="AQ339" t="s">
        <v>48</v>
      </c>
      <c r="AV339" t="s">
        <v>996</v>
      </c>
      <c r="AW339" t="s">
        <v>48</v>
      </c>
      <c r="AX339" s="2" t="s">
        <v>49</v>
      </c>
      <c r="AY339" s="2" t="s">
        <v>49</v>
      </c>
      <c r="BC339">
        <f>SUM(cna_product_database_catalog_website[[#This Row],[Box Length (cm)]]*cna_product_database_catalog_website[[#This Row],[Box Width (cm)]]*cna_product_database_catalog_website[[#This Row],[Box Height (cm)]]/1000000)</f>
        <v>0</v>
      </c>
      <c r="BD339">
        <f>SUM(cna_product_database_catalog_website[[#This Row],[Box CBM]]*35.3147)</f>
        <v>0</v>
      </c>
      <c r="BE339" t="s">
        <v>48</v>
      </c>
      <c r="BI33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9">
        <f>SUM(cna_product_database_catalog_website[[#This Row],[Carton CFT]]/61024)</f>
        <v>0</v>
      </c>
      <c r="BM339" t="s">
        <v>48</v>
      </c>
      <c r="BN339" t="s">
        <v>48</v>
      </c>
      <c r="BO339" t="s">
        <v>48</v>
      </c>
      <c r="BP339" t="s">
        <v>48</v>
      </c>
      <c r="BQ339" t="s">
        <v>48</v>
      </c>
      <c r="BS339" t="s">
        <v>48</v>
      </c>
      <c r="BT339" t="s">
        <v>48</v>
      </c>
      <c r="BU339" t="s">
        <v>48</v>
      </c>
      <c r="BW339" t="s">
        <v>48</v>
      </c>
      <c r="BX339" t="s">
        <v>48</v>
      </c>
      <c r="BY339" t="s">
        <v>48</v>
      </c>
      <c r="BZ339" t="s">
        <v>48</v>
      </c>
      <c r="CA339" t="s">
        <v>48</v>
      </c>
      <c r="CB339" t="s">
        <v>48</v>
      </c>
      <c r="CC339" t="s">
        <v>48</v>
      </c>
      <c r="CD339" t="s">
        <v>48</v>
      </c>
      <c r="CE339" t="s">
        <v>48</v>
      </c>
      <c r="CF339" t="s">
        <v>48</v>
      </c>
      <c r="CG339" t="s">
        <v>48</v>
      </c>
      <c r="CH339" t="s">
        <v>48</v>
      </c>
      <c r="CI339" t="s">
        <v>48</v>
      </c>
      <c r="CJ339" t="s">
        <v>48</v>
      </c>
    </row>
    <row r="340" spans="1:88" x14ac:dyDescent="0.25">
      <c r="A340" s="4" t="s">
        <v>1440</v>
      </c>
      <c r="B340" s="4" t="s">
        <v>1221</v>
      </c>
      <c r="C340" s="4" t="s">
        <v>1420</v>
      </c>
      <c r="D340" s="4" t="str">
        <f>cna_product_database_catalog_website[[#This Row],[MainCategory]]&amp;"&gt;"&amp;cna_product_database_catalog_website[[#This Row],[SubCategory1]]&amp;"&gt;"&amp;cna_product_database_catalog_website[[#This Row],[SubCategory2]]</f>
        <v>HID&gt;High Pressure Sodium - HPS / LU - E39 - Mogul&gt;HPS-100W</v>
      </c>
      <c r="E340">
        <v>4130</v>
      </c>
      <c r="F340" t="s">
        <v>999</v>
      </c>
      <c r="G340" s="3">
        <v>345</v>
      </c>
      <c r="H340" s="8">
        <v>8.5</v>
      </c>
      <c r="I340" t="s">
        <v>999</v>
      </c>
      <c r="J340" t="s">
        <v>999</v>
      </c>
      <c r="K340" t="s">
        <v>983</v>
      </c>
      <c r="L340" t="s">
        <v>46</v>
      </c>
      <c r="M340" s="12"/>
      <c r="N340" t="s">
        <v>47</v>
      </c>
      <c r="O340" s="3">
        <v>1</v>
      </c>
      <c r="P340" s="3">
        <v>1</v>
      </c>
      <c r="Q340" t="s">
        <v>762</v>
      </c>
      <c r="R340" t="s">
        <v>895</v>
      </c>
      <c r="S340" t="s">
        <v>991</v>
      </c>
      <c r="T340" t="s">
        <v>48</v>
      </c>
      <c r="U340" t="s">
        <v>985</v>
      </c>
      <c r="V340" t="s">
        <v>48</v>
      </c>
      <c r="W340" t="s">
        <v>995</v>
      </c>
      <c r="X340" t="s">
        <v>986</v>
      </c>
      <c r="Y340" s="3" t="s">
        <v>48</v>
      </c>
      <c r="Z340" s="3" t="s">
        <v>987</v>
      </c>
      <c r="AA340" s="3" t="s">
        <v>48</v>
      </c>
      <c r="AB340" s="1" t="s">
        <v>48</v>
      </c>
      <c r="AC340" s="1" t="s">
        <v>48</v>
      </c>
      <c r="AD340" t="s">
        <v>48</v>
      </c>
      <c r="AE340"/>
      <c r="AF340" t="s">
        <v>48</v>
      </c>
      <c r="AG340" t="s">
        <v>48</v>
      </c>
      <c r="AH340" t="s">
        <v>48</v>
      </c>
      <c r="AI340" t="s">
        <v>48</v>
      </c>
      <c r="AL340" t="s">
        <v>48</v>
      </c>
      <c r="AO340" t="s">
        <v>48</v>
      </c>
      <c r="AP340" t="s">
        <v>48</v>
      </c>
      <c r="AQ340" t="s">
        <v>48</v>
      </c>
      <c r="AV340" t="s">
        <v>996</v>
      </c>
      <c r="AW340" t="s">
        <v>48</v>
      </c>
      <c r="AX340" s="2" t="s">
        <v>49</v>
      </c>
      <c r="AY340" s="2" t="s">
        <v>49</v>
      </c>
      <c r="BC340">
        <f>SUM(cna_product_database_catalog_website[[#This Row],[Box Length (cm)]]*cna_product_database_catalog_website[[#This Row],[Box Width (cm)]]*cna_product_database_catalog_website[[#This Row],[Box Height (cm)]]/1000000)</f>
        <v>0</v>
      </c>
      <c r="BD340">
        <f>SUM(cna_product_database_catalog_website[[#This Row],[Box CBM]]*35.3147)</f>
        <v>0</v>
      </c>
      <c r="BE340" t="s">
        <v>48</v>
      </c>
      <c r="BI34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0">
        <f>SUM(cna_product_database_catalog_website[[#This Row],[Carton CFT]]/61024)</f>
        <v>0</v>
      </c>
      <c r="BM340" t="s">
        <v>48</v>
      </c>
      <c r="BN340" t="s">
        <v>48</v>
      </c>
      <c r="BO340" t="s">
        <v>48</v>
      </c>
      <c r="BP340" t="s">
        <v>48</v>
      </c>
      <c r="BQ340" t="s">
        <v>48</v>
      </c>
      <c r="BS340" t="s">
        <v>48</v>
      </c>
      <c r="BT340" t="s">
        <v>48</v>
      </c>
      <c r="BU340" t="s">
        <v>48</v>
      </c>
      <c r="BW340" t="s">
        <v>48</v>
      </c>
      <c r="BX340" t="s">
        <v>48</v>
      </c>
      <c r="BY340" t="s">
        <v>48</v>
      </c>
      <c r="BZ340" t="s">
        <v>48</v>
      </c>
      <c r="CA340" t="s">
        <v>48</v>
      </c>
      <c r="CB340" t="s">
        <v>48</v>
      </c>
      <c r="CC340" t="s">
        <v>48</v>
      </c>
      <c r="CD340" t="s">
        <v>48</v>
      </c>
      <c r="CE340" t="s">
        <v>48</v>
      </c>
      <c r="CF340" t="s">
        <v>48</v>
      </c>
      <c r="CG340" t="s">
        <v>48</v>
      </c>
      <c r="CH340" t="s">
        <v>48</v>
      </c>
      <c r="CI340" t="s">
        <v>48</v>
      </c>
      <c r="CJ340" t="s">
        <v>48</v>
      </c>
    </row>
    <row r="341" spans="1:88" x14ac:dyDescent="0.25">
      <c r="A341" s="4" t="s">
        <v>1440</v>
      </c>
      <c r="B341" s="4" t="s">
        <v>1221</v>
      </c>
      <c r="C341" s="4" t="s">
        <v>1421</v>
      </c>
      <c r="D341" s="4" t="str">
        <f>cna_product_database_catalog_website[[#This Row],[MainCategory]]&amp;"&gt;"&amp;cna_product_database_catalog_website[[#This Row],[SubCategory1]]&amp;"&gt;"&amp;cna_product_database_catalog_website[[#This Row],[SubCategory2]]</f>
        <v>HID&gt;High Pressure Sodium - HPS / LU - E39 - Mogul&gt;HPS-150W</v>
      </c>
      <c r="E341">
        <v>4135</v>
      </c>
      <c r="F341" t="s">
        <v>1000</v>
      </c>
      <c r="G341" s="3">
        <v>347</v>
      </c>
      <c r="H341" s="8">
        <v>8.5</v>
      </c>
      <c r="I341" t="s">
        <v>1000</v>
      </c>
      <c r="J341" t="s">
        <v>1000</v>
      </c>
      <c r="K341" t="s">
        <v>983</v>
      </c>
      <c r="L341" t="s">
        <v>46</v>
      </c>
      <c r="M341" s="12"/>
      <c r="N341" t="s">
        <v>47</v>
      </c>
      <c r="O341" s="3">
        <v>1</v>
      </c>
      <c r="P341" s="3">
        <v>1</v>
      </c>
      <c r="Q341" t="s">
        <v>813</v>
      </c>
      <c r="R341" t="s">
        <v>895</v>
      </c>
      <c r="S341" t="s">
        <v>993</v>
      </c>
      <c r="T341" t="s">
        <v>48</v>
      </c>
      <c r="U341" t="s">
        <v>985</v>
      </c>
      <c r="V341" t="s">
        <v>48</v>
      </c>
      <c r="W341" t="s">
        <v>995</v>
      </c>
      <c r="X341" t="s">
        <v>986</v>
      </c>
      <c r="Y341" s="3" t="s">
        <v>48</v>
      </c>
      <c r="Z341" s="3" t="s">
        <v>987</v>
      </c>
      <c r="AA341" s="3" t="s">
        <v>48</v>
      </c>
      <c r="AB341" s="1" t="s">
        <v>48</v>
      </c>
      <c r="AC341" s="1" t="s">
        <v>48</v>
      </c>
      <c r="AD341" t="s">
        <v>48</v>
      </c>
      <c r="AE341"/>
      <c r="AF341" t="s">
        <v>48</v>
      </c>
      <c r="AG341" t="s">
        <v>48</v>
      </c>
      <c r="AH341" t="s">
        <v>48</v>
      </c>
      <c r="AI341" t="s">
        <v>48</v>
      </c>
      <c r="AL341" t="s">
        <v>48</v>
      </c>
      <c r="AO341" t="s">
        <v>48</v>
      </c>
      <c r="AP341" t="s">
        <v>48</v>
      </c>
      <c r="AQ341" t="s">
        <v>48</v>
      </c>
      <c r="AV341" t="s">
        <v>996</v>
      </c>
      <c r="AW341" t="s">
        <v>48</v>
      </c>
      <c r="AX341" s="2" t="s">
        <v>49</v>
      </c>
      <c r="AY341" s="2" t="s">
        <v>49</v>
      </c>
      <c r="BC341">
        <f>SUM(cna_product_database_catalog_website[[#This Row],[Box Length (cm)]]*cna_product_database_catalog_website[[#This Row],[Box Width (cm)]]*cna_product_database_catalog_website[[#This Row],[Box Height (cm)]]/1000000)</f>
        <v>0</v>
      </c>
      <c r="BD341">
        <f>SUM(cna_product_database_catalog_website[[#This Row],[Box CBM]]*35.3147)</f>
        <v>0</v>
      </c>
      <c r="BE341" t="s">
        <v>48</v>
      </c>
      <c r="BI34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1">
        <f>SUM(cna_product_database_catalog_website[[#This Row],[Carton CFT]]/61024)</f>
        <v>0</v>
      </c>
      <c r="BM341" t="s">
        <v>48</v>
      </c>
      <c r="BN341" t="s">
        <v>48</v>
      </c>
      <c r="BO341" t="s">
        <v>48</v>
      </c>
      <c r="BP341" t="s">
        <v>48</v>
      </c>
      <c r="BQ341" t="s">
        <v>48</v>
      </c>
      <c r="BS341" t="s">
        <v>48</v>
      </c>
      <c r="BT341" t="s">
        <v>48</v>
      </c>
      <c r="BU341" t="s">
        <v>48</v>
      </c>
      <c r="BW341" t="s">
        <v>48</v>
      </c>
      <c r="BX341" t="s">
        <v>48</v>
      </c>
      <c r="BY341" t="s">
        <v>48</v>
      </c>
      <c r="BZ341" t="s">
        <v>48</v>
      </c>
      <c r="CA341" t="s">
        <v>48</v>
      </c>
      <c r="CB341" t="s">
        <v>48</v>
      </c>
      <c r="CC341" t="s">
        <v>48</v>
      </c>
      <c r="CD341" t="s">
        <v>48</v>
      </c>
      <c r="CE341" t="s">
        <v>48</v>
      </c>
      <c r="CF341" t="s">
        <v>48</v>
      </c>
      <c r="CG341" t="s">
        <v>48</v>
      </c>
      <c r="CH341" t="s">
        <v>48</v>
      </c>
      <c r="CI341" t="s">
        <v>48</v>
      </c>
      <c r="CJ341" t="s">
        <v>48</v>
      </c>
    </row>
    <row r="342" spans="1:88" x14ac:dyDescent="0.25">
      <c r="A342" s="4" t="s">
        <v>1440</v>
      </c>
      <c r="B342" s="4" t="s">
        <v>1221</v>
      </c>
      <c r="C342" s="4" t="s">
        <v>1423</v>
      </c>
      <c r="D342" s="4" t="str">
        <f>cna_product_database_catalog_website[[#This Row],[MainCategory]]&amp;"&gt;"&amp;cna_product_database_catalog_website[[#This Row],[SubCategory1]]&amp;"&gt;"&amp;cna_product_database_catalog_website[[#This Row],[SubCategory2]]</f>
        <v>HID&gt;High Pressure Sodium - HPS / LU - E39 - Mogul&gt;HPS-250W</v>
      </c>
      <c r="E342">
        <v>4140</v>
      </c>
      <c r="F342" t="s">
        <v>1001</v>
      </c>
      <c r="G342" s="3">
        <v>348</v>
      </c>
      <c r="H342" s="8">
        <v>8.5</v>
      </c>
      <c r="I342" t="s">
        <v>1001</v>
      </c>
      <c r="J342" t="s">
        <v>1001</v>
      </c>
      <c r="K342" t="s">
        <v>983</v>
      </c>
      <c r="L342" t="s">
        <v>46</v>
      </c>
      <c r="M342" s="12"/>
      <c r="N342" t="s">
        <v>47</v>
      </c>
      <c r="O342" s="3">
        <v>1</v>
      </c>
      <c r="P342" s="3">
        <v>1</v>
      </c>
      <c r="Q342" t="s">
        <v>824</v>
      </c>
      <c r="R342" t="s">
        <v>895</v>
      </c>
      <c r="S342" t="s">
        <v>1002</v>
      </c>
      <c r="T342" t="s">
        <v>48</v>
      </c>
      <c r="U342" t="s">
        <v>985</v>
      </c>
      <c r="V342" t="s">
        <v>48</v>
      </c>
      <c r="W342" t="s">
        <v>995</v>
      </c>
      <c r="X342" t="s">
        <v>986</v>
      </c>
      <c r="Y342" s="3" t="s">
        <v>48</v>
      </c>
      <c r="Z342" s="3" t="s">
        <v>987</v>
      </c>
      <c r="AA342" s="3" t="s">
        <v>48</v>
      </c>
      <c r="AB342" s="1" t="s">
        <v>48</v>
      </c>
      <c r="AC342" s="1" t="s">
        <v>48</v>
      </c>
      <c r="AD342" t="s">
        <v>48</v>
      </c>
      <c r="AE342"/>
      <c r="AF342" t="s">
        <v>48</v>
      </c>
      <c r="AG342" t="s">
        <v>48</v>
      </c>
      <c r="AH342" t="s">
        <v>48</v>
      </c>
      <c r="AI342" t="s">
        <v>48</v>
      </c>
      <c r="AL342" t="s">
        <v>48</v>
      </c>
      <c r="AO342" t="s">
        <v>48</v>
      </c>
      <c r="AP342" t="s">
        <v>48</v>
      </c>
      <c r="AQ342" t="s">
        <v>48</v>
      </c>
      <c r="AV342" t="s">
        <v>1003</v>
      </c>
      <c r="AW342" t="s">
        <v>48</v>
      </c>
      <c r="AX342" s="2" t="s">
        <v>49</v>
      </c>
      <c r="AY342" s="2" t="s">
        <v>49</v>
      </c>
      <c r="BC342">
        <f>SUM(cna_product_database_catalog_website[[#This Row],[Box Length (cm)]]*cna_product_database_catalog_website[[#This Row],[Box Width (cm)]]*cna_product_database_catalog_website[[#This Row],[Box Height (cm)]]/1000000)</f>
        <v>0</v>
      </c>
      <c r="BD342">
        <f>SUM(cna_product_database_catalog_website[[#This Row],[Box CBM]]*35.3147)</f>
        <v>0</v>
      </c>
      <c r="BE342" t="s">
        <v>48</v>
      </c>
      <c r="BI34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2">
        <f>SUM(cna_product_database_catalog_website[[#This Row],[Carton CFT]]/61024)</f>
        <v>0</v>
      </c>
      <c r="BM342" t="s">
        <v>48</v>
      </c>
      <c r="BN342" t="s">
        <v>48</v>
      </c>
      <c r="BO342" t="s">
        <v>48</v>
      </c>
      <c r="BP342" t="s">
        <v>48</v>
      </c>
      <c r="BQ342" t="s">
        <v>48</v>
      </c>
      <c r="BS342" t="s">
        <v>48</v>
      </c>
      <c r="BT342" t="s">
        <v>48</v>
      </c>
      <c r="BU342" t="s">
        <v>48</v>
      </c>
      <c r="BW342" t="s">
        <v>48</v>
      </c>
      <c r="BX342" t="s">
        <v>48</v>
      </c>
      <c r="BY342" t="s">
        <v>48</v>
      </c>
      <c r="BZ342" t="s">
        <v>48</v>
      </c>
      <c r="CA342" t="s">
        <v>48</v>
      </c>
      <c r="CB342" t="s">
        <v>48</v>
      </c>
      <c r="CC342" t="s">
        <v>48</v>
      </c>
      <c r="CD342" t="s">
        <v>48</v>
      </c>
      <c r="CE342" t="s">
        <v>48</v>
      </c>
      <c r="CF342" t="s">
        <v>48</v>
      </c>
      <c r="CG342" t="s">
        <v>48</v>
      </c>
      <c r="CH342" t="s">
        <v>48</v>
      </c>
      <c r="CI342" t="s">
        <v>48</v>
      </c>
      <c r="CJ342" t="s">
        <v>48</v>
      </c>
    </row>
    <row r="343" spans="1:88" x14ac:dyDescent="0.25">
      <c r="A343" s="4" t="s">
        <v>1440</v>
      </c>
      <c r="B343" s="4" t="s">
        <v>1221</v>
      </c>
      <c r="C343" s="4" t="s">
        <v>1424</v>
      </c>
      <c r="D343" s="4" t="str">
        <f>cna_product_database_catalog_website[[#This Row],[MainCategory]]&amp;"&gt;"&amp;cna_product_database_catalog_website[[#This Row],[SubCategory1]]&amp;"&gt;"&amp;cna_product_database_catalog_website[[#This Row],[SubCategory2]]</f>
        <v>HID&gt;High Pressure Sodium - HPS / LU - E39 - Mogul&gt;HPS-400W</v>
      </c>
      <c r="E343">
        <v>4145</v>
      </c>
      <c r="F343" t="s">
        <v>1004</v>
      </c>
      <c r="G343" s="3">
        <v>349</v>
      </c>
      <c r="H343" s="8">
        <v>8.5</v>
      </c>
      <c r="I343" t="s">
        <v>1004</v>
      </c>
      <c r="J343" t="s">
        <v>1004</v>
      </c>
      <c r="K343" t="s">
        <v>983</v>
      </c>
      <c r="L343" t="s">
        <v>46</v>
      </c>
      <c r="M343" s="12"/>
      <c r="N343" t="s">
        <v>47</v>
      </c>
      <c r="O343" s="3">
        <v>1</v>
      </c>
      <c r="P343" s="3">
        <v>1</v>
      </c>
      <c r="Q343" t="s">
        <v>965</v>
      </c>
      <c r="R343" t="s">
        <v>895</v>
      </c>
      <c r="S343" t="s">
        <v>1005</v>
      </c>
      <c r="T343" t="s">
        <v>48</v>
      </c>
      <c r="U343" t="s">
        <v>985</v>
      </c>
      <c r="V343" t="s">
        <v>48</v>
      </c>
      <c r="W343" t="s">
        <v>995</v>
      </c>
      <c r="X343" t="s">
        <v>986</v>
      </c>
      <c r="Y343" s="3" t="s">
        <v>48</v>
      </c>
      <c r="Z343" s="3" t="s">
        <v>987</v>
      </c>
      <c r="AA343" s="3" t="s">
        <v>48</v>
      </c>
      <c r="AB343" s="1" t="s">
        <v>48</v>
      </c>
      <c r="AC343" s="1" t="s">
        <v>48</v>
      </c>
      <c r="AD343" t="s">
        <v>48</v>
      </c>
      <c r="AE343"/>
      <c r="AF343" t="s">
        <v>48</v>
      </c>
      <c r="AG343" t="s">
        <v>48</v>
      </c>
      <c r="AH343" t="s">
        <v>48</v>
      </c>
      <c r="AI343" t="s">
        <v>48</v>
      </c>
      <c r="AL343" t="s">
        <v>48</v>
      </c>
      <c r="AO343" t="s">
        <v>48</v>
      </c>
      <c r="AP343" t="s">
        <v>48</v>
      </c>
      <c r="AQ343" t="s">
        <v>48</v>
      </c>
      <c r="AV343" t="s">
        <v>967</v>
      </c>
      <c r="AW343" t="s">
        <v>48</v>
      </c>
      <c r="AX343" s="2" t="s">
        <v>49</v>
      </c>
      <c r="AY343" s="2" t="s">
        <v>49</v>
      </c>
      <c r="BC343">
        <f>SUM(cna_product_database_catalog_website[[#This Row],[Box Length (cm)]]*cna_product_database_catalog_website[[#This Row],[Box Width (cm)]]*cna_product_database_catalog_website[[#This Row],[Box Height (cm)]]/1000000)</f>
        <v>0</v>
      </c>
      <c r="BD343">
        <f>SUM(cna_product_database_catalog_website[[#This Row],[Box CBM]]*35.3147)</f>
        <v>0</v>
      </c>
      <c r="BE343" t="s">
        <v>48</v>
      </c>
      <c r="BI34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3">
        <f>SUM(cna_product_database_catalog_website[[#This Row],[Carton CFT]]/61024)</f>
        <v>0</v>
      </c>
      <c r="BM343" t="s">
        <v>48</v>
      </c>
      <c r="BN343" t="s">
        <v>48</v>
      </c>
      <c r="BO343" t="s">
        <v>48</v>
      </c>
      <c r="BP343" t="s">
        <v>48</v>
      </c>
      <c r="BQ343" t="s">
        <v>48</v>
      </c>
      <c r="BS343" t="s">
        <v>48</v>
      </c>
      <c r="BT343" t="s">
        <v>48</v>
      </c>
      <c r="BU343" t="s">
        <v>48</v>
      </c>
      <c r="BW343" t="s">
        <v>48</v>
      </c>
      <c r="BX343" t="s">
        <v>48</v>
      </c>
      <c r="BY343" t="s">
        <v>48</v>
      </c>
      <c r="BZ343" t="s">
        <v>48</v>
      </c>
      <c r="CA343" t="s">
        <v>48</v>
      </c>
      <c r="CB343" t="s">
        <v>48</v>
      </c>
      <c r="CC343" t="s">
        <v>48</v>
      </c>
      <c r="CD343" t="s">
        <v>48</v>
      </c>
      <c r="CE343" t="s">
        <v>48</v>
      </c>
      <c r="CF343" t="s">
        <v>48</v>
      </c>
      <c r="CG343" t="s">
        <v>48</v>
      </c>
      <c r="CH343" t="s">
        <v>48</v>
      </c>
      <c r="CI343" t="s">
        <v>48</v>
      </c>
      <c r="CJ343" t="s">
        <v>48</v>
      </c>
    </row>
  </sheetData>
  <phoneticPr fontId="1" type="noConversion"/>
  <pageMargins left="0.7" right="0.7" top="0.75" bottom="0.75" header="0.3" footer="0.3"/>
  <pageSetup orientation="portrait" horizontalDpi="300" verticalDpi="30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1D75A96-B00A-4AAA-A631-F72B90CF121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cna-product-database-catalog-we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Allan Yuet</dc:creator>
  <cp:lastModifiedBy>Allan Yuet</cp:lastModifiedBy>
  <dcterms:created xsi:type="dcterms:W3CDTF">2025-07-02T18:00:52Z</dcterms:created>
  <dcterms:modified xsi:type="dcterms:W3CDTF">2026-05-12T20:31:27Z</dcterms:modified>
</cp:coreProperties>
</file>