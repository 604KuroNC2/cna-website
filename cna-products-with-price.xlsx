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CNA Website - Claude AI\"/>
    </mc:Choice>
  </mc:AlternateContent>
  <xr:revisionPtr revIDLastSave="0" documentId="8_{69C7968A-1844-42C3-A454-04AEA3C0B6E2}" xr6:coauthVersionLast="47" xr6:coauthVersionMax="47" xr10:uidLastSave="{00000000-0000-0000-0000-000000000000}"/>
  <bookViews>
    <workbookView xWindow="945" yWindow="120" windowWidth="27465" windowHeight="15060" tabRatio="531" xr2:uid="{387DAFA1-11C4-4259-BEE1-B530E20B6277}"/>
  </bookViews>
  <sheets>
    <sheet name="cna-product-database-catalog-we" sheetId="2" r:id="rId1"/>
  </sheets>
  <definedNames>
    <definedName name="ExternalData_1" localSheetId="0" hidden="1">'cna-product-database-catalog-we'!$A$1:$CJ$347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2" l="1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BC264" i="2"/>
  <c r="BD264" i="2"/>
  <c r="BI264" i="2"/>
  <c r="BJ264" i="2" s="1"/>
  <c r="BC265" i="2"/>
  <c r="BD265" i="2" s="1"/>
  <c r="BI265" i="2"/>
  <c r="BJ265" i="2"/>
  <c r="BC266" i="2"/>
  <c r="BD266" i="2" s="1"/>
  <c r="BI266" i="2"/>
  <c r="BJ266" i="2"/>
  <c r="BC267" i="2"/>
  <c r="BD267" i="2"/>
  <c r="BI267" i="2"/>
  <c r="BJ267" i="2" s="1"/>
  <c r="BC268" i="2"/>
  <c r="BD268" i="2"/>
  <c r="BI268" i="2"/>
  <c r="BJ268" i="2" s="1"/>
  <c r="BC269" i="2"/>
  <c r="BD269" i="2" s="1"/>
  <c r="BI269" i="2"/>
  <c r="BJ269" i="2"/>
  <c r="BC270" i="2"/>
  <c r="BD270" i="2" s="1"/>
  <c r="BI270" i="2"/>
  <c r="BJ270" i="2"/>
  <c r="BC271" i="2"/>
  <c r="BD271" i="2"/>
  <c r="BI271" i="2"/>
  <c r="BJ271" i="2" s="1"/>
  <c r="BC272" i="2"/>
  <c r="BD272" i="2"/>
  <c r="BI272" i="2"/>
  <c r="BJ272" i="2" s="1"/>
  <c r="BC273" i="2"/>
  <c r="BD273" i="2" s="1"/>
  <c r="BI273" i="2"/>
  <c r="BJ273" i="2"/>
  <c r="BC274" i="2"/>
  <c r="BD274" i="2" s="1"/>
  <c r="BI274" i="2"/>
  <c r="BJ274" i="2"/>
  <c r="BC275" i="2"/>
  <c r="BD275" i="2"/>
  <c r="BI275" i="2"/>
  <c r="BJ275" i="2" s="1"/>
  <c r="BC276" i="2"/>
  <c r="BD276" i="2"/>
  <c r="BI276" i="2"/>
  <c r="BJ276" i="2" s="1"/>
  <c r="BC277" i="2"/>
  <c r="BD277" i="2" s="1"/>
  <c r="BI277" i="2"/>
  <c r="BJ277" i="2"/>
  <c r="BC278" i="2"/>
  <c r="BD278" i="2" s="1"/>
  <c r="BI278" i="2"/>
  <c r="BJ278" i="2"/>
  <c r="M5" i="2"/>
  <c r="M4" i="2"/>
  <c r="M66" i="2"/>
  <c r="M120" i="2"/>
  <c r="M6" i="2"/>
  <c r="M7" i="2"/>
  <c r="M8" i="2"/>
  <c r="M9" i="2"/>
  <c r="M10" i="2"/>
  <c r="M18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7" i="2"/>
  <c r="M38" i="2"/>
  <c r="M39" i="2"/>
  <c r="M40" i="2"/>
  <c r="M41" i="2"/>
  <c r="M42" i="2"/>
  <c r="M43" i="2"/>
  <c r="M44" i="2"/>
  <c r="M45" i="2"/>
  <c r="M3" i="2"/>
  <c r="M11" i="2"/>
  <c r="M12" i="2"/>
  <c r="M13" i="2"/>
  <c r="M14" i="2"/>
  <c r="M15" i="2"/>
  <c r="M16" i="2"/>
  <c r="M17" i="2"/>
  <c r="M19" i="2"/>
  <c r="M20" i="2"/>
  <c r="M21" i="2"/>
  <c r="M22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61" i="2"/>
  <c r="M62" i="2"/>
  <c r="M63" i="2"/>
  <c r="M64" i="2"/>
  <c r="M65" i="2"/>
  <c r="M67" i="2"/>
  <c r="M68" i="2"/>
  <c r="M69" i="2"/>
  <c r="M70" i="2"/>
  <c r="M71" i="2"/>
  <c r="M72" i="2"/>
  <c r="M73" i="2"/>
  <c r="M74" i="2"/>
  <c r="M75" i="2"/>
  <c r="M76" i="2"/>
  <c r="M101" i="2"/>
  <c r="M77" i="2"/>
  <c r="M78" i="2"/>
  <c r="M102" i="2"/>
  <c r="M79" i="2"/>
  <c r="M80" i="2"/>
  <c r="M103" i="2"/>
  <c r="M104" i="2"/>
  <c r="M105" i="2"/>
  <c r="M81" i="2"/>
  <c r="M82" i="2"/>
  <c r="M83" i="2"/>
  <c r="M84" i="2"/>
  <c r="M88" i="2"/>
  <c r="M90" i="2"/>
  <c r="M91" i="2"/>
  <c r="M85" i="2"/>
  <c r="M86" i="2"/>
  <c r="M87" i="2"/>
  <c r="M96" i="2"/>
  <c r="M97" i="2"/>
  <c r="M98" i="2"/>
  <c r="M99" i="2"/>
  <c r="M100" i="2"/>
  <c r="M92" i="2"/>
  <c r="M93" i="2"/>
  <c r="M94" i="2"/>
  <c r="M129" i="2"/>
  <c r="M130" i="2"/>
  <c r="M121" i="2"/>
  <c r="M122" i="2"/>
  <c r="M123" i="2"/>
  <c r="M124" i="2"/>
  <c r="M125" i="2"/>
  <c r="M126" i="2"/>
  <c r="M127" i="2"/>
  <c r="M128" i="2"/>
  <c r="M106" i="2"/>
  <c r="M133" i="2"/>
  <c r="M134" i="2"/>
  <c r="M135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31" i="2"/>
  <c r="M132" i="2"/>
  <c r="M324" i="2"/>
  <c r="M325" i="2"/>
  <c r="M326" i="2"/>
  <c r="BI279" i="2"/>
  <c r="BJ279" i="2" s="1"/>
  <c r="BI280" i="2"/>
  <c r="BJ280" i="2" s="1"/>
  <c r="BI281" i="2"/>
  <c r="BJ281" i="2" s="1"/>
  <c r="BI282" i="2"/>
  <c r="BJ282" i="2" s="1"/>
  <c r="BI283" i="2"/>
  <c r="BJ283" i="2" s="1"/>
  <c r="BI284" i="2"/>
  <c r="BJ284" i="2" s="1"/>
  <c r="BI285" i="2"/>
  <c r="BJ285" i="2" s="1"/>
  <c r="BI286" i="2"/>
  <c r="BJ286" i="2" s="1"/>
  <c r="BI287" i="2"/>
  <c r="BJ287" i="2" s="1"/>
  <c r="BI288" i="2"/>
  <c r="BJ288" i="2" s="1"/>
  <c r="BI289" i="2"/>
  <c r="BJ289" i="2" s="1"/>
  <c r="BI290" i="2"/>
  <c r="BJ290" i="2" s="1"/>
  <c r="BI291" i="2"/>
  <c r="BJ291" i="2" s="1"/>
  <c r="BI292" i="2"/>
  <c r="BJ292" i="2" s="1"/>
  <c r="BI293" i="2"/>
  <c r="BJ293" i="2" s="1"/>
  <c r="BI294" i="2"/>
  <c r="BJ294" i="2" s="1"/>
  <c r="BI295" i="2"/>
  <c r="BJ295" i="2" s="1"/>
  <c r="BI296" i="2"/>
  <c r="BJ296" i="2" s="1"/>
  <c r="BI297" i="2"/>
  <c r="BJ297" i="2" s="1"/>
  <c r="BI298" i="2"/>
  <c r="BJ298" i="2" s="1"/>
  <c r="BI299" i="2"/>
  <c r="BJ299" i="2" s="1"/>
  <c r="BI300" i="2"/>
  <c r="BJ300" i="2" s="1"/>
  <c r="BI301" i="2"/>
  <c r="BJ301" i="2" s="1"/>
  <c r="BI302" i="2"/>
  <c r="BJ302" i="2" s="1"/>
  <c r="BI303" i="2"/>
  <c r="BJ303" i="2" s="1"/>
  <c r="BI304" i="2"/>
  <c r="BJ304" i="2" s="1"/>
  <c r="BI305" i="2"/>
  <c r="BJ305" i="2" s="1"/>
  <c r="BI306" i="2"/>
  <c r="BJ306" i="2" s="1"/>
  <c r="BI307" i="2"/>
  <c r="BJ307" i="2" s="1"/>
  <c r="BI308" i="2"/>
  <c r="BJ308" i="2" s="1"/>
  <c r="BI309" i="2"/>
  <c r="BJ309" i="2" s="1"/>
  <c r="BI310" i="2"/>
  <c r="BJ310" i="2" s="1"/>
  <c r="BI311" i="2"/>
  <c r="BJ311" i="2" s="1"/>
  <c r="BI312" i="2"/>
  <c r="BJ312" i="2" s="1"/>
  <c r="BI313" i="2"/>
  <c r="BJ313" i="2" s="1"/>
  <c r="BI314" i="2"/>
  <c r="BJ314" i="2" s="1"/>
  <c r="BI315" i="2"/>
  <c r="BJ315" i="2" s="1"/>
  <c r="BI316" i="2"/>
  <c r="BJ316" i="2" s="1"/>
  <c r="BI317" i="2"/>
  <c r="BJ317" i="2" s="1"/>
  <c r="BI318" i="2"/>
  <c r="BJ318" i="2" s="1"/>
  <c r="BI319" i="2"/>
  <c r="BJ319" i="2" s="1"/>
  <c r="BI320" i="2"/>
  <c r="BJ320" i="2" s="1"/>
  <c r="BI321" i="2"/>
  <c r="BJ321" i="2" s="1"/>
  <c r="BI322" i="2"/>
  <c r="BJ322" i="2" s="1"/>
  <c r="BI323" i="2"/>
  <c r="BJ323" i="2" s="1"/>
  <c r="BI324" i="2"/>
  <c r="BJ324" i="2" s="1"/>
  <c r="BI325" i="2"/>
  <c r="BJ325" i="2" s="1"/>
  <c r="BI326" i="2"/>
  <c r="BJ326" i="2" s="1"/>
  <c r="BI327" i="2"/>
  <c r="BJ327" i="2" s="1"/>
  <c r="BI328" i="2"/>
  <c r="BJ328" i="2" s="1"/>
  <c r="BI329" i="2"/>
  <c r="BJ329" i="2" s="1"/>
  <c r="BI330" i="2"/>
  <c r="BJ330" i="2" s="1"/>
  <c r="BI331" i="2"/>
  <c r="BJ331" i="2" s="1"/>
  <c r="BI332" i="2"/>
  <c r="BJ332" i="2" s="1"/>
  <c r="BI333" i="2"/>
  <c r="BJ333" i="2" s="1"/>
  <c r="BI334" i="2"/>
  <c r="BJ334" i="2" s="1"/>
  <c r="BI335" i="2"/>
  <c r="BJ335" i="2" s="1"/>
  <c r="BI336" i="2"/>
  <c r="BJ336" i="2" s="1"/>
  <c r="BI337" i="2"/>
  <c r="BJ337" i="2" s="1"/>
  <c r="BI338" i="2"/>
  <c r="BJ338" i="2" s="1"/>
  <c r="BI339" i="2"/>
  <c r="BJ339" i="2" s="1"/>
  <c r="BI340" i="2"/>
  <c r="BJ340" i="2" s="1"/>
  <c r="BI341" i="2"/>
  <c r="BJ341" i="2" s="1"/>
  <c r="BI342" i="2"/>
  <c r="BJ342" i="2" s="1"/>
  <c r="BI343" i="2"/>
  <c r="BJ343" i="2" s="1"/>
  <c r="BI344" i="2"/>
  <c r="BJ344" i="2" s="1"/>
  <c r="BI345" i="2"/>
  <c r="BJ345" i="2" s="1"/>
  <c r="BI346" i="2"/>
  <c r="BJ346" i="2" s="1"/>
  <c r="BI347" i="2"/>
  <c r="BJ347" i="2" s="1"/>
  <c r="BC279" i="2"/>
  <c r="BD279" i="2" s="1"/>
  <c r="BC280" i="2"/>
  <c r="BD280" i="2" s="1"/>
  <c r="BC281" i="2"/>
  <c r="BD281" i="2" s="1"/>
  <c r="BC282" i="2"/>
  <c r="BD282" i="2" s="1"/>
  <c r="BC283" i="2"/>
  <c r="BD283" i="2" s="1"/>
  <c r="BC284" i="2"/>
  <c r="BD284" i="2" s="1"/>
  <c r="BC285" i="2"/>
  <c r="BD285" i="2" s="1"/>
  <c r="BC286" i="2"/>
  <c r="BD286" i="2" s="1"/>
  <c r="BC287" i="2"/>
  <c r="BD287" i="2" s="1"/>
  <c r="BC288" i="2"/>
  <c r="BD288" i="2" s="1"/>
  <c r="BC289" i="2"/>
  <c r="BD289" i="2" s="1"/>
  <c r="BC290" i="2"/>
  <c r="BD290" i="2" s="1"/>
  <c r="BC291" i="2"/>
  <c r="BD291" i="2" s="1"/>
  <c r="BC292" i="2"/>
  <c r="BD292" i="2" s="1"/>
  <c r="BC293" i="2"/>
  <c r="BD293" i="2" s="1"/>
  <c r="BC294" i="2"/>
  <c r="BD294" i="2" s="1"/>
  <c r="BC295" i="2"/>
  <c r="BD295" i="2" s="1"/>
  <c r="BC296" i="2"/>
  <c r="BD296" i="2" s="1"/>
  <c r="BC297" i="2"/>
  <c r="BD297" i="2" s="1"/>
  <c r="BC298" i="2"/>
  <c r="BD298" i="2" s="1"/>
  <c r="BC299" i="2"/>
  <c r="BD299" i="2" s="1"/>
  <c r="BC300" i="2"/>
  <c r="BD300" i="2" s="1"/>
  <c r="BC301" i="2"/>
  <c r="BD301" i="2" s="1"/>
  <c r="BC302" i="2"/>
  <c r="BD302" i="2" s="1"/>
  <c r="BC303" i="2"/>
  <c r="BD303" i="2" s="1"/>
  <c r="BC304" i="2"/>
  <c r="BD304" i="2" s="1"/>
  <c r="BC305" i="2"/>
  <c r="BD305" i="2" s="1"/>
  <c r="BC306" i="2"/>
  <c r="BD306" i="2" s="1"/>
  <c r="BC307" i="2"/>
  <c r="BD307" i="2" s="1"/>
  <c r="BC308" i="2"/>
  <c r="BD308" i="2" s="1"/>
  <c r="BC309" i="2"/>
  <c r="BD309" i="2" s="1"/>
  <c r="BC310" i="2"/>
  <c r="BD310" i="2" s="1"/>
  <c r="BC311" i="2"/>
  <c r="BD311" i="2" s="1"/>
  <c r="BC312" i="2"/>
  <c r="BD312" i="2" s="1"/>
  <c r="BC313" i="2"/>
  <c r="BD313" i="2" s="1"/>
  <c r="BC314" i="2"/>
  <c r="BD314" i="2" s="1"/>
  <c r="BC315" i="2"/>
  <c r="BD315" i="2" s="1"/>
  <c r="BC316" i="2"/>
  <c r="BD316" i="2" s="1"/>
  <c r="BC317" i="2"/>
  <c r="BD317" i="2" s="1"/>
  <c r="BC318" i="2"/>
  <c r="BD318" i="2" s="1"/>
  <c r="BC319" i="2"/>
  <c r="BD319" i="2" s="1"/>
  <c r="BC320" i="2"/>
  <c r="BD320" i="2" s="1"/>
  <c r="BC321" i="2"/>
  <c r="BD321" i="2" s="1"/>
  <c r="BC322" i="2"/>
  <c r="BD322" i="2" s="1"/>
  <c r="BC323" i="2"/>
  <c r="BD323" i="2" s="1"/>
  <c r="BC324" i="2"/>
  <c r="BD324" i="2" s="1"/>
  <c r="BC325" i="2"/>
  <c r="BD325" i="2" s="1"/>
  <c r="BC326" i="2"/>
  <c r="BD326" i="2" s="1"/>
  <c r="BC327" i="2"/>
  <c r="BD327" i="2" s="1"/>
  <c r="BC328" i="2"/>
  <c r="BD328" i="2" s="1"/>
  <c r="BC329" i="2"/>
  <c r="BD329" i="2" s="1"/>
  <c r="BC330" i="2"/>
  <c r="BD330" i="2" s="1"/>
  <c r="BC331" i="2"/>
  <c r="BD331" i="2" s="1"/>
  <c r="BC332" i="2"/>
  <c r="BD332" i="2" s="1"/>
  <c r="BC333" i="2"/>
  <c r="BD333" i="2" s="1"/>
  <c r="BC334" i="2"/>
  <c r="BD334" i="2" s="1"/>
  <c r="BC335" i="2"/>
  <c r="BD335" i="2" s="1"/>
  <c r="BC336" i="2"/>
  <c r="BD336" i="2" s="1"/>
  <c r="BC337" i="2"/>
  <c r="BD337" i="2" s="1"/>
  <c r="BC338" i="2"/>
  <c r="BD338" i="2" s="1"/>
  <c r="BC339" i="2"/>
  <c r="BD339" i="2" s="1"/>
  <c r="BC340" i="2"/>
  <c r="BD340" i="2" s="1"/>
  <c r="BC341" i="2"/>
  <c r="BD341" i="2" s="1"/>
  <c r="BC342" i="2"/>
  <c r="BD342" i="2" s="1"/>
  <c r="BC343" i="2"/>
  <c r="BD343" i="2" s="1"/>
  <c r="BC344" i="2"/>
  <c r="BD344" i="2" s="1"/>
  <c r="BC345" i="2"/>
  <c r="BD345" i="2" s="1"/>
  <c r="BC346" i="2"/>
  <c r="BD346" i="2" s="1"/>
  <c r="BC347" i="2"/>
  <c r="BD3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EC8B4C-FE41-4572-BCAB-A06EF7727E15}" keepAlive="1" name="Query - cna-product-database-catalog-website" description="Connection to the 'cna-product-database-catalog-website' query in the workbook." type="5" refreshedVersion="8" background="1" saveData="1">
    <dbPr connection="Provider=Microsoft.Mashup.OleDb.1;Data Source=$Workbook$;Location=cna-product-database-catalog-website;Extended Properties=&quot;&quot;" command="SELECT * FROM [cna-product-database-catalog-website]"/>
  </connection>
</connections>
</file>

<file path=xl/sharedStrings.xml><?xml version="1.0" encoding="utf-8"?>
<sst xmlns="http://schemas.openxmlformats.org/spreadsheetml/2006/main" count="19257" uniqueCount="2215">
  <si>
    <t>Wattage (W)</t>
  </si>
  <si>
    <t>Voltage (V)</t>
  </si>
  <si>
    <t>Lumens (lm)</t>
  </si>
  <si>
    <t>Efficiency</t>
  </si>
  <si>
    <t>Bulb Equivalent</t>
  </si>
  <si>
    <t>Base</t>
  </si>
  <si>
    <t>Colour Temperature</t>
  </si>
  <si>
    <t>Beam Angle</t>
  </si>
  <si>
    <t>CRI</t>
  </si>
  <si>
    <t>Dimmable</t>
  </si>
  <si>
    <t>Operating Temperature</t>
  </si>
  <si>
    <t>Environmental Rating</t>
  </si>
  <si>
    <t>Certifications</t>
  </si>
  <si>
    <t>Nominal Length</t>
  </si>
  <si>
    <t>Length (mm)</t>
  </si>
  <si>
    <t>Length (inches)</t>
  </si>
  <si>
    <t>Diameter (mm)</t>
  </si>
  <si>
    <t>Diameter (inches)</t>
  </si>
  <si>
    <t>Weight (g)</t>
  </si>
  <si>
    <t>Weight (lbs)</t>
  </si>
  <si>
    <t>Shape</t>
  </si>
  <si>
    <t>Warranty</t>
  </si>
  <si>
    <t>Dimmer Compatibility</t>
  </si>
  <si>
    <t>Finish</t>
  </si>
  <si>
    <t>Direct Replacement For</t>
  </si>
  <si>
    <t>Use</t>
  </si>
  <si>
    <t>Diffuser Type</t>
  </si>
  <si>
    <t>Diffuser Material</t>
  </si>
  <si>
    <t>Optional Accessory</t>
  </si>
  <si>
    <t>Flange Dimensions</t>
  </si>
  <si>
    <t>Recess Dimensions</t>
  </si>
  <si>
    <t>Rib-reinforced</t>
  </si>
  <si>
    <t>PIR Sensor</t>
  </si>
  <si>
    <t>Auto Shut-off</t>
  </si>
  <si>
    <t>Waterproofing</t>
  </si>
  <si>
    <t>LED Quantity</t>
  </si>
  <si>
    <t>LED Type</t>
  </si>
  <si>
    <t>Input Voltage (VAC)</t>
  </si>
  <si>
    <t>Current Draw</t>
  </si>
  <si>
    <t>Output Voltage (VDC)</t>
  </si>
  <si>
    <t>Dimensions (without tabs)</t>
  </si>
  <si>
    <t>Maximum Linkable Length</t>
  </si>
  <si>
    <t>Hole Size Cutout</t>
  </si>
  <si>
    <t>Classification Type</t>
  </si>
  <si>
    <t>GU24 to E26 Adapter - 886</t>
  </si>
  <si>
    <t xml:space="preserve"> </t>
  </si>
  <si>
    <t>simple</t>
  </si>
  <si>
    <t xml:space="preserve">  </t>
  </si>
  <si>
    <t>1</t>
  </si>
  <si>
    <t>E26 to E12 Adapter - 887</t>
  </si>
  <si>
    <t>120VAC</t>
  </si>
  <si>
    <t>15,000 Hrs</t>
  </si>
  <si>
    <t>4000K</t>
  </si>
  <si>
    <t>cUL</t>
  </si>
  <si>
    <t>Yes</t>
  </si>
  <si>
    <t>32 mm</t>
  </si>
  <si>
    <t>1-1/4"</t>
  </si>
  <si>
    <t>100</t>
  </si>
  <si>
    <t>500 lm</t>
  </si>
  <si>
    <t>2700K</t>
  </si>
  <si>
    <t>3-7/8"</t>
  </si>
  <si>
    <t>35 mm</t>
  </si>
  <si>
    <t>1-3/8"</t>
  </si>
  <si>
    <t>3000K</t>
  </si>
  <si>
    <t>25</t>
  </si>
  <si>
    <t>LED 0.8W S14 27K - 1207</t>
  </si>
  <si>
    <t>70 lm</t>
  </si>
  <si>
    <t>25,000 Hrs</t>
  </si>
  <si>
    <t>E26 / Medium</t>
  </si>
  <si>
    <t>No</t>
  </si>
  <si>
    <t>1-7/8"</t>
  </si>
  <si>
    <t>5.5W</t>
  </si>
  <si>
    <t>50 mm</t>
  </si>
  <si>
    <t>2"</t>
  </si>
  <si>
    <t>5W</t>
  </si>
  <si>
    <t>LED 5.5W ST19 22K - 983</t>
  </si>
  <si>
    <t>128 mm</t>
  </si>
  <si>
    <t>5-1/32"</t>
  </si>
  <si>
    <t>50</t>
  </si>
  <si>
    <t>5-1/4"</t>
  </si>
  <si>
    <t>25 mm</t>
  </si>
  <si>
    <t>1"</t>
  </si>
  <si>
    <t>LED 4.5W T10-FL DIM 30K - 831</t>
  </si>
  <si>
    <t>125 mm</t>
  </si>
  <si>
    <t>8W</t>
  </si>
  <si>
    <t>750 lm</t>
  </si>
  <si>
    <t>1-3/16"</t>
  </si>
  <si>
    <t>LED6WA15NDS-30K</t>
  </si>
  <si>
    <t>6W</t>
  </si>
  <si>
    <t>10</t>
  </si>
  <si>
    <t>LED9WA19NDS-30K-5pk - 959</t>
  </si>
  <si>
    <t>LED9WA19NDS-40K-5pk - 900</t>
  </si>
  <si>
    <t>9W</t>
  </si>
  <si>
    <t>Not for Enclosed Fixtures</t>
  </si>
  <si>
    <t>LED9WA19-5CCT (NEW)</t>
  </si>
  <si>
    <t>5CCT - 2700K / 3000K / 3500K / 4000K / 5000K</t>
  </si>
  <si>
    <t>LED9WA19-EC 27K - 947</t>
  </si>
  <si>
    <t>LED9WA19-EC 40K - 949</t>
  </si>
  <si>
    <t>LED9WA19-EC 50K - 1072</t>
  </si>
  <si>
    <t>LED14WA19 27K - 1034</t>
  </si>
  <si>
    <t>14W</t>
  </si>
  <si>
    <t>1600 lm</t>
  </si>
  <si>
    <t>16W</t>
  </si>
  <si>
    <t>LED20WA21-EC 40K (NEW)</t>
  </si>
  <si>
    <t>20W</t>
  </si>
  <si>
    <t>LED24WA21-EC 30K - 1058</t>
  </si>
  <si>
    <t>24W</t>
  </si>
  <si>
    <t>LED3WE11-DIM 3000K - 899</t>
  </si>
  <si>
    <t>3W</t>
  </si>
  <si>
    <t>200</t>
  </si>
  <si>
    <t>LED1.5WG4SM 30K - 929</t>
  </si>
  <si>
    <t>LED3WG9-DIM 3000K - 878</t>
  </si>
  <si>
    <t>G9</t>
  </si>
  <si>
    <t>LED3WG9-DIM 4100K - 879</t>
  </si>
  <si>
    <t>600 lm</t>
  </si>
  <si>
    <t>R7s</t>
  </si>
  <si>
    <t>LED 6W J78 3000K - 956</t>
  </si>
  <si>
    <t>LED 6W J78 4100K - 957</t>
  </si>
  <si>
    <t>LED 14W J118 30K - 981</t>
  </si>
  <si>
    <t>LED6WPar16-SRT 30K - 1028</t>
  </si>
  <si>
    <t>LED6WPar16-SRT 40K - 1029</t>
  </si>
  <si>
    <t>2-13/16"</t>
  </si>
  <si>
    <t>5CCT - 2700K / 3000K / 3500K  / 4000K / 5000K</t>
  </si>
  <si>
    <t>7W</t>
  </si>
  <si>
    <t>80 mm</t>
  </si>
  <si>
    <t>10W</t>
  </si>
  <si>
    <t>20</t>
  </si>
  <si>
    <t>1200 lm</t>
  </si>
  <si>
    <t>5"</t>
  </si>
  <si>
    <t>15W</t>
  </si>
  <si>
    <t>37 mm</t>
  </si>
  <si>
    <t>34 mm</t>
  </si>
  <si>
    <t>MR11</t>
  </si>
  <si>
    <t>MR16</t>
  </si>
  <si>
    <t>LED7WMR16-CB 40K - 914</t>
  </si>
  <si>
    <t>LED6.5WGU10-CB 27K - 933</t>
  </si>
  <si>
    <t>GU10</t>
  </si>
  <si>
    <t>LED6.5WGU10-CB 30K - 934</t>
  </si>
  <si>
    <t>LED6.5WGU10-CB 40K - 951</t>
  </si>
  <si>
    <t>700 lm</t>
  </si>
  <si>
    <t>50,000 Hrs</t>
  </si>
  <si>
    <t>77.7 lm/W</t>
  </si>
  <si>
    <t>5 Years</t>
  </si>
  <si>
    <t>DPS-4-BK-TRIM - 1082</t>
  </si>
  <si>
    <t>650 lm</t>
  </si>
  <si>
    <t>35,000 Hrs</t>
  </si>
  <si>
    <t>Hardwire (E26 Optional with Accessory Kit)</t>
  </si>
  <si>
    <t>DPS-4-BN-TRIM - 1083</t>
  </si>
  <si>
    <t>DPS-ACC - 1084</t>
  </si>
  <si>
    <t>DP4-5CCT - 5CCT 4" LED Panel Ceiling Light</t>
  </si>
  <si>
    <t>50,000 Hrs.</t>
  </si>
  <si>
    <t>Hardwire</t>
  </si>
  <si>
    <t>12W</t>
  </si>
  <si>
    <t>DP6-30K - 6" LED Panel Ceiling Light</t>
  </si>
  <si>
    <t>4-7/8"</t>
  </si>
  <si>
    <t>Wet Location</t>
  </si>
  <si>
    <t>Wet Location, Type IC</t>
  </si>
  <si>
    <t>cETLus</t>
  </si>
  <si>
    <t>110.0 mm</t>
  </si>
  <si>
    <t>4-11/32"</t>
  </si>
  <si>
    <t>4-11/32" / 11 cm</t>
  </si>
  <si>
    <t>3-3/4" Diameter</t>
  </si>
  <si>
    <t>111.0 mm</t>
  </si>
  <si>
    <t>4-3/8"</t>
  </si>
  <si>
    <t>4-3/8" / 11.1 cm</t>
  </si>
  <si>
    <t>RIP-4 - 885</t>
  </si>
  <si>
    <t>RIP-6 - 888</t>
  </si>
  <si>
    <t>G-59 Vapour Barrier - 1024</t>
  </si>
  <si>
    <t>For all sizes pot lights</t>
  </si>
  <si>
    <t>29" x 22-3/4"</t>
  </si>
  <si>
    <t>22-1/4" x 14" x 8-3/4"</t>
  </si>
  <si>
    <t>VB02 Vapour Barrier - 1025</t>
  </si>
  <si>
    <t>For Slim LED Lights</t>
  </si>
  <si>
    <t>24" x 20"</t>
  </si>
  <si>
    <t>20" x 8" x 3-1/2"</t>
  </si>
  <si>
    <t>LED7WRT4-5CCT  - 4"  LED Retrofit Kit Downlight</t>
  </si>
  <si>
    <t>5-3/64"</t>
  </si>
  <si>
    <t>Yes - TRIAC</t>
  </si>
  <si>
    <t>Field Adjustable 6" LED Recessed Downlight</t>
  </si>
  <si>
    <t>https://www.cnalighting.com/file/2020/07/CNA-LED-RT6-3X3CCT-3Photo-600x2000-1.png</t>
  </si>
  <si>
    <t>7W / 10W / 17W</t>
  </si>
  <si>
    <t>120VAC - 347VAC</t>
  </si>
  <si>
    <t>700 lm / 1000 lm / 1500 lm</t>
  </si>
  <si>
    <t>83.3 - 100</t>
  </si>
  <si>
    <t>5-3/16"/ 131 mm</t>
  </si>
  <si>
    <t>210 mm</t>
  </si>
  <si>
    <t>8-1/4"</t>
  </si>
  <si>
    <t>8-1/4" / 210 mm</t>
  </si>
  <si>
    <t>Yes - 0-10V - down to 5%</t>
  </si>
  <si>
    <t>RT6-GOOF8 - 1057</t>
  </si>
  <si>
    <t>6-1/4"</t>
  </si>
  <si>
    <t>6.25"</t>
  </si>
  <si>
    <t>10.5"</t>
  </si>
  <si>
    <t>LED RG-4-345K-BK - 1040</t>
  </si>
  <si>
    <t>60 lm/W</t>
  </si>
  <si>
    <t>Hardwire - 4" J-Box</t>
  </si>
  <si>
    <t>Yes - TRIAC / ELV</t>
  </si>
  <si>
    <t>White</t>
  </si>
  <si>
    <t>Acrylic - Low Glare</t>
  </si>
  <si>
    <t>900 lm</t>
  </si>
  <si>
    <t>2800 lm</t>
  </si>
  <si>
    <t>116.7 lm/W</t>
  </si>
  <si>
    <t>DS-12-3CCT BK   - 12" LED Flush Mount Downlight (NEW)</t>
  </si>
  <si>
    <t>30W</t>
  </si>
  <si>
    <t>4000 lm</t>
  </si>
  <si>
    <t>133 lm/W</t>
  </si>
  <si>
    <t>66.7 lm/W</t>
  </si>
  <si>
    <t>133.3 lm/W</t>
  </si>
  <si>
    <t>LED DSQ-4-30K - 952</t>
  </si>
  <si>
    <t>Hardwire - 4" J-BOX</t>
  </si>
  <si>
    <t>LED DSQ-6-30K - 953</t>
  </si>
  <si>
    <t>CL-6-PIR - 978</t>
  </si>
  <si>
    <t>1050 lm</t>
  </si>
  <si>
    <t>70 lm/W</t>
  </si>
  <si>
    <t>Acrylic</t>
  </si>
  <si>
    <t>1100 lm</t>
  </si>
  <si>
    <t>73.3 lm/W</t>
  </si>
  <si>
    <t>80 lm/W</t>
  </si>
  <si>
    <t>26W</t>
  </si>
  <si>
    <t>2100 lm</t>
  </si>
  <si>
    <t>Damp Location</t>
  </si>
  <si>
    <t>Brushed Nickel</t>
  </si>
  <si>
    <t>DPM-4 BK Trim - 1202</t>
  </si>
  <si>
    <t>DPM-4 BN  Trim - 1203</t>
  </si>
  <si>
    <t>Matte Black</t>
  </si>
  <si>
    <t>White Acrylic</t>
  </si>
  <si>
    <t>120V-277VAC (Ballast Bypass)</t>
  </si>
  <si>
    <t>620 lm</t>
  </si>
  <si>
    <t>GX23 2-PIN</t>
  </si>
  <si>
    <t>LED7WPLC13-HY-30K - 1023</t>
  </si>
  <si>
    <t>40,000 Hrs.</t>
  </si>
  <si>
    <t>1-7/16"</t>
  </si>
  <si>
    <t>LED7WPLC13-HY-40K - 916</t>
  </si>
  <si>
    <t>1250 lm</t>
  </si>
  <si>
    <t>G24Q 4-PIN</t>
  </si>
  <si>
    <t>LED11WPL26/32/42-HY-30K - 917</t>
  </si>
  <si>
    <t>11W</t>
  </si>
  <si>
    <t>1300 lm</t>
  </si>
  <si>
    <t>165 mm</t>
  </si>
  <si>
    <t>6-7/16"</t>
  </si>
  <si>
    <t>LED 4FT T8 - Plug &amp; Play / Ballast Compatible</t>
  </si>
  <si>
    <t>LED14WT8-HY 40K (1800lm) - 1014</t>
  </si>
  <si>
    <t>LED14WT8-HY 50K (1800lm) - 1015</t>
  </si>
  <si>
    <t>4 Feet</t>
  </si>
  <si>
    <t>Glass (Non-Yellowing,</t>
  </si>
  <si>
    <t>LED25WT5 840 COMP (3500lm) - 943</t>
  </si>
  <si>
    <t>LED25WT5 850 COMP (3500lm) - 955</t>
  </si>
  <si>
    <t>DLC, NSF, cULus</t>
  </si>
  <si>
    <t>F54/T5/HO</t>
  </si>
  <si>
    <t>Glass (Non-Yellowing -</t>
  </si>
  <si>
    <t>Glass</t>
  </si>
  <si>
    <t>110V-120VAC (US Plug)</t>
  </si>
  <si>
    <t>E26 (medium)</t>
  </si>
  <si>
    <t>48 FT / 15 m</t>
  </si>
  <si>
    <t>1 Foot</t>
  </si>
  <si>
    <t>5 years</t>
  </si>
  <si>
    <t>2 Feet</t>
  </si>
  <si>
    <t>3 Feet</t>
  </si>
  <si>
    <t>T5Bar-Jbox - 1095</t>
  </si>
  <si>
    <t>T5Bar-Link12 - 1090</t>
  </si>
  <si>
    <t>T5Bar-Plug - 1096</t>
  </si>
  <si>
    <t>T5Bar-Accessories - 1126</t>
  </si>
  <si>
    <t>12</t>
  </si>
  <si>
    <t>T5DL900-12W 40K - 971</t>
  </si>
  <si>
    <t>T5DL1200-15W 40K - 972</t>
  </si>
  <si>
    <t>T5DL-1M-LINK - 992</t>
  </si>
  <si>
    <t>T5DL Jbox/LSH-Box - 974</t>
  </si>
  <si>
    <t>T5DL-2M-Plug - 973</t>
  </si>
  <si>
    <t>LSH-Plug2m - 845</t>
  </si>
  <si>
    <t>LED LS-1 - 763</t>
  </si>
  <si>
    <t>LED LS-2 - 764</t>
  </si>
  <si>
    <t>LS Link-6 - 767</t>
  </si>
  <si>
    <t>LS Link-12 -768</t>
  </si>
  <si>
    <t>LED2WRD1-30K - 1129</t>
  </si>
  <si>
    <t>LED3WPuck 30K - 902</t>
  </si>
  <si>
    <t>62 mm</t>
  </si>
  <si>
    <t>3 Years</t>
  </si>
  <si>
    <t>Aluminum</t>
  </si>
  <si>
    <t>LED-SMRing - 905</t>
  </si>
  <si>
    <t>LED6WPanel 30K - 904</t>
  </si>
  <si>
    <t>192 mm</t>
  </si>
  <si>
    <t>RL-COB-30K-20FT - 1009</t>
  </si>
  <si>
    <t>RL-COB-40K-20FT - 1138</t>
  </si>
  <si>
    <t>IFP09-1M - 1153</t>
  </si>
  <si>
    <t>FP20-1M - 994</t>
  </si>
  <si>
    <t>FP20-CAPS - 995</t>
  </si>
  <si>
    <t>FP20-M-CLIPS - 998</t>
  </si>
  <si>
    <t>RP20-1M - 996</t>
  </si>
  <si>
    <t>RP20-CAPS - 997</t>
  </si>
  <si>
    <t>RP20-S-CLIPS - 999</t>
  </si>
  <si>
    <t>PS12W-ETL-RD - 1060</t>
  </si>
  <si>
    <t>12VDC - Constant Voltage</t>
  </si>
  <si>
    <t>100V-130VAC</t>
  </si>
  <si>
    <t>PS20W-ETL-RD - 1061</t>
  </si>
  <si>
    <t>PS40W-ETL-RD - 1062</t>
  </si>
  <si>
    <t>PS60W-ETL-RD - 1063</t>
  </si>
  <si>
    <t>PS100W-ETL-DIM - 1035</t>
  </si>
  <si>
    <t>100V-120VAC</t>
  </si>
  <si>
    <t>PS-18W-BOXDIM - 945</t>
  </si>
  <si>
    <t>18W</t>
  </si>
  <si>
    <t>Yes - down to 15%</t>
  </si>
  <si>
    <t>Type IC Recessed, Damp</t>
  </si>
  <si>
    <t>90V-130VAC</t>
  </si>
  <si>
    <t>117 mm x 85 mm x 39 mm</t>
  </si>
  <si>
    <t>PS-40W-BOXDIM - 946</t>
  </si>
  <si>
    <t>40W</t>
  </si>
  <si>
    <t>157 mm x 85 mm x 39 mm</t>
  </si>
  <si>
    <t>PS100W-DIM - 629</t>
  </si>
  <si>
    <t>PS100W-MC - 467</t>
  </si>
  <si>
    <t>100VAC-240VAC</t>
  </si>
  <si>
    <t>PS150W-MC - 625</t>
  </si>
  <si>
    <t>PS36W-PLUG  619</t>
  </si>
  <si>
    <t>36W</t>
  </si>
  <si>
    <t>PS72W-PLUG - 620</t>
  </si>
  <si>
    <t>72W</t>
  </si>
  <si>
    <t>24VDC - Constant Voltage</t>
  </si>
  <si>
    <t>300.0 mm</t>
  </si>
  <si>
    <t>16/2 Hardwire Pigtail - 30 cm / 11.5"</t>
  </si>
  <si>
    <t>LED SL-BK - 1004</t>
  </si>
  <si>
    <t>5 Watts</t>
  </si>
  <si>
    <t>LED SL-BN - 1005</t>
  </si>
  <si>
    <t>LED SL-WH - 1003</t>
  </si>
  <si>
    <t>LED35WSTP-3CCT - 1115</t>
  </si>
  <si>
    <t>LED STP-CP - 1113</t>
  </si>
  <si>
    <t>LED EX100-SP - 989</t>
  </si>
  <si>
    <t>LED EX101-CB - 990</t>
  </si>
  <si>
    <t>BP-36W - 1067</t>
  </si>
  <si>
    <t>BP-72W - 1068</t>
  </si>
  <si>
    <t>RH-1 - 1069</t>
  </si>
  <si>
    <t>Diameter 5 inches / 128 mm</t>
  </si>
  <si>
    <t>RH-2 - 1070</t>
  </si>
  <si>
    <t>Diameter 5 inches / 127 mm</t>
  </si>
  <si>
    <t>J78-75W 120V - 419</t>
  </si>
  <si>
    <t>J78</t>
  </si>
  <si>
    <t>75W</t>
  </si>
  <si>
    <t>1,500 Hrs</t>
  </si>
  <si>
    <t>2900K</t>
  </si>
  <si>
    <t>J78-100W 120V - 420</t>
  </si>
  <si>
    <t>100W</t>
  </si>
  <si>
    <t>1650 lm</t>
  </si>
  <si>
    <t>G9-40W 120V - 313</t>
  </si>
  <si>
    <t>2,000 Hrs</t>
  </si>
  <si>
    <t>G9-50W 120V - 197</t>
  </si>
  <si>
    <t>50W</t>
  </si>
  <si>
    <t>JD 130V 50W E11 - 68</t>
  </si>
  <si>
    <t>E11 - Mini Candelabra</t>
  </si>
  <si>
    <t>JD 130V 75W E11 - 89</t>
  </si>
  <si>
    <t>JD E11-100W 120V - 49</t>
  </si>
  <si>
    <t>JD E11</t>
  </si>
  <si>
    <t>1700 lm</t>
  </si>
  <si>
    <t>JCDR GU10 50W (No Cover) - 405</t>
  </si>
  <si>
    <t>JCDR+C GU10 20W - 189</t>
  </si>
  <si>
    <t>35W</t>
  </si>
  <si>
    <t>JDR+C 50W - 46</t>
  </si>
  <si>
    <t>JDR+C 75W - 47</t>
  </si>
  <si>
    <t>JDR+C 100W - 48</t>
  </si>
  <si>
    <t>PAR16 50W FL - 105</t>
  </si>
  <si>
    <t>MR16 12V 20W ESX - 116</t>
  </si>
  <si>
    <t xml:space="preserve">12VAC </t>
  </si>
  <si>
    <t>MR16 12V 35W FMV - 150</t>
  </si>
  <si>
    <t>MR16 12V 42W EYP - 218</t>
  </si>
  <si>
    <t>42W</t>
  </si>
  <si>
    <t>MR16 12V 50W FNV - 113</t>
  </si>
  <si>
    <t>MR16 12V 50W EXZ - 199</t>
  </si>
  <si>
    <t>MR16 12V 50W EXT - 6</t>
  </si>
  <si>
    <t>MR16 12V 75W EYC - 1</t>
  </si>
  <si>
    <t>MR16 12V 50W EXN+C FROSTED - 314</t>
  </si>
  <si>
    <t>XENON MR16 20W BAB+C - 436</t>
  </si>
  <si>
    <t>IGLOO MR16 50W EXN+C (Completely Frosted) - 412</t>
  </si>
  <si>
    <t>DAYLIGHT MR16 50W EXN+C 36° - 459</t>
  </si>
  <si>
    <t>5000K</t>
  </si>
  <si>
    <t>DAYLIGHT MR16 50W EXZ+C 24° - 460</t>
  </si>
  <si>
    <t>MR11 12V 20W FTD - 88</t>
  </si>
  <si>
    <t>MR11 12V 20W FTD+C - 134</t>
  </si>
  <si>
    <t>MR11 12V 20W FTD+C XENON - 440</t>
  </si>
  <si>
    <t>JC 12V 75W G6.35 - 392</t>
  </si>
  <si>
    <t>G6.35</t>
  </si>
  <si>
    <t>XENON JC 12V 50W G6.35 - 373</t>
  </si>
  <si>
    <t>J 120V 78mm 150W - 422</t>
  </si>
  <si>
    <t>150W</t>
  </si>
  <si>
    <t>J 120V 118mm 100W - 194</t>
  </si>
  <si>
    <t>J 120V 118mm 150W - 416</t>
  </si>
  <si>
    <t>J 120V 118mm 200W - 417</t>
  </si>
  <si>
    <t>200W</t>
  </si>
  <si>
    <t>J 120V 118mm 300W - 418</t>
  </si>
  <si>
    <t>300W</t>
  </si>
  <si>
    <t>130VAC</t>
  </si>
  <si>
    <t>J 130V 78mm 150W - 14</t>
  </si>
  <si>
    <t>J 130V 78mm 200W - 183</t>
  </si>
  <si>
    <t>J 130V 78mm 250W - 224</t>
  </si>
  <si>
    <t>250W</t>
  </si>
  <si>
    <t>J 130V 118mm 100W - 118</t>
  </si>
  <si>
    <t>J 130V 118mm 150W - 119</t>
  </si>
  <si>
    <t>J 130V 118mm 300W - 16</t>
  </si>
  <si>
    <t>500W</t>
  </si>
  <si>
    <t>J 130V 189mm 1000W - 19</t>
  </si>
  <si>
    <t>1000W</t>
  </si>
  <si>
    <t>J 130V 254mm 1000W - 21</t>
  </si>
  <si>
    <t>J 240V 118mm 500W - 18</t>
  </si>
  <si>
    <t>240VAC</t>
  </si>
  <si>
    <t>J 240V 189mm 1000W - 20</t>
  </si>
  <si>
    <t>J 230V 189mm 1000W - 20</t>
  </si>
  <si>
    <t>J 240V 254mm 1000W - 283</t>
  </si>
  <si>
    <t>J 240V 254mm 1500W - 23</t>
  </si>
  <si>
    <t>1500W</t>
  </si>
  <si>
    <t>JCD 130V 25W G9 FROSTED - 369</t>
  </si>
  <si>
    <t>25W</t>
  </si>
  <si>
    <t>JCD 130V 75W G9 - 589</t>
  </si>
  <si>
    <t>XENON JCD 120V 60W FROSTED G9 - 376</t>
  </si>
  <si>
    <t>60W</t>
  </si>
  <si>
    <t>JCD 130V 20W G8 - 610</t>
  </si>
  <si>
    <t>G8</t>
  </si>
  <si>
    <t>JCD 130V 50W G8 - 195</t>
  </si>
  <si>
    <t>JCD 130V 35W G6.35 - 35</t>
  </si>
  <si>
    <t>JCD 130V 50W G6.35 - 103</t>
  </si>
  <si>
    <t>G6.3.5</t>
  </si>
  <si>
    <t>JCD 130V 75W G6.35 - 212</t>
  </si>
  <si>
    <t>JCD 130V 100W G6.35 - 141</t>
  </si>
  <si>
    <t>JD 130V 150W E11 - 50</t>
  </si>
  <si>
    <t>JD 130V 250W E11 - 51</t>
  </si>
  <si>
    <t>JD 130V 50W BA15d - 60</t>
  </si>
  <si>
    <t>BA15D - Double Contact Bayonet</t>
  </si>
  <si>
    <t>JD 130V 75W BA15d - 62</t>
  </si>
  <si>
    <t>JD 130V 100W BA15d - 63</t>
  </si>
  <si>
    <t>JD 130V 150W BA15d - 64</t>
  </si>
  <si>
    <t>JD 130V 250W BA15d - 67</t>
  </si>
  <si>
    <t>JDD - Double Envelope</t>
  </si>
  <si>
    <t>JDD 120V 200W CLEAR - 525</t>
  </si>
  <si>
    <t>3000 lm</t>
  </si>
  <si>
    <t>JDD 120V 75W FROSTED - 529</t>
  </si>
  <si>
    <t>JDD 120V 200W FROSTED - 129</t>
  </si>
  <si>
    <t>EST-23W 2700K - 594</t>
  </si>
  <si>
    <t>23W</t>
  </si>
  <si>
    <t>110V-130VAC</t>
  </si>
  <si>
    <t>10,000 Hrs</t>
  </si>
  <si>
    <t>100W Incandescent</t>
  </si>
  <si>
    <t>115 mm</t>
  </si>
  <si>
    <t>60 mm</t>
  </si>
  <si>
    <t>CFL - Super Mini Spiral</t>
  </si>
  <si>
    <t>EST-23W 4100K - 595</t>
  </si>
  <si>
    <t>70lm/W</t>
  </si>
  <si>
    <t>4100K</t>
  </si>
  <si>
    <t>GU24-23W 4100K - 144</t>
  </si>
  <si>
    <t>GU24</t>
  </si>
  <si>
    <t>107 mm</t>
  </si>
  <si>
    <t>EP-9W PAR20 2700K - 674</t>
  </si>
  <si>
    <t/>
  </si>
  <si>
    <t>PAR20</t>
  </si>
  <si>
    <t>EP-15W PAR30L 2700K - 700</t>
  </si>
  <si>
    <t>PAR30LN</t>
  </si>
  <si>
    <t>PL-5W 2700K - 55</t>
  </si>
  <si>
    <t>Ballast Dependent</t>
  </si>
  <si>
    <t>2-PIN CFL - PL-5W</t>
  </si>
  <si>
    <t>PL-5W 3500K - 285</t>
  </si>
  <si>
    <t>PL-7W 3500K - 154</t>
  </si>
  <si>
    <t>2-PIN CFL - PL-7W</t>
  </si>
  <si>
    <t>PL-9W 3500K - 156</t>
  </si>
  <si>
    <t>2-PIN CFL - PL-9W</t>
  </si>
  <si>
    <t>PLC-9W 2P 2700K - 138</t>
  </si>
  <si>
    <t>2-PIN CFL - PLC-9W</t>
  </si>
  <si>
    <t>PLC-9W 2P 3500K - 161</t>
  </si>
  <si>
    <t>PLC-9W 2P 4100K - 162</t>
  </si>
  <si>
    <t>PLC-26W 2P 2700K - 226</t>
  </si>
  <si>
    <t>2-PIN CFL - PLC-26W</t>
  </si>
  <si>
    <t>PLC-26W 2P 3500K - 351</t>
  </si>
  <si>
    <t>PLC-10W 4P 2700K - 219</t>
  </si>
  <si>
    <t>4-PIN PLC-10W</t>
  </si>
  <si>
    <t>PLT-26W 2700K - 222</t>
  </si>
  <si>
    <t>4-PIN PLT-26W</t>
  </si>
  <si>
    <t>PLT-26W 3500K - 496</t>
  </si>
  <si>
    <t>PLT-26W 4100K - 497</t>
  </si>
  <si>
    <t>PLT-32W 2700K - 223</t>
  </si>
  <si>
    <t>32W</t>
  </si>
  <si>
    <t>4-PIN PLT-32W</t>
  </si>
  <si>
    <t>PLT-32W 3500K - 498</t>
  </si>
  <si>
    <t>PLT-42W 4100K - 501</t>
  </si>
  <si>
    <t xml:space="preserve"> 4-PIN PLT-42W</t>
  </si>
  <si>
    <t>F21 T5 4100K - 545</t>
  </si>
  <si>
    <t>21W</t>
  </si>
  <si>
    <t>2900 lm</t>
  </si>
  <si>
    <t>20,000 Hrs</t>
  </si>
  <si>
    <t>G5</t>
  </si>
  <si>
    <t>3 FT</t>
  </si>
  <si>
    <t>3' T5 Fluorescent</t>
  </si>
  <si>
    <t>F28 T5 4100K - 546</t>
  </si>
  <si>
    <t>28W</t>
  </si>
  <si>
    <t>3650 lm</t>
  </si>
  <si>
    <t>4 FT</t>
  </si>
  <si>
    <t>4' T5 Fluorescent</t>
  </si>
  <si>
    <t>F32T8/28W850 - 326</t>
  </si>
  <si>
    <t>2450 lm</t>
  </si>
  <si>
    <t>30,000 Hrs</t>
  </si>
  <si>
    <t>G13</t>
  </si>
  <si>
    <t>36</t>
  </si>
  <si>
    <t>4' T8 Fluorescent</t>
  </si>
  <si>
    <t>MH 50W Medium - 133</t>
  </si>
  <si>
    <t>3800 lm</t>
  </si>
  <si>
    <t>4200K</t>
  </si>
  <si>
    <t>65</t>
  </si>
  <si>
    <t>BD17</t>
  </si>
  <si>
    <t>70W</t>
  </si>
  <si>
    <t>MH 150W Medium - 476</t>
  </si>
  <si>
    <t>11500 lm</t>
  </si>
  <si>
    <t>MH 175W Medium - 111</t>
  </si>
  <si>
    <t>175W</t>
  </si>
  <si>
    <t>13500 lm</t>
  </si>
  <si>
    <t>MH 175W COATED Medium - 366</t>
  </si>
  <si>
    <t>E39 / Mogul</t>
  </si>
  <si>
    <t>ED28</t>
  </si>
  <si>
    <t>20500 lm</t>
  </si>
  <si>
    <t>12,000 Hrs</t>
  </si>
  <si>
    <t>MH-400W E39 Mog - 289</t>
  </si>
  <si>
    <t>400W</t>
  </si>
  <si>
    <t>36000 lm</t>
  </si>
  <si>
    <t>ED37</t>
  </si>
  <si>
    <t>MH 175W-PS ED28 - 726</t>
  </si>
  <si>
    <t>14000 lm</t>
  </si>
  <si>
    <t>MH 200W-PS ED28 - 727</t>
  </si>
  <si>
    <t>21000 lm</t>
  </si>
  <si>
    <t>MH 320W-PS ED37 - 728</t>
  </si>
  <si>
    <t>320W</t>
  </si>
  <si>
    <t>31000 lm</t>
  </si>
  <si>
    <t>16,000 Hrs</t>
  </si>
  <si>
    <t>Conversion MH 250W E39 Mog - 519</t>
  </si>
  <si>
    <t>Conversion MH 400W E39 Mog - 395</t>
  </si>
  <si>
    <t>Conversion MH 600W E39 Mog - 396</t>
  </si>
  <si>
    <t>600W</t>
  </si>
  <si>
    <t>54000 lm</t>
  </si>
  <si>
    <t>T25</t>
  </si>
  <si>
    <t>LU 35W Medium - 339</t>
  </si>
  <si>
    <t>2250 lm</t>
  </si>
  <si>
    <t>24,000 Hrs</t>
  </si>
  <si>
    <t>2000K</t>
  </si>
  <si>
    <t>22</t>
  </si>
  <si>
    <t>B17</t>
  </si>
  <si>
    <t>LU 50W Medium - 340</t>
  </si>
  <si>
    <t>LU 100W Medium - 344</t>
  </si>
  <si>
    <t>9500 lm</t>
  </si>
  <si>
    <t>LU 150W Medium - 346</t>
  </si>
  <si>
    <t>16000 lm</t>
  </si>
  <si>
    <t>LU 50W Mogul - 341</t>
  </si>
  <si>
    <t>E40 / Mogul</t>
  </si>
  <si>
    <t>ED23.5</t>
  </si>
  <si>
    <t>LU 70W Mogul - 343</t>
  </si>
  <si>
    <t>6300 lm</t>
  </si>
  <si>
    <t>LU 100W Mogul - 345</t>
  </si>
  <si>
    <t>LU 150W Mogul - 347</t>
  </si>
  <si>
    <t>LU 250W Mogul - 348</t>
  </si>
  <si>
    <t>28000 lm</t>
  </si>
  <si>
    <t>ED18</t>
  </si>
  <si>
    <t>LU 400W Mogul - 349</t>
  </si>
  <si>
    <t>48000 lm</t>
  </si>
  <si>
    <t>≥ 80</t>
  </si>
  <si>
    <t>≥ 90</t>
  </si>
  <si>
    <t>-20°C to 45°C</t>
  </si>
  <si>
    <t>-20°C to +45°C</t>
  </si>
  <si>
    <t>110°</t>
  </si>
  <si>
    <t>38°</t>
  </si>
  <si>
    <t>120°</t>
  </si>
  <si>
    <t>30°</t>
  </si>
  <si>
    <t>40°</t>
  </si>
  <si>
    <t>360°</t>
  </si>
  <si>
    <t>150°</t>
  </si>
  <si>
    <t>185°</t>
  </si>
  <si>
    <t>230°</t>
  </si>
  <si>
    <t>LED RT6-3x3CCT-AK - 1134</t>
  </si>
  <si>
    <t>120V-347VAC</t>
  </si>
  <si>
    <t>4585 lm</t>
  </si>
  <si>
    <t>131 lm/W</t>
  </si>
  <si>
    <t>cUL, DLC</t>
  </si>
  <si>
    <t>1202 mm</t>
  </si>
  <si>
    <t>Yes - 0-10V</t>
  </si>
  <si>
    <t>Width (inches)</t>
  </si>
  <si>
    <t>Height (mm)</t>
  </si>
  <si>
    <t>Height (inches)</t>
  </si>
  <si>
    <t>Width (mm)</t>
  </si>
  <si>
    <t>2-5/8"</t>
  </si>
  <si>
    <t>47-5/16"</t>
  </si>
  <si>
    <t>71.2 mm</t>
  </si>
  <si>
    <t>60.2 mm</t>
  </si>
  <si>
    <t xml:space="preserve">  White</t>
  </si>
  <si>
    <t>Frosted</t>
  </si>
  <si>
    <t xml:space="preserve">#1113 - LED STP CP (Connector Plate) </t>
  </si>
  <si>
    <t>Mounting</t>
  </si>
  <si>
    <t>Surface Mount or Suspension Mount</t>
  </si>
  <si>
    <t>Surge Protection</t>
  </si>
  <si>
    <t>2.5 kV</t>
  </si>
  <si>
    <t>2 Years</t>
  </si>
  <si>
    <t>87.5 lm/W</t>
  </si>
  <si>
    <t>-20°C to 40°C</t>
  </si>
  <si>
    <t>Carton Weight (lbs)</t>
  </si>
  <si>
    <t>Carton Length (inches)</t>
  </si>
  <si>
    <t>Carton Width (inches)</t>
  </si>
  <si>
    <t>Carton Height (inches)</t>
  </si>
  <si>
    <t>LED12WPar38-5CCT - 1031</t>
  </si>
  <si>
    <t>LED 7.6W A19-ML 30K - 1105</t>
  </si>
  <si>
    <t>LED 12.5W A19-X 30K - 1190</t>
  </si>
  <si>
    <t>1500 lm</t>
  </si>
  <si>
    <t>120 lm/W</t>
  </si>
  <si>
    <t>LED 4.5W A15-FR 30K - 940</t>
  </si>
  <si>
    <t>LED 5.5W G25 30K - 814</t>
  </si>
  <si>
    <t>LED 3.5W T25 30K - 1050</t>
  </si>
  <si>
    <t>LED 8W T30 27K - 1046</t>
  </si>
  <si>
    <t>LED 5.5W G16-CL 30K - 1118</t>
  </si>
  <si>
    <t>LED 5.5W G16-ML 30K - 1119</t>
  </si>
  <si>
    <t>LED 5.5W G16-CL 30K E26 - 1213</t>
  </si>
  <si>
    <t>LED 5W G25-ML 30K - 1120</t>
  </si>
  <si>
    <t>LED 5W G25-ML 27K - 1127</t>
  </si>
  <si>
    <t>LED 5.5W ST19-X 27K - 1167</t>
  </si>
  <si>
    <t>LED 5.5W ST19-X 30K - 1168</t>
  </si>
  <si>
    <t>LED 5.5W ST19-X 40K - 1169</t>
  </si>
  <si>
    <t>75 lm/W</t>
  </si>
  <si>
    <t>125 lm/W</t>
  </si>
  <si>
    <t>83.3 lm/W</t>
  </si>
  <si>
    <t>LED3WG9-DIM 5000K - 1080</t>
  </si>
  <si>
    <t>3CCT - 3000K / 4000K / 5000K</t>
  </si>
  <si>
    <t>4CCT - 2700K / 3000K / 3500K / 4000K</t>
  </si>
  <si>
    <t>3500K</t>
  </si>
  <si>
    <t>3CCT - 3000K / 3500K / 4000K</t>
  </si>
  <si>
    <t>3CCT - 3500K / 4000K / 5000K</t>
  </si>
  <si>
    <t>LED 3.5W T25-ML 30K - 1137</t>
  </si>
  <si>
    <t>15 mm</t>
  </si>
  <si>
    <t>T5Bar-11-5CCT - 1091</t>
  </si>
  <si>
    <t>T5Bar-24-5CCT - 1092</t>
  </si>
  <si>
    <t>T5Bar-48-5CCT - 1094</t>
  </si>
  <si>
    <t>420 lm</t>
  </si>
  <si>
    <t>760 lm</t>
  </si>
  <si>
    <t>1120 lm</t>
  </si>
  <si>
    <t>1530 lm</t>
  </si>
  <si>
    <t>84 lm/W</t>
  </si>
  <si>
    <t>84.4 lm/W</t>
  </si>
  <si>
    <t>85 lm/W</t>
  </si>
  <si>
    <t>50, 000 Hrs</t>
  </si>
  <si>
    <t>48"</t>
  </si>
  <si>
    <t>5/8"</t>
  </si>
  <si>
    <t>1/2"</t>
  </si>
  <si>
    <t>-20°C to +40°C</t>
  </si>
  <si>
    <t>Damp Location, Not for Enclosed Fixtures</t>
  </si>
  <si>
    <t>cUL Classified</t>
  </si>
  <si>
    <t>112 lm/W (@4000K)</t>
  </si>
  <si>
    <t>92.86 lm/W</t>
  </si>
  <si>
    <t>139 lm/W</t>
  </si>
  <si>
    <t>118.2 lm/W</t>
  </si>
  <si>
    <t>178 mm</t>
  </si>
  <si>
    <t>18 mm</t>
  </si>
  <si>
    <t>7"</t>
  </si>
  <si>
    <t>173 mm</t>
  </si>
  <si>
    <t>6-7/8"</t>
  </si>
  <si>
    <t>G24Q Universal 4-Pin</t>
  </si>
  <si>
    <t>G24Q / GX24Q Universal 4-Pin</t>
  </si>
  <si>
    <t>13W</t>
  </si>
  <si>
    <t>1800 lm</t>
  </si>
  <si>
    <t>2200 lm</t>
  </si>
  <si>
    <t>138 lm/W</t>
  </si>
  <si>
    <t>G13 Shunted</t>
  </si>
  <si>
    <t>180°</t>
  </si>
  <si>
    <t>cUL / DLC 5.1</t>
  </si>
  <si>
    <t>DLC &amp; cUL Type A</t>
  </si>
  <si>
    <t>48 Feet / 15 m</t>
  </si>
  <si>
    <t>120V-277VAC (Type B Installation)</t>
  </si>
  <si>
    <t>128 lm/W</t>
  </si>
  <si>
    <t>G13 Shunted &amp; Non Shunted</t>
  </si>
  <si>
    <t>cUL / cUL Classified / NSF / DLC 5.1</t>
  </si>
  <si>
    <t>DLC &amp; cUL Type A &amp; Type B</t>
  </si>
  <si>
    <t>347VAC - Type B</t>
  </si>
  <si>
    <t>3500 lm</t>
  </si>
  <si>
    <t>DLC &amp; cUL Type B</t>
  </si>
  <si>
    <t>128.6 lm/W</t>
  </si>
  <si>
    <t>LED14WT8-347V 40K (1800lm) - 1073</t>
  </si>
  <si>
    <t>Double Ended</t>
  </si>
  <si>
    <t>cUL / cUL Classified / NSF</t>
  </si>
  <si>
    <t>cUL Classified Type B</t>
  </si>
  <si>
    <t>DP4-FR-5CCT (4-Inch Fire-Rated Downlight)</t>
  </si>
  <si>
    <t>DP-4-BK Trim - 1042</t>
  </si>
  <si>
    <t>DP-6-BK-Trim - 1043</t>
  </si>
  <si>
    <t>DP6-FR-5CCT (6-Inch Fire-Rated Downlight)</t>
  </si>
  <si>
    <t>DGIM-4-3CCT-BK - 1089</t>
  </si>
  <si>
    <t>DG-4-345K-WH - 1038</t>
  </si>
  <si>
    <t>RG-4-345K-WH - 1041</t>
  </si>
  <si>
    <t>DPS-4-5CCT - 1081</t>
  </si>
  <si>
    <t>E26 Accessory Kit</t>
  </si>
  <si>
    <t xml:space="preserve">cETLus, Type IC Rated </t>
  </si>
  <si>
    <t>28 mm</t>
  </si>
  <si>
    <t>Black Trim</t>
  </si>
  <si>
    <t>DPS-4-BK-TRIM - 1082 - Black Trim</t>
  </si>
  <si>
    <t>DPS-4-BN-TRIM - 1083 - Brushed Nickel Trim</t>
  </si>
  <si>
    <t>White Trim</t>
  </si>
  <si>
    <t>String Lights</t>
  </si>
  <si>
    <t>Step Lights</t>
  </si>
  <si>
    <t>Commercial Fixtures</t>
  </si>
  <si>
    <t>12V LED Drivers</t>
  </si>
  <si>
    <t>24V LED Drivers</t>
  </si>
  <si>
    <t>2024 Halogen Bulbs</t>
  </si>
  <si>
    <t>JDR</t>
  </si>
  <si>
    <t>PAR 16</t>
  </si>
  <si>
    <t>JC Type 12V</t>
  </si>
  <si>
    <t>J-Type Linear 120V</t>
  </si>
  <si>
    <t>J-Type Linear 130V</t>
  </si>
  <si>
    <t>J-Type Linear 240V</t>
  </si>
  <si>
    <t>JCD Type (120V/130V)</t>
  </si>
  <si>
    <t>JDD Type - Double Envelope</t>
  </si>
  <si>
    <t>Super Mini Spirals</t>
  </si>
  <si>
    <t>PAR Reflector CFL</t>
  </si>
  <si>
    <t>PL (2-PIN)</t>
  </si>
  <si>
    <t>PLC (2-PIN)</t>
  </si>
  <si>
    <t>PLC (4-PIN)</t>
  </si>
  <si>
    <t>PLT (4-PIN)</t>
  </si>
  <si>
    <t>T5 Tubes - 3 FT</t>
  </si>
  <si>
    <t>T5 Tubes - 4 FT</t>
  </si>
  <si>
    <t>T8 Tubes - 4 FT</t>
  </si>
  <si>
    <t>Metal Halide - E12 - Medium</t>
  </si>
  <si>
    <t>Metal Halide - E39 - Mogul</t>
  </si>
  <si>
    <t>High Pressure Sodium - HPS / LU - E12 - Medium</t>
  </si>
  <si>
    <t>High Pressure Sodium - HPS / LU - E39 - Mogul</t>
  </si>
  <si>
    <t>Base Adapters</t>
  </si>
  <si>
    <t>A19 - 5CCT</t>
  </si>
  <si>
    <t>E26 to E12</t>
  </si>
  <si>
    <t>GU24 to E26</t>
  </si>
  <si>
    <t>PAR20 - 5CCT</t>
  </si>
  <si>
    <t>PAR38 - 5CCT</t>
  </si>
  <si>
    <t>PAR30L - 5CCT</t>
  </si>
  <si>
    <t>PAR30S - 5CCT</t>
  </si>
  <si>
    <t>BR30 - 5CCT</t>
  </si>
  <si>
    <t>4" DPS Black Trim</t>
  </si>
  <si>
    <t>4" DPS Brushed Nickel Trim</t>
  </si>
  <si>
    <t>DPS Recess Mount Accessory</t>
  </si>
  <si>
    <t>4" Round Panel - 5CCT</t>
  </si>
  <si>
    <t>DP4 Black Trim</t>
  </si>
  <si>
    <t>4" Fire Rated - 5CCT</t>
  </si>
  <si>
    <t>DP6 Black Trim</t>
  </si>
  <si>
    <t>6" Fire Rated - 5CCT</t>
  </si>
  <si>
    <t>3.5" Rough-In Plate</t>
  </si>
  <si>
    <t>4" Rough-In Plate</t>
  </si>
  <si>
    <t>6" Rough-In Plate</t>
  </si>
  <si>
    <t>6" to 8" Goof Ring</t>
  </si>
  <si>
    <t>RG-4-345K-BK - 1040</t>
  </si>
  <si>
    <t>Field Adjustable 6" Downlight</t>
  </si>
  <si>
    <t>LED9WRT5/6-5CCT - 1017</t>
  </si>
  <si>
    <t>Large Vapour Barrier</t>
  </si>
  <si>
    <t>Small Vapour Barrier</t>
  </si>
  <si>
    <t>6" Motion Sensor Disk</t>
  </si>
  <si>
    <t>13" Mushroom 5CCT</t>
  </si>
  <si>
    <t>CL-13-5CCT - 1206</t>
  </si>
  <si>
    <t>CL-2R-12-5CCT BN - 1204</t>
  </si>
  <si>
    <t>CL-2R-12-5CCT BK - 1136</t>
  </si>
  <si>
    <t>CL-2R-16-5CCT BN - 1045</t>
  </si>
  <si>
    <t>CL-2R-16-5CCT BK - 1085</t>
  </si>
  <si>
    <t>DPS-4-BK-TRIM - 1082 - DPS Black Trim</t>
  </si>
  <si>
    <t>DPS-4-BN-TRIM - 1083 - DPS Brushed Nickel Trim</t>
  </si>
  <si>
    <t>DPS-ACC - 1084 - DPS Retrofit Accessory</t>
  </si>
  <si>
    <t>DPM-4 BK Trim - 1202 - DPM Trim - Black</t>
  </si>
  <si>
    <t>DPM-4 BN  Trim - 1203 - DPM Trim - Brushed Nickel</t>
  </si>
  <si>
    <t xml:space="preserve">DPM-4-5CCT - 1201 </t>
  </si>
  <si>
    <t>DS-12-3CCT BK - 1109</t>
  </si>
  <si>
    <t>DS-15-3CCT WH - 1128</t>
  </si>
  <si>
    <t>DS-15-5CCT BK - 1157</t>
  </si>
  <si>
    <t>DPM-4-5CCT - 1201  - 4" Slim LED Downlight</t>
  </si>
  <si>
    <t>DS-15-3CCT WH  - 1128 - 15" LED Flush Mount Downlight</t>
  </si>
  <si>
    <t>DS-15-5CCT BK - 1157  - 15" LED Flush Mount Downlight</t>
  </si>
  <si>
    <t>LED5.5WPL13-HY 4CCT - 1214</t>
  </si>
  <si>
    <t>LED9WPLC26/32/42-HY 40K - 1215</t>
  </si>
  <si>
    <t>DSK-7-5CCT-BK - 1182</t>
  </si>
  <si>
    <t>DSK-7-5CCT-WH - 1181</t>
  </si>
  <si>
    <t>DSK-9-5CCT-BK - 1184</t>
  </si>
  <si>
    <t>DSK-9-5CCT-WH - 1183</t>
  </si>
  <si>
    <t>DSK-12-5CCT-BK - 1186</t>
  </si>
  <si>
    <t>DSK-12-5CCT-WH - 1185</t>
  </si>
  <si>
    <t>DSK-7-5CCT-BK - 1182 - 7" Slim Flushmount - Black</t>
  </si>
  <si>
    <t>DSK-7-5CCT-WH - 1181 - 7" Slim Flushmount - White</t>
  </si>
  <si>
    <t>DSK-9-5CCT-BK - 1184 - 9" Slim Flushmount - Black</t>
  </si>
  <si>
    <t>DSK-9-5CCT-WH - 1183 - 9" Slim Flushmount - White</t>
  </si>
  <si>
    <t>DSK-12-5CCT-BK - 1186 - 12" Slim Flushmount - Black</t>
  </si>
  <si>
    <t>DSK-12-5CCT-WH - 1185 - 12" Slim Flushmount - White</t>
  </si>
  <si>
    <t>LED DSQ-4-30K - 952 - 4" Square Slim Flushmount</t>
  </si>
  <si>
    <t>LED DSQ-6-30K - 953 - 6" Square Slim Flushmount</t>
  </si>
  <si>
    <t>LED7WPLC13-HY-40K - 916 - CFL PLC 13W 4-PIN Replacement - 4000K</t>
  </si>
  <si>
    <t>LED7WPLC13-HY-30K - 1023 - CFL PLC 13W 4-PIN Replacement - 3000K</t>
  </si>
  <si>
    <t>LED5.5WPL13-HY 4CCT - 1214 - CFL PL 13W 2-PIN Replacement - 4CCT (2700K/3000K/3500K/4000K)</t>
  </si>
  <si>
    <t>LED9WPLC26/32/42-HY 40K - 1215 - CFL PLC 26W 32W 42W 4-PIN Replacement - 4000K</t>
  </si>
  <si>
    <t>LED11WPL26/32/42-HY-30K - 917 CFL PLC 26W 32W 42W 4-PIN Replacement - 3000K</t>
  </si>
  <si>
    <t>S14-String48  - 1122</t>
  </si>
  <si>
    <t>S14-String48 - 1122 - Outdoor LED S14 String Lights 2700K</t>
  </si>
  <si>
    <t>11" Undercabinet Strip 120V - 5CCT</t>
  </si>
  <si>
    <t>24" Undercabinet Strip 120V - 5CCT</t>
  </si>
  <si>
    <t>48" Undercabinet Strip 120V - 5CCT</t>
  </si>
  <si>
    <t>12" Flexible Link Cable</t>
  </si>
  <si>
    <t>T5Bar Mounting Accessories</t>
  </si>
  <si>
    <t>Junction Box with On/Off Switch, 1/2" Knockout</t>
  </si>
  <si>
    <t>6' Length AC Power Cord Plug</t>
  </si>
  <si>
    <t>Replacement Accessories Pack - Mounting Clips and End Joiner</t>
  </si>
  <si>
    <t>T5Bar - 12" Link Cable</t>
  </si>
  <si>
    <t>T5Bar - 6' Cord w/ Plug</t>
  </si>
  <si>
    <t>LED-SMRing - 905 - Surface Mount Ring for Puck Light</t>
  </si>
  <si>
    <t>LED3WPuck 30K - 902 - Puck Light - 3000K - 12VDC</t>
  </si>
  <si>
    <t>LED6WPanel 30K - 904 - Panel Light - 12VDC - 3000K</t>
  </si>
  <si>
    <t>24V COB LED Ribbon Lights - 20FT Reel - 4000K</t>
  </si>
  <si>
    <t>24V COB LED Ribbon Lights - 20FT Reel - 3000K</t>
  </si>
  <si>
    <t>6" Lead (Input Cable)</t>
  </si>
  <si>
    <t>COB Ribbon to Wire Connector (Custom Input / Output)</t>
  </si>
  <si>
    <t>COB Ribbon 20FT Wires (20AWG)</t>
  </si>
  <si>
    <t>COB Ribbon I or Straight Connector</t>
  </si>
  <si>
    <t>COB Rbbon L-Connector</t>
  </si>
  <si>
    <t>COB Ribbon T-Connector</t>
  </si>
  <si>
    <t>6" Ribbon to Power Supply Connector</t>
  </si>
  <si>
    <t>12"Flexible Ribbon to Ribbon Connector</t>
  </si>
  <si>
    <t>12" Flexible Ribbon to Ribbon Connector</t>
  </si>
  <si>
    <t>Ribbon to Wire Connector</t>
  </si>
  <si>
    <t>20FT Wires (20AWG)</t>
  </si>
  <si>
    <t>I Connector</t>
  </si>
  <si>
    <t>L Connector</t>
  </si>
  <si>
    <t>T Connector</t>
  </si>
  <si>
    <t>Surface Aluminum Channel - Mounting Clips</t>
  </si>
  <si>
    <t xml:space="preserve">Surface Aluminum Channel - 1M </t>
  </si>
  <si>
    <t>Surface Aluminum Channel - End Caps</t>
  </si>
  <si>
    <t>COB Ribbon Aluminum Channel - 1 Meter Length</t>
  </si>
  <si>
    <t>Recessed Auminum Channel - 1M</t>
  </si>
  <si>
    <t>Recessed Auminum Channel - End Caps</t>
  </si>
  <si>
    <t>Recessed Auminum Channel - Mounting Clips</t>
  </si>
  <si>
    <t>Surface Aluminum Channel - 1 Meter Length</t>
  </si>
  <si>
    <t>Recessed Mount Aluminum Channel - 1 Meter Length</t>
  </si>
  <si>
    <t>Recessed Mount Aluminum Channel - End Caps</t>
  </si>
  <si>
    <t>Recessed Mount Aluminum Channel - Mounting Clips</t>
  </si>
  <si>
    <t>COB Ribbon Aluminum Channel - 1M</t>
  </si>
  <si>
    <t>PS12W-ETL-RD - 1060 - 12V - 12W Round Dimmable LED Driver</t>
  </si>
  <si>
    <t>PS20W-ETL-RD - 1061 - 12V - 18W Round Dimmable LED Driver</t>
  </si>
  <si>
    <t>PS40W-ETL-RD - 1062 - 12V - 36W Round Dimmable LED Driver</t>
  </si>
  <si>
    <t>PS60W-ETL-RD - 1063 - 12V - 54W Round Dimmable LED Driver</t>
  </si>
  <si>
    <t>PS100W-ETL-DIM - 1035 - 12V - 84W LED Dimmable Driver</t>
  </si>
  <si>
    <t>PS120W-ETL-DIM - 1135 - 12V - 120W LED Dimmable Driver</t>
  </si>
  <si>
    <t>PS-18W-BOXDIM - 945 - 12V - 18W Metal JBox Dimmable LED Driver</t>
  </si>
  <si>
    <t>PS-40W-BOXDIM - 946 - 12V - 40W Metal JBox Dimmable LED Driver</t>
  </si>
  <si>
    <t>PS100W-DIM - 629 - 12V - 100W LED Driver</t>
  </si>
  <si>
    <t>PS100W-MC - 467 - 12V - 102W Metal Chassis LED Driver</t>
  </si>
  <si>
    <t>PS150W-MC - 625 - 12V - 150W Metal Chassis LED Driver</t>
  </si>
  <si>
    <t>PS36W-PLUG  619 - 12V - 36W LED Driver - Plug</t>
  </si>
  <si>
    <t>PS72W-PLUG - 620 - 12V - 72W LED Driver - Plug</t>
  </si>
  <si>
    <t>PS40W-24V -1148 -  24V - 38.4W Dimmable LED Driver</t>
  </si>
  <si>
    <t>PS60W-24V - 1149 - 24V - 60W Dimmable LED Driver</t>
  </si>
  <si>
    <t>PS80W-24V - 1150 - 24V - 79W Dimmable LED Driver</t>
  </si>
  <si>
    <t xml:space="preserve">PS100W-24V - 1151 - 24V - 100.8W Dimmable LED Driver  </t>
  </si>
  <si>
    <t>PS150W-24V - 1152 - 24V - 150W Dimmable LED Driver</t>
  </si>
  <si>
    <t>PS100W-MC-24V - 1103 - 24V - 108W LED Driver</t>
  </si>
  <si>
    <t>LED2WRD1-30K - 1129 - Mini LED Puck Light &amp; Step Light - 3000K - 12VDC</t>
  </si>
  <si>
    <t>LED SL-BK - 1004 - 120V LED Step Light - Black</t>
  </si>
  <si>
    <t>LED SL-BN - 1005 - 120V LED Step Light - Brushed Nickel</t>
  </si>
  <si>
    <t>LED SL-WH - 1003 - 120V LED Step Light - White</t>
  </si>
  <si>
    <t>Mini Step Light 12V</t>
  </si>
  <si>
    <t>Commercial Strip Light 120V-347V</t>
  </si>
  <si>
    <t>3CCT Commercial LED Strip Light 120V-347V - 3000K / 4000K / 5000K</t>
  </si>
  <si>
    <t>STP Connector Plate</t>
  </si>
  <si>
    <t>STP Connector Plate for Commercial LED Strip Light</t>
  </si>
  <si>
    <t>8" Goof Ring for 6" Downlight</t>
  </si>
  <si>
    <t>LED Flood 30W - Yoke / Trunnion Mount</t>
  </si>
  <si>
    <t>347V LED Wall Pack - 145W</t>
  </si>
  <si>
    <t>WP145W50KBZ-347V - 895 - CLEARANCE - 347V LED Wall Pack - 145W - 5000K</t>
  </si>
  <si>
    <t>Running Man Exit Sign</t>
  </si>
  <si>
    <t>LED EX100-SP - 989 - Self-Powered Running Man Exit Sign</t>
  </si>
  <si>
    <t>Running Man Combo Unit</t>
  </si>
  <si>
    <t>LED EX101-CB - 990 - Self-Powered Running Man Exit Sign and Emergency Light Combo Unit</t>
  </si>
  <si>
    <t>BP-36W - 1067 - LED Emergency Lighting - 36W Battery Pack</t>
  </si>
  <si>
    <t>BP-72W - 1068 - LED Emergency Lighting - 72W Battery Pack</t>
  </si>
  <si>
    <t>Battery Pack 36W</t>
  </si>
  <si>
    <t>Battery Pack 72W</t>
  </si>
  <si>
    <t xml:space="preserve">Single Remote Head </t>
  </si>
  <si>
    <t>Dual Remote Head</t>
  </si>
  <si>
    <t>RH-1 - 1069 - Single Remote Head LED Emergency Light - 2W</t>
  </si>
  <si>
    <t>RH-2 - 1070 - Dual Remote Head Emergency Light - 4W (2 x 2W)</t>
  </si>
  <si>
    <t>78mm J-Type 75W</t>
  </si>
  <si>
    <t>78mm J-Type 100W</t>
  </si>
  <si>
    <t>G9 40W</t>
  </si>
  <si>
    <t>G9 50W</t>
  </si>
  <si>
    <t>JD Minican 50W</t>
  </si>
  <si>
    <t>JD Minican 75W</t>
  </si>
  <si>
    <t>JD Minican 100W</t>
  </si>
  <si>
    <t>GU10 - 50W</t>
  </si>
  <si>
    <t>GU10 - 20W</t>
  </si>
  <si>
    <t>JDR 50W</t>
  </si>
  <si>
    <t>JDR 75W</t>
  </si>
  <si>
    <t>JDR 100W</t>
  </si>
  <si>
    <t>PAR16 50W</t>
  </si>
  <si>
    <t>MR16 35W FMV</t>
  </si>
  <si>
    <t>MR16 20W ESX</t>
  </si>
  <si>
    <t>MR16 42W EYP</t>
  </si>
  <si>
    <t>MR16 50W FNV</t>
  </si>
  <si>
    <t>MR16 50W EXZ</t>
  </si>
  <si>
    <t>MR16 50W EXT</t>
  </si>
  <si>
    <t>MR16 50W EYC</t>
  </si>
  <si>
    <t>MR16 50W EXN+C Frosted</t>
  </si>
  <si>
    <t>IGLOO MR16 50W EXN+C</t>
  </si>
  <si>
    <t>DAYLIGHT MR16 50W EXN+C</t>
  </si>
  <si>
    <t>DAYLIGHT MR16 50W EXZ+C</t>
  </si>
  <si>
    <t>MR11 20W FTD</t>
  </si>
  <si>
    <t>MR11 20W FTD+C</t>
  </si>
  <si>
    <t>MR11 20W FTD+C XENON</t>
  </si>
  <si>
    <t>XENON MR16 50W BAB+C</t>
  </si>
  <si>
    <t>JC 12V 75W G6.35</t>
  </si>
  <si>
    <t>JC 12V 50W G6.35 XENON</t>
  </si>
  <si>
    <t>JD Type</t>
  </si>
  <si>
    <t>250W Conversion</t>
  </si>
  <si>
    <t>400W Conversion</t>
  </si>
  <si>
    <t>600W Conversion</t>
  </si>
  <si>
    <t>MH-50W</t>
  </si>
  <si>
    <t>MH-150W</t>
  </si>
  <si>
    <t>MH-175W</t>
  </si>
  <si>
    <t>MH-175W COATED</t>
  </si>
  <si>
    <t>MH-400W</t>
  </si>
  <si>
    <t>MH-175W PS</t>
  </si>
  <si>
    <t>MH-200W PS</t>
  </si>
  <si>
    <t>MH-320W PS</t>
  </si>
  <si>
    <t>HPS-50W</t>
  </si>
  <si>
    <t>HPS-35W</t>
  </si>
  <si>
    <t>HPS-100W</t>
  </si>
  <si>
    <t>HPS-150W</t>
  </si>
  <si>
    <t>HPS-70W</t>
  </si>
  <si>
    <t>HPS-250W</t>
  </si>
  <si>
    <t>HPS-400W</t>
  </si>
  <si>
    <t>12°</t>
  </si>
  <si>
    <t>24°</t>
  </si>
  <si>
    <t>36°</t>
  </si>
  <si>
    <t>60°</t>
  </si>
  <si>
    <t>LED 5.2W B10-X 50K - 1165</t>
  </si>
  <si>
    <t>LED 5.2W B10-X 40K - 1164</t>
  </si>
  <si>
    <t>LED 5.2W B10-X 30K - 1163</t>
  </si>
  <si>
    <t>LED 5.2W B10-X 27K - 1162</t>
  </si>
  <si>
    <t>LED 7.6W A19-X 50K- 1174</t>
  </si>
  <si>
    <t>LED 7.6W A19-X 40K - 1173</t>
  </si>
  <si>
    <t>LED 7.6W A19-X 30K - 1170</t>
  </si>
  <si>
    <t>LED 7.6W A19-X 27K - 1175</t>
  </si>
  <si>
    <t>LED 5.5W A19-R 30K - 1171</t>
  </si>
  <si>
    <t>LED 8.8W ST19-R 30K - 1172</t>
  </si>
  <si>
    <t>CFL</t>
  </si>
  <si>
    <t>HID</t>
  </si>
  <si>
    <t>LED 5.5W A19-R 30K (Curved Filament) - 1171</t>
  </si>
  <si>
    <t>LED 7.6W A19-X 27K (X-Filament) - 1175</t>
  </si>
  <si>
    <t>LED 7.6W A19-X 30K (X-Filament) - 1170</t>
  </si>
  <si>
    <t>LED 7.6W A19-X 40K (X-Filament) - 1173</t>
  </si>
  <si>
    <t>LED 7.6W A19-X 50K (X-Filament) - 1174</t>
  </si>
  <si>
    <t>LED 5.2W B10-X 27K (X-Filament) - 1162</t>
  </si>
  <si>
    <t>LED 5.2W B10-X 30K (X-Filament) - 1163</t>
  </si>
  <si>
    <t>LED 5.2W B10-X 40K (X-Filament) - 1164</t>
  </si>
  <si>
    <t>LED 5.2W B10-X 50K (X-Filament) - 1165</t>
  </si>
  <si>
    <t>LED 8.8W ST19-R 30K (Curved Filament) - 1172</t>
  </si>
  <si>
    <t>LED 6.5W A19-WH 30K - 1196</t>
  </si>
  <si>
    <t>LED 6.5W A19-WH 30K (White Filament)- 1196</t>
  </si>
  <si>
    <t>LED 5.5W B10-WH - 1195</t>
  </si>
  <si>
    <t>LED 5.5W B10-WH (White Filament)- 1195</t>
  </si>
  <si>
    <t>LED 6.5W ST19-WH 30K - 1197</t>
  </si>
  <si>
    <t>LED 6.5W ST19-WH 30K (White Filament) - 1197</t>
  </si>
  <si>
    <t>LED14WA19-5CCT - 1187</t>
  </si>
  <si>
    <t>LED4.5WG9-DIM 30K - 1179 (NEW)</t>
  </si>
  <si>
    <t>LED4.5WG9-DIM 40K - 1180 (NEW)</t>
  </si>
  <si>
    <t>LED9WA19-ED 30K - 1192</t>
  </si>
  <si>
    <t>LED 14W J118 40K - 1132</t>
  </si>
  <si>
    <t>LED 6W J78SM-DIM 40K - 1131</t>
  </si>
  <si>
    <t>LED 7W J78SM-DIM 30K - 1130</t>
  </si>
  <si>
    <t>16W / 22W / 30W</t>
  </si>
  <si>
    <t>1067 lm / 1467 lm / 2000 lm</t>
  </si>
  <si>
    <t>16"</t>
  </si>
  <si>
    <t>2.5"</t>
  </si>
  <si>
    <t>12"</t>
  </si>
  <si>
    <t>13"</t>
  </si>
  <si>
    <t>3-14/"</t>
  </si>
  <si>
    <t>Opaque</t>
  </si>
  <si>
    <t>Plastic</t>
  </si>
  <si>
    <t>LED7WPLC13-HY 5CCT - 168</t>
  </si>
  <si>
    <t>LED7WPLC13-HY 5CCT - 168 - CFL PLC 13W 4-PIN Replacement - 2700K / 3000K / 3500K / 4000K / 5000K</t>
  </si>
  <si>
    <t>800 lm (2700K) / 825 lm (3000K / 3500K) 850 lm (4000K / 5000K)</t>
  </si>
  <si>
    <t>114.3 to 121.4 lm/W</t>
  </si>
  <si>
    <t>280°</t>
  </si>
  <si>
    <t>-20°C to +35°C</t>
  </si>
  <si>
    <t>cUL / cUL Classified</t>
  </si>
  <si>
    <t>133 mm</t>
  </si>
  <si>
    <t>133 mm (5-1/4")</t>
  </si>
  <si>
    <t>CFL - PL-13W</t>
  </si>
  <si>
    <t>CFL - PLC13W - Also PLC18W &amp; PLC26W</t>
  </si>
  <si>
    <t>cUL Type A &amp; Type B</t>
  </si>
  <si>
    <t>T5Bar-36-5CCT - 1093</t>
  </si>
  <si>
    <t>36" Undercabinet Strip 120V - 5CCT</t>
  </si>
  <si>
    <t>Clear Acrylic</t>
  </si>
  <si>
    <t>4W (2 x 2W)</t>
  </si>
  <si>
    <t>2W</t>
  </si>
  <si>
    <t>145W</t>
  </si>
  <si>
    <t>100V-347VAC</t>
  </si>
  <si>
    <t>6V-12VDC</t>
  </si>
  <si>
    <t>130 lm</t>
  </si>
  <si>
    <t>65 lm/W</t>
  </si>
  <si>
    <t>260 lm (2 x 130 lm)</t>
  </si>
  <si>
    <t>cCSAus</t>
  </si>
  <si>
    <t>335 mm</t>
  </si>
  <si>
    <t>13.2"</t>
  </si>
  <si>
    <t>230 mm</t>
  </si>
  <si>
    <t>9"</t>
  </si>
  <si>
    <t>3"</t>
  </si>
  <si>
    <t>305 mm</t>
  </si>
  <si>
    <t>3.15"</t>
  </si>
  <si>
    <t>300 mm</t>
  </si>
  <si>
    <t>11.8"</t>
  </si>
  <si>
    <t>140 mm</t>
  </si>
  <si>
    <t>5.5"</t>
  </si>
  <si>
    <t>75 mm</t>
  </si>
  <si>
    <t>310 mm</t>
  </si>
  <si>
    <t>12.2"</t>
  </si>
  <si>
    <t>200 mm</t>
  </si>
  <si>
    <t>7.87"</t>
  </si>
  <si>
    <t>70 mm</t>
  </si>
  <si>
    <t>2.75"</t>
  </si>
  <si>
    <t>127 mm</t>
  </si>
  <si>
    <t>123 mm</t>
  </si>
  <si>
    <t>4.9"</t>
  </si>
  <si>
    <t>2PIN CFL PL13W</t>
  </si>
  <si>
    <t>4-PIN CFL PLC13W - Also PLC18W PLC26W</t>
  </si>
  <si>
    <t>4-PIN CFL PLC13W</t>
  </si>
  <si>
    <t>4-PIN CFL PLC26W PLC32W PLC42W</t>
  </si>
  <si>
    <t>1000 lm</t>
  </si>
  <si>
    <t>2000 lm</t>
  </si>
  <si>
    <t>DSK-5-5CCT-WH - 910</t>
  </si>
  <si>
    <t>DSK-19-5CCT-WH - 1199</t>
  </si>
  <si>
    <t>DSK-15-5CCT-WH - 169</t>
  </si>
  <si>
    <t>DSK-5-5CCT-WH - 910 - 5" Slim Flushmount - White</t>
  </si>
  <si>
    <t>DSK-15-5CCT-WH - 169 - 15" Slim Flushmount - White</t>
  </si>
  <si>
    <t>DSK-19-5CCT-WH - 1199 - 19" Slim Flushmount - White</t>
  </si>
  <si>
    <t>2650 lm</t>
  </si>
  <si>
    <t>3300 lm</t>
  </si>
  <si>
    <t>7-1/16"</t>
  </si>
  <si>
    <t>5-1/16"</t>
  </si>
  <si>
    <t>15-1/16"</t>
  </si>
  <si>
    <t>19-1/16"</t>
  </si>
  <si>
    <t>17 mm</t>
  </si>
  <si>
    <t>480 mm</t>
  </si>
  <si>
    <t xml:space="preserve">380 mm </t>
  </si>
  <si>
    <t>137 mm</t>
  </si>
  <si>
    <t>179 mm</t>
  </si>
  <si>
    <t>216 mm</t>
  </si>
  <si>
    <t>299 mm</t>
  </si>
  <si>
    <t>Black</t>
  </si>
  <si>
    <t>11-12/16"</t>
  </si>
  <si>
    <t>8.5"</t>
  </si>
  <si>
    <t>Yes - TRIAC Down to 1%</t>
  </si>
  <si>
    <t>111 mm</t>
  </si>
  <si>
    <t>161 mm</t>
  </si>
  <si>
    <t xml:space="preserve">17 mm </t>
  </si>
  <si>
    <t>Box Length (cm)</t>
  </si>
  <si>
    <t>Box Width (cm)</t>
  </si>
  <si>
    <t>Box Height (cm)</t>
  </si>
  <si>
    <t>Box CBM</t>
  </si>
  <si>
    <t>Box CFT</t>
  </si>
  <si>
    <t>Carton CFT</t>
  </si>
  <si>
    <t>CARTON CBM</t>
  </si>
  <si>
    <t>TL4-5CCT-WH-9W - 608 (Colour Selectable)</t>
  </si>
  <si>
    <t>TL4-5CCT-WH-12W - 1140 (Colour Selectable)</t>
  </si>
  <si>
    <t>36 mm</t>
  </si>
  <si>
    <t>1.38"</t>
  </si>
  <si>
    <t>125 mm (4.88")</t>
  </si>
  <si>
    <t>4" Diameter</t>
  </si>
  <si>
    <t>LED3WPUCK-3CCT BK - 823</t>
  </si>
  <si>
    <t>LED3WPUCK-3CCT SN - 824</t>
  </si>
  <si>
    <t>LED3WPUCK-3CCT WH - 825</t>
  </si>
  <si>
    <t>PUCK-TRIM BK - 743</t>
  </si>
  <si>
    <t>PUCK-TRIM SN - 744</t>
  </si>
  <si>
    <t>PUCK-TRIM WH - 745</t>
  </si>
  <si>
    <t xml:space="preserve">LED3WPUCK-3CCT BK - 823 </t>
  </si>
  <si>
    <t>4.2 W</t>
  </si>
  <si>
    <t>8.4W</t>
  </si>
  <si>
    <t>240 lm</t>
  </si>
  <si>
    <t>160 lm</t>
  </si>
  <si>
    <t>77 lm/W</t>
  </si>
  <si>
    <t>76 lm/W</t>
  </si>
  <si>
    <t>Halogen Puck</t>
  </si>
  <si>
    <t>Halogen Puck Light</t>
  </si>
  <si>
    <t>Hardwire - 4Ft Pigtail</t>
  </si>
  <si>
    <t>T5 Light Strip - 1FT</t>
  </si>
  <si>
    <t>T5 Light Strip - 12T</t>
  </si>
  <si>
    <t>120V Receptacle</t>
  </si>
  <si>
    <t>T5 Light Strip - 3FT</t>
  </si>
  <si>
    <t>1440 lm</t>
  </si>
  <si>
    <t>1760 lm</t>
  </si>
  <si>
    <t>110 lm/W</t>
  </si>
  <si>
    <t>343 mm</t>
  </si>
  <si>
    <t>604 mm</t>
  </si>
  <si>
    <t>34-1/2"</t>
  </si>
  <si>
    <t>46-7/16"</t>
  </si>
  <si>
    <t>22 mm</t>
  </si>
  <si>
    <t>42.5 mm</t>
  </si>
  <si>
    <t>9/16"</t>
  </si>
  <si>
    <t>2-3/4"</t>
  </si>
  <si>
    <t>70 mm (2-3/4")</t>
  </si>
  <si>
    <t>11 mm</t>
  </si>
  <si>
    <t>7/16"</t>
  </si>
  <si>
    <t>12 mm</t>
  </si>
  <si>
    <t>2-7/16"</t>
  </si>
  <si>
    <t>62 mm (2-7/16")</t>
  </si>
  <si>
    <t>Puck</t>
  </si>
  <si>
    <t>Mini Puck</t>
  </si>
  <si>
    <t>CL-9-PhotoPIR - 1055</t>
  </si>
  <si>
    <t>1350 lm</t>
  </si>
  <si>
    <t>226 mm</t>
  </si>
  <si>
    <t>8-5/16"</t>
  </si>
  <si>
    <t>Day/Night Photometric &amp; PIR Motion Sensor</t>
  </si>
  <si>
    <t>3 Minutes</t>
  </si>
  <si>
    <t>30 seconds</t>
  </si>
  <si>
    <t>A19 - X-Filament 27K</t>
  </si>
  <si>
    <t>A19 - X-Filament 30K</t>
  </si>
  <si>
    <t>A19 - X-Filament 40K</t>
  </si>
  <si>
    <t>A19 - X-Filament 50K</t>
  </si>
  <si>
    <t>B10 Chandelier 27K</t>
  </si>
  <si>
    <t>B10 Chandelier 30K</t>
  </si>
  <si>
    <t>B10 Chandelier 40K</t>
  </si>
  <si>
    <t>B10 Chandelier 50K</t>
  </si>
  <si>
    <t>G25 Milky / Opaque 27K</t>
  </si>
  <si>
    <t>G25 Milky / Opaque 30K</t>
  </si>
  <si>
    <t>ST19 Vintage - X Filament 22K</t>
  </si>
  <si>
    <t>ST19 Vintage - X Filament 27K</t>
  </si>
  <si>
    <t>ST19 Vintage - X Filament 30K</t>
  </si>
  <si>
    <t>ST19 Vintage - X Filament 40K</t>
  </si>
  <si>
    <t>T10 Clear 30K</t>
  </si>
  <si>
    <t>A19 5-Pack 30K</t>
  </si>
  <si>
    <t>A19 5-Pack 40K</t>
  </si>
  <si>
    <t>A19 - Enclosed &amp; Dim 27K</t>
  </si>
  <si>
    <t>A19 - Enclosed &amp; Dim 40K</t>
  </si>
  <si>
    <t>A19 - Enclosed &amp; Dim 50K</t>
  </si>
  <si>
    <t>A19 - Enclosed &amp; Dim 30K</t>
  </si>
  <si>
    <t>A19 - High Output 5CCT</t>
  </si>
  <si>
    <t>A19 - High Output 27K</t>
  </si>
  <si>
    <t>A21 - High Output 40K</t>
  </si>
  <si>
    <t>A21 - High Output 30K</t>
  </si>
  <si>
    <t>G9 3W 4100K</t>
  </si>
  <si>
    <t>G9 3W 3000K</t>
  </si>
  <si>
    <t>G9 3W 5000K</t>
  </si>
  <si>
    <t>G9 4.5W 3000K</t>
  </si>
  <si>
    <t>G9 4.5W 4000K</t>
  </si>
  <si>
    <t>GU10 27K</t>
  </si>
  <si>
    <t>GU10 30K</t>
  </si>
  <si>
    <t>GU10 40K</t>
  </si>
  <si>
    <t>PAR16 Short 30K</t>
  </si>
  <si>
    <t>PAR16 Short 40K</t>
  </si>
  <si>
    <t>PAR16 40K</t>
  </si>
  <si>
    <t>MR11 30K</t>
  </si>
  <si>
    <t>MR16 27K</t>
  </si>
  <si>
    <t>MR16 40K</t>
  </si>
  <si>
    <t>4" DPS Round Panel 5CCT</t>
  </si>
  <si>
    <t>6" Round Panel 30K</t>
  </si>
  <si>
    <t>3.5" Eyeball - 3CCT - WH</t>
  </si>
  <si>
    <t>3.5" Eyeball - 30K - WH</t>
  </si>
  <si>
    <t>3.5" Eyeball - 3CCT - BK</t>
  </si>
  <si>
    <t>3.5" Eyeball - 5CCT - WH</t>
  </si>
  <si>
    <t>4" Gimbal - 3CCT - BK</t>
  </si>
  <si>
    <t>4" Gimbal - 5CCT - BK</t>
  </si>
  <si>
    <t>4" Gimbal - 5CCT - WH</t>
  </si>
  <si>
    <t>4" Floating Gimbal 5CCT - BK</t>
  </si>
  <si>
    <t>4" Floating Gimbal 5CCT - WH</t>
  </si>
  <si>
    <t>4" Retrofit - 5CCT</t>
  </si>
  <si>
    <t>5" / 6" Retrofit - 5CCT</t>
  </si>
  <si>
    <t>PL 13W 2-PIN Replacement 4CCT</t>
  </si>
  <si>
    <t>PLC 13W 4-PIN Replacement 5CCT</t>
  </si>
  <si>
    <t>PLC 13W 4-PIN Replacement 30K</t>
  </si>
  <si>
    <t>PLC 13W 4-PIN Replacement 40K</t>
  </si>
  <si>
    <t>PLC 26W 32W 42W 4-PIN Replacement 40K</t>
  </si>
  <si>
    <t>PLC 26W 32W 42W 4-PIN Replacement 30K</t>
  </si>
  <si>
    <t>T8 Plug &amp; Play 40K</t>
  </si>
  <si>
    <t>T8 Plug &amp; Play 35K</t>
  </si>
  <si>
    <t>T8 Plug &amp; Play 50K</t>
  </si>
  <si>
    <t>T8 Hybrid 40K</t>
  </si>
  <si>
    <t>T8 Hybrid 50K</t>
  </si>
  <si>
    <t>T8 - 347V 40K</t>
  </si>
  <si>
    <t>T5HO 40K</t>
  </si>
  <si>
    <t>T5HO 50K</t>
  </si>
  <si>
    <t>Panel Light 12V 30K</t>
  </si>
  <si>
    <t>78 mm 120V 150W</t>
  </si>
  <si>
    <t>118 mm 120V 100W</t>
  </si>
  <si>
    <t>118 mm 120V 150W</t>
  </si>
  <si>
    <t>118 mm 120V 200W</t>
  </si>
  <si>
    <t>118 mm 120V 300W</t>
  </si>
  <si>
    <t>78 mm 130V 150W</t>
  </si>
  <si>
    <t>78 mm 130V 200W</t>
  </si>
  <si>
    <t>78 mm 130V 250W</t>
  </si>
  <si>
    <t>118 mm 130V 150W</t>
  </si>
  <si>
    <t>118 mm 130V 100W</t>
  </si>
  <si>
    <t>118 mm 130V 300W</t>
  </si>
  <si>
    <t>189 mm 130V 1000W</t>
  </si>
  <si>
    <t>254 mm 130V 1000W</t>
  </si>
  <si>
    <t>118 mm 240V 500W</t>
  </si>
  <si>
    <t>189 mm 240V 1000W</t>
  </si>
  <si>
    <t>254 mm 240V 1000W</t>
  </si>
  <si>
    <t>254 mm 240V 1500W</t>
  </si>
  <si>
    <t>G9 25W Frosted</t>
  </si>
  <si>
    <t>G9 75W</t>
  </si>
  <si>
    <t>G9 60W Frosted XENON</t>
  </si>
  <si>
    <t>G8 20W</t>
  </si>
  <si>
    <t>G8 50W</t>
  </si>
  <si>
    <t>G6.35 35W</t>
  </si>
  <si>
    <t>G6.35 50W</t>
  </si>
  <si>
    <t>G6.35 75W</t>
  </si>
  <si>
    <t>G6.35 100W</t>
  </si>
  <si>
    <t>E11 Minican 75W</t>
  </si>
  <si>
    <t>E11 Minican 150W</t>
  </si>
  <si>
    <t>E11 Minican 250W</t>
  </si>
  <si>
    <t>50W BA15d Double Contact Bayonet</t>
  </si>
  <si>
    <t>75W BA15d Double Contact Bayonet</t>
  </si>
  <si>
    <t>100W BA15d Double Contact Bayonet</t>
  </si>
  <si>
    <t>150W BA15d Double Contact Bayonet</t>
  </si>
  <si>
    <t>250W BA15d Double Contact Bayonet</t>
  </si>
  <si>
    <t>JDD Type - CLEAR - 200W</t>
  </si>
  <si>
    <t>JDD Type - FROSTED - 75W</t>
  </si>
  <si>
    <t>JDD Type - FROSTED - 200W</t>
  </si>
  <si>
    <t>CFL - Super Mini Spiral 27K</t>
  </si>
  <si>
    <t>CFL - Super Mini Spiral 41K</t>
  </si>
  <si>
    <t>PAR20 CFL 27K</t>
  </si>
  <si>
    <t>PAR30L CFL 27K</t>
  </si>
  <si>
    <t>PL-7W 3500K</t>
  </si>
  <si>
    <t>PL-5W 3500K</t>
  </si>
  <si>
    <t>PL-5W 2700K</t>
  </si>
  <si>
    <t>PL-9W 3500K</t>
  </si>
  <si>
    <t>PLC-9W 2700K</t>
  </si>
  <si>
    <t>PLC-9W 3500K</t>
  </si>
  <si>
    <t>PLC-9W 4100K</t>
  </si>
  <si>
    <t>PLC-26W 2700K</t>
  </si>
  <si>
    <t>PLC-26W 3500K</t>
  </si>
  <si>
    <t>PLC-10W 2700K</t>
  </si>
  <si>
    <t>PLT-26W 2700K</t>
  </si>
  <si>
    <t>PLT-26W 3500K</t>
  </si>
  <si>
    <t>PLT-26W 4100K</t>
  </si>
  <si>
    <t>PLT-32W 3500K</t>
  </si>
  <si>
    <t>PLT-32W 4100K</t>
  </si>
  <si>
    <t>PLT-42W 4100K</t>
  </si>
  <si>
    <t>F21 T5 4100K</t>
  </si>
  <si>
    <t>F28 T5 4100K</t>
  </si>
  <si>
    <t>F32 T8 28W 5000K</t>
  </si>
  <si>
    <t>A15 Frosted 30K</t>
  </si>
  <si>
    <t>A19 - Curved Filament 30K</t>
  </si>
  <si>
    <t>A19 - White Filament 30K</t>
  </si>
  <si>
    <t>A19 - X-Filament - High Output 30K</t>
  </si>
  <si>
    <t>A19 - Milky / Opaque 30K</t>
  </si>
  <si>
    <t>B10 Chandelier - White Filament 30K</t>
  </si>
  <si>
    <t>G16 Milky / Opaque - E12 30K</t>
  </si>
  <si>
    <t>G16 Clear 30K - E12</t>
  </si>
  <si>
    <t xml:space="preserve">G16 Clear 30K - E26 </t>
  </si>
  <si>
    <t>G25 Clear 30K</t>
  </si>
  <si>
    <t>S14 27K</t>
  </si>
  <si>
    <t>ST19 Vintage Amber 22K</t>
  </si>
  <si>
    <t>ST19 Vintage - White Filament 30K</t>
  </si>
  <si>
    <t>ST19 Vintage - Curved Filament 30K</t>
  </si>
  <si>
    <t>T25 Clear 30K</t>
  </si>
  <si>
    <t>T25 Milky / Opaque 30K</t>
  </si>
  <si>
    <t>T30 Vintage 27K</t>
  </si>
  <si>
    <t>A15 30K</t>
  </si>
  <si>
    <t>E11 Mini-Can 30K</t>
  </si>
  <si>
    <t xml:space="preserve">G4 12V Bi-pin 30K </t>
  </si>
  <si>
    <t>78mm J-Type Small 30K</t>
  </si>
  <si>
    <t>78mm J-Type Small 40K</t>
  </si>
  <si>
    <t>78mm J-Type 30K</t>
  </si>
  <si>
    <t>78mm J-Type41K</t>
  </si>
  <si>
    <t>118mm J-Type 30K</t>
  </si>
  <si>
    <t>118mm J-Type 40K</t>
  </si>
  <si>
    <t>CL-TBBG-15-5CCT - 601</t>
  </si>
  <si>
    <t>CL-TBWB-15-5CCT - 602</t>
  </si>
  <si>
    <t>CL-TBWG-15-5CCT - 603</t>
  </si>
  <si>
    <t>2001 lm</t>
  </si>
  <si>
    <t>2002 lm</t>
  </si>
  <si>
    <t>71.4 lm/W</t>
  </si>
  <si>
    <t>5CCT - 2700K / 3000K / 4000K / 5000K / 6500K</t>
  </si>
  <si>
    <t>378 mm</t>
  </si>
  <si>
    <t>15"</t>
  </si>
  <si>
    <t>378 mm / 15"</t>
  </si>
  <si>
    <t>74 mm</t>
  </si>
  <si>
    <t>2-7/8"</t>
  </si>
  <si>
    <t>Gold Black</t>
  </si>
  <si>
    <t>Black White</t>
  </si>
  <si>
    <t>Gold White</t>
  </si>
  <si>
    <t>LED 3W MR11 - 1116</t>
  </si>
  <si>
    <t>LED5WPar20-5CCT - 1217</t>
  </si>
  <si>
    <t>LED9WPar30L-5CCT - 1218</t>
  </si>
  <si>
    <t>LED9WPar30S-5CCT 1219</t>
  </si>
  <si>
    <t>4" Eyeball - 3CCT - WH</t>
  </si>
  <si>
    <t>RG-4-5CCT-WH (Colour Selectable) - 1125</t>
  </si>
  <si>
    <t>DGIM-4-5CCT-BK (Colour Selectable) - 1155</t>
  </si>
  <si>
    <t>DGIM-4-5CCT-WH (Colour Selectable) - 1154</t>
  </si>
  <si>
    <t>RG-4-30K-WH - 1102</t>
  </si>
  <si>
    <t>TL4-5CCT-BK 12W - 1141 (Colour Selectable)</t>
  </si>
  <si>
    <t>RIP-35   -  3.5" Rough-In Plate - 1079</t>
  </si>
  <si>
    <t>MainCategory</t>
  </si>
  <si>
    <t>SubCategory1</t>
  </si>
  <si>
    <t>SubCategory2</t>
  </si>
  <si>
    <t>category</t>
  </si>
  <si>
    <t>menu_order</t>
  </si>
  <si>
    <t>SKU:sku</t>
  </si>
  <si>
    <t>Price: regular_price</t>
  </si>
  <si>
    <t>post_title</t>
  </si>
  <si>
    <t>post_content</t>
  </si>
  <si>
    <t>Images/Gallery</t>
  </si>
  <si>
    <t>product_type</t>
  </si>
  <si>
    <t>product_visibility</t>
  </si>
  <si>
    <t>Inventory: stock</t>
  </si>
  <si>
    <t>LED9WA19-5CCT - 1216</t>
  </si>
  <si>
    <t>LED20WA21-EC 40K - 1161</t>
  </si>
  <si>
    <t>LED4.5WG9-DIM 30K - 1179</t>
  </si>
  <si>
    <t>LED4.5WG9-DIM 40K - 1180</t>
  </si>
  <si>
    <t xml:space="preserve">LED 6.5W Par16 4000K - 861 </t>
  </si>
  <si>
    <t>LED 6.5W Par16 4000K - 861</t>
  </si>
  <si>
    <t>DP4-5CCT - 5CCT - 1100</t>
  </si>
  <si>
    <t>DP4-FR-5CCT - 1123</t>
  </si>
  <si>
    <t>DP6-30K - 1099</t>
  </si>
  <si>
    <t>DP6-FR-5CCT 1124</t>
  </si>
  <si>
    <t>DGIM-4-5CCT-BK - 1155</t>
  </si>
  <si>
    <t>DGIM-4-5CCT-WH - 1154</t>
  </si>
  <si>
    <t>RG-4-5CCT-WH - 1125</t>
  </si>
  <si>
    <t>TL4-5CCT-WH-9W - 608</t>
  </si>
  <si>
    <t>TL4-5CCT-BK-12W - 1141</t>
  </si>
  <si>
    <t>TL4-5CCT-WH-12W - 1140</t>
  </si>
  <si>
    <t>RIP-35 - 1079</t>
  </si>
  <si>
    <t>LED7WRT4-5CCT - 1106</t>
  </si>
  <si>
    <t>LED11WT8-CM 35K - 1209</t>
  </si>
  <si>
    <t>LED11WT8-CM 40K - 1210</t>
  </si>
  <si>
    <t>LED11WT8-CM 50K - 1211</t>
  </si>
  <si>
    <t>LED14WT8-HY 40K - 1014</t>
  </si>
  <si>
    <t>LED14WT8-HY 50K - 1015</t>
  </si>
  <si>
    <t>LED14WT8-347V 40K - 1073</t>
  </si>
  <si>
    <t>LED25WT5 840 COMP - 943</t>
  </si>
  <si>
    <t>LED25WT5 850 COMP - 955</t>
  </si>
  <si>
    <t>RL-COB-6LE - 1145</t>
  </si>
  <si>
    <t>RL-COB-12EX - 1146</t>
  </si>
  <si>
    <t>RL-COB-RWC - 1144</t>
  </si>
  <si>
    <t>RL-COB-20FTWires - 1147</t>
  </si>
  <si>
    <t>RL-COB-IC - 1143</t>
  </si>
  <si>
    <t>RL-COB-LC - 1142</t>
  </si>
  <si>
    <t>RL-COB-TC - 1139</t>
  </si>
  <si>
    <t>PS120W-ETL-DIM - 1135</t>
  </si>
  <si>
    <t>PS40W-24V - 1148</t>
  </si>
  <si>
    <t>PS60W-24V - 1149</t>
  </si>
  <si>
    <t>PS80W-24V - 1150</t>
  </si>
  <si>
    <t>PS100W-24V - 1151</t>
  </si>
  <si>
    <t>PS150W-24V - 1152</t>
  </si>
  <si>
    <t>PS100W-MC-24V - 1103</t>
  </si>
  <si>
    <t>TP-FL30-G3T-R5 - 988</t>
  </si>
  <si>
    <t>TP-FL30-G3T-R5 - 988 - CLEARANCE - LED Flood 30W - Yoke / Trunnion Mount</t>
  </si>
  <si>
    <t>WP145W50KBZ-347V - 895</t>
  </si>
  <si>
    <t>IGLOO MR16 50W EXN+C - 412</t>
  </si>
  <si>
    <t>DAYLIGHT MR16 50W EXN+C  - 459</t>
  </si>
  <si>
    <t>DAYLIGHT MR16 50W EXZ+C - 460</t>
  </si>
  <si>
    <t>Model</t>
  </si>
  <si>
    <t>159 mm (6-1/4")</t>
  </si>
  <si>
    <t>159 mm</t>
  </si>
  <si>
    <t>Inside Diameter</t>
  </si>
  <si>
    <t>Outside Diameter</t>
  </si>
  <si>
    <t>Driver Dimensions (mm)</t>
  </si>
  <si>
    <t>DriverDimensions (Inches)</t>
  </si>
  <si>
    <t>2-HR Fire Rating Compliance</t>
  </si>
  <si>
    <t>Outer Carton Qty</t>
  </si>
  <si>
    <t>Inner Carton Qty</t>
  </si>
  <si>
    <t>4.3"</t>
  </si>
  <si>
    <t>1.8"</t>
  </si>
  <si>
    <t>3FT Spacing</t>
  </si>
  <si>
    <t>15 meters</t>
  </si>
  <si>
    <t>48 Feet</t>
  </si>
  <si>
    <t>Max 36 Sets</t>
  </si>
  <si>
    <t>IP65 Indoor / Outdoor</t>
  </si>
  <si>
    <t>LED7WBR30-5CCT - 1121</t>
  </si>
  <si>
    <t>Height</t>
  </si>
  <si>
    <t>Length</t>
  </si>
  <si>
    <t>Diameter</t>
  </si>
  <si>
    <t>Spec Sheet Link</t>
  </si>
  <si>
    <t>L70 Rated Life (Hrs)</t>
  </si>
  <si>
    <t>850 lm</t>
  </si>
  <si>
    <t>94.4 lm/W</t>
  </si>
  <si>
    <t>92.9 lm/W</t>
  </si>
  <si>
    <t>90°</t>
  </si>
  <si>
    <t>-30°C to 40°C</t>
  </si>
  <si>
    <t>Damp Location, Type IC Rated</t>
  </si>
  <si>
    <t>Wet Location, Type IC Rated</t>
  </si>
  <si>
    <t>cuL Classified</t>
  </si>
  <si>
    <t>Yes 0-10V Dimming - down to 5%</t>
  </si>
  <si>
    <t>128 mm (5-3/64")</t>
  </si>
  <si>
    <t>210 mm (8-1/4")</t>
  </si>
  <si>
    <t>185 mm</t>
  </si>
  <si>
    <t>185 mm (7-5/16")</t>
  </si>
  <si>
    <t>7-5/16"</t>
  </si>
  <si>
    <t>1-1/2"</t>
  </si>
  <si>
    <t>Hardwpre</t>
  </si>
  <si>
    <t>11" Mushroom 5CCT</t>
  </si>
  <si>
    <t>CL-11-5CCT - 1205</t>
  </si>
  <si>
    <t>3-5/6"</t>
  </si>
  <si>
    <t>11"</t>
  </si>
  <si>
    <t>LED6.5WMR16-ED 30K - 1193</t>
  </si>
  <si>
    <t xml:space="preserve">MR16 30K </t>
  </si>
  <si>
    <t>LED6.5WMR16-ED 27K- 858</t>
  </si>
  <si>
    <t>Spec Sheet Link Text</t>
  </si>
  <si>
    <t>J-Type Linear</t>
  </si>
  <si>
    <t>LED 5.5W ST19-X 22K - 1166 (Coming Soon)</t>
  </si>
  <si>
    <t>A-Type</t>
  </si>
  <si>
    <t>Candle</t>
  </si>
  <si>
    <t>Globe</t>
  </si>
  <si>
    <t>Vintage</t>
  </si>
  <si>
    <t>T-Type</t>
  </si>
  <si>
    <t>Miniature</t>
  </si>
  <si>
    <t>PAR</t>
  </si>
  <si>
    <t>BR</t>
  </si>
  <si>
    <t>Panels</t>
  </si>
  <si>
    <t>Gimbal</t>
  </si>
  <si>
    <t>Eyeball</t>
  </si>
  <si>
    <t>Retrofit</t>
  </si>
  <si>
    <t>Accessories</t>
  </si>
  <si>
    <t>Disks</t>
  </si>
  <si>
    <t>2-Ring</t>
  </si>
  <si>
    <t>12" 2-Ring - Brushed Nickel</t>
  </si>
  <si>
    <t>12" 2-Ring - Black</t>
  </si>
  <si>
    <t>16" 2-Ring - Brushed Nickel</t>
  </si>
  <si>
    <t>16" 2-Ring - Black</t>
  </si>
  <si>
    <t>Helen</t>
  </si>
  <si>
    <t>Mushroom</t>
  </si>
  <si>
    <t>Sensor</t>
  </si>
  <si>
    <t>12" DS Series - Black</t>
  </si>
  <si>
    <t>15" DS Series - White</t>
  </si>
  <si>
    <t>15" DS Series - Black</t>
  </si>
  <si>
    <t>5" DSK Series - White</t>
  </si>
  <si>
    <t>7" DSK Series - Black</t>
  </si>
  <si>
    <t>7" DSK Series - White</t>
  </si>
  <si>
    <t>9" DSK Series - Black</t>
  </si>
  <si>
    <t>9" DSK Series - White</t>
  </si>
  <si>
    <t>12" DSK Series - Black</t>
  </si>
  <si>
    <t>12" DSK Series - White</t>
  </si>
  <si>
    <t>15" DSK Series - White</t>
  </si>
  <si>
    <t>19" DSK Series - White</t>
  </si>
  <si>
    <t>4" Square DSQ Series</t>
  </si>
  <si>
    <t>6" Square DSQ Series</t>
  </si>
  <si>
    <t>Square</t>
  </si>
  <si>
    <t>4" DPS Series - 5CCT</t>
  </si>
  <si>
    <t>4" DPM Series - 5CCT</t>
  </si>
  <si>
    <t>15" Helen Series (Gold Black)</t>
  </si>
  <si>
    <t>15" Helen Series (Gold White)</t>
  </si>
  <si>
    <t>15" Helen Series (Black White)</t>
  </si>
  <si>
    <t>DPS-4 Trim - Black</t>
  </si>
  <si>
    <t>DPS-4 Trim - Brushed Nickel</t>
  </si>
  <si>
    <t>DPS-4 Retrofit Accessory</t>
  </si>
  <si>
    <t>DPM-4 Trim - Black</t>
  </si>
  <si>
    <t>DPM-4 Trim - Brushed Nickel</t>
  </si>
  <si>
    <t>9" 5CCT Motion PhotoPIR Disk</t>
  </si>
  <si>
    <t>Bulbs</t>
  </si>
  <si>
    <t>Recessed</t>
  </si>
  <si>
    <t>Flush Mounts</t>
  </si>
  <si>
    <t>Under Cabinet</t>
  </si>
  <si>
    <t>Pucks</t>
  </si>
  <si>
    <t>Linear</t>
  </si>
  <si>
    <t>T5Bar Series 5CCT - 36"</t>
  </si>
  <si>
    <t>T5Bar Series 5CCT - 24"</t>
  </si>
  <si>
    <t>T5Bar Series 5CCT - 11"</t>
  </si>
  <si>
    <t>T5DL Series - 3FT</t>
  </si>
  <si>
    <t>LS Series - 1FT</t>
  </si>
  <si>
    <t>LS Series - 2FT</t>
  </si>
  <si>
    <t>T5DL Series - 4FT</t>
  </si>
  <si>
    <t>T5DL Series - Link Cable - 1M</t>
  </si>
  <si>
    <t>T5DL Series - Junction Box</t>
  </si>
  <si>
    <t>T5DL Series- Plug - 2M</t>
  </si>
  <si>
    <t>LSH Series - Plug - 2M</t>
  </si>
  <si>
    <t>LS Series - Link Cable - 6-Inch</t>
  </si>
  <si>
    <t>LS Series - Link Cable - 12-Inch</t>
  </si>
  <si>
    <t xml:space="preserve">T5Bar - JBox </t>
  </si>
  <si>
    <t>T5Bar Series -  5CCT - 48"</t>
  </si>
  <si>
    <t>Puck Surface Mount TRIM - Black</t>
  </si>
  <si>
    <t>Puck Surface Mount TRIM - Satin Nickel</t>
  </si>
  <si>
    <t>Puck Surface Mount TRIM - White</t>
  </si>
  <si>
    <t>Puck Light - 3CCT - Black</t>
  </si>
  <si>
    <t>Puck Light - 3CCT - Satin Nickel</t>
  </si>
  <si>
    <t>Puck Light - 3CCT - White</t>
  </si>
  <si>
    <t>Puck Light 30K</t>
  </si>
  <si>
    <t>Puck Light 30K Surface Mount Ring</t>
  </si>
  <si>
    <t>Panel</t>
  </si>
  <si>
    <t>Ribbon &amp; Accessories</t>
  </si>
  <si>
    <t>24V Ribbon 30K Reel</t>
  </si>
  <si>
    <t>24V Ribbon 40K Reel</t>
  </si>
  <si>
    <t>120V Step Light - Black</t>
  </si>
  <si>
    <t>120V Step Light - Brushed Nickel</t>
  </si>
  <si>
    <t>120V Step Light - White</t>
  </si>
  <si>
    <t>S14 String Lights</t>
  </si>
  <si>
    <t>PL &amp; PLC</t>
  </si>
  <si>
    <t xml:space="preserve">PLC 13W 4-PIN </t>
  </si>
  <si>
    <t xml:space="preserve">PLC 26W 32W 42W 4-PIN </t>
  </si>
  <si>
    <t>Tubes</t>
  </si>
  <si>
    <t>T8 Compatible (Type A)</t>
  </si>
  <si>
    <t>T8 Ballast Bypass 347V (Type B)</t>
  </si>
  <si>
    <t>T5 Compatible (Type A)</t>
  </si>
  <si>
    <t>T8 Hybrid (Type A &amp; Type B)</t>
  </si>
  <si>
    <t>Strip Light 120V-347V</t>
  </si>
  <si>
    <t>6" Recessed Downlight - Field Adjustable</t>
  </si>
  <si>
    <t>Flood Light - Trunion</t>
  </si>
  <si>
    <t>Wall Pack</t>
  </si>
  <si>
    <t>Halogen</t>
  </si>
  <si>
    <t>Emergency Lights</t>
  </si>
  <si>
    <t>Emergency &amp; EXIT</t>
  </si>
  <si>
    <t>EXIT Lights</t>
  </si>
  <si>
    <t>Fluorescent Tubes</t>
  </si>
  <si>
    <t>Mini Step Lights</t>
  </si>
  <si>
    <t xml:space="preserve">PL 13W 2-PIN </t>
  </si>
  <si>
    <t>PLC 26W 32W 42W 4-PIN</t>
  </si>
  <si>
    <t>12W Dimmable LED Driver</t>
  </si>
  <si>
    <t>18W Dimmable LED Driver</t>
  </si>
  <si>
    <t>36W Dimmable LED Driver</t>
  </si>
  <si>
    <t>54W Dimmable LED Driver</t>
  </si>
  <si>
    <t>84W Dimmable LED Driver</t>
  </si>
  <si>
    <t>120W Dimmable LED Driver</t>
  </si>
  <si>
    <t>18W Metal JBox Dimmable LED Driver</t>
  </si>
  <si>
    <t>40W Metal JBox Dimmable LED Driver</t>
  </si>
  <si>
    <t>100W LED Driver</t>
  </si>
  <si>
    <t>102W Metal Chassis LED Driver</t>
  </si>
  <si>
    <t>150W Metal Chassis LED Driver</t>
  </si>
  <si>
    <t>36W LED Driver - Plug</t>
  </si>
  <si>
    <t>72W LED Driver - Plug</t>
  </si>
  <si>
    <t>38.4W Dimmable LED Driver</t>
  </si>
  <si>
    <t xml:space="preserve"> 60W Dimmable LED Driver</t>
  </si>
  <si>
    <t>79W Dimmable LED Driver</t>
  </si>
  <si>
    <t>100.8W Dimmable LED Driver</t>
  </si>
  <si>
    <t>150W Dimmable LED Driver</t>
  </si>
  <si>
    <t>108W LED Driver</t>
  </si>
  <si>
    <t>Bulbs&gt;A-Type&gt;A15 Frosted 30K</t>
  </si>
  <si>
    <t>https://6dywl8dmjehpqrx0.public.blob.vercel-storage.com/2017/02/CNA-LED4.5WA15-FR-27K-500x500.png</t>
  </si>
  <si>
    <t>https://6dywl8dmjehpqrx0.public.blob.vercel-storage.com/2025/04/1171-CNA-LED5.5WA19-R-30K-Spec-Sheet.pdf</t>
  </si>
  <si>
    <t>Bulbs&gt;A-Type&gt;A15 30K</t>
  </si>
  <si>
    <t>https://6dywl8dmjehpqrx0.public.blob.vercel-storage.com/2023/05/1117-CNA-LED6WA15NDS-30K-600x600-1.png</t>
  </si>
  <si>
    <t>https://6dywl8dmjehpqrx0.public.blob.vercel-storage.com/2023/05/1117-CNA-LED6WA15NDS-30K-Spec-Sheet.pdf</t>
  </si>
  <si>
    <t>Bulbs&gt;A-Type&gt;A19 - Curved Filament 30K</t>
  </si>
  <si>
    <t>https://6dywl8dmjehpqrx0.public.blob.vercel-storage.com/2025/04/1171-LED-5.5W-A19-R-30K-600x600-2.png</t>
  </si>
  <si>
    <t>Bulbs&gt;A-Type&gt;A19 - White Filament 30K</t>
  </si>
  <si>
    <t>https://6dywl8dmjehpqrx0.public.blob.vercel-storage.com/2026/01/1196-CNA-LED6.5WA19-WH-30K-600x600-1.png</t>
  </si>
  <si>
    <t>https://6dywl8dmjehpqrx0.public.blob.vercel-storage.com/2026/01/1196-CNA-LED6.5WA19-WH-30K-Spec-Sheet.pdf</t>
  </si>
  <si>
    <t>Bulbs&gt;A-Type&gt;A19 - X-Filament 27K</t>
  </si>
  <si>
    <t>https://6dywl8dmjehpqrx0.public.blob.vercel-storage.com/2025/05/1170-1173-1174-1175-LED-7.6W-A19-X-xxK-600x600-1.png</t>
  </si>
  <si>
    <t>https://6dywl8dmjehpqrx0.public.blob.vercel-storage.com/2025/09/1170-1173-1174-1175-CNA-LED7.6WA19-X-xxK-Spec-Sheet.pdf</t>
  </si>
  <si>
    <t>Bulbs&gt;A-Type&gt;A19 - X-Filament 30K</t>
  </si>
  <si>
    <t>Bulbs&gt;A-Type&gt;A19 - X-Filament 40K</t>
  </si>
  <si>
    <t>Bulbs&gt;A-Type&gt;A19 - X-Filament 50K</t>
  </si>
  <si>
    <t>Bulbs&gt;A-Type&gt;A19 - Milky / Opaque 30K</t>
  </si>
  <si>
    <t>https://6dywl8dmjehpqrx0.public.blob.vercel-storage.com/2025/07/1105-CNA-LED7.6WA19-ML-30K-600x600-1.png</t>
  </si>
  <si>
    <t>https://6dywl8dmjehpqrx0.public.blob.vercel-storage.com/2025/07/1105-CNA-LED7.6WA19-ML-30K-Spec-Sheet.pdf</t>
  </si>
  <si>
    <t>Bulbs&gt;A-Type&gt;A19 5-Pack 30K</t>
  </si>
  <si>
    <t>https://6dywl8dmjehpqrx0.public.blob.vercel-storage.com/2018/02/CNA-LED9WA19NDS-5PK-500X500.png</t>
  </si>
  <si>
    <t>https://6dywl8dmjehpqrx0.public.blob.vercel-storage.com/2018/10/CNA-LED9WA19NDS-XXK-5PK-Spec-Sheet.pdf</t>
  </si>
  <si>
    <t>Bulbs&gt;A-Type&gt;A19 5-Pack 40K</t>
  </si>
  <si>
    <t>https://6dywl8dmjehpqrx0.public.blob.vercel-storage.com/2017/01/CNA-LED9WA19ND-30K-5pk-500x500.png</t>
  </si>
  <si>
    <t>Bulbs&gt;A-Type&gt;A19 - 5CCT</t>
  </si>
  <si>
    <t>https://6dywl8dmjehpqrx0.public.blob.vercel-storage.com/2024/12/1216-CNA-LED9WA19-5CCT-622x622-1.png</t>
  </si>
  <si>
    <t>https://6dywl8dmjehpqrx0.public.blob.vercel-storage.com/2024/12/1216-CNA-LED9WA19-5CCT-Spec-Sheet.pdf</t>
  </si>
  <si>
    <t>Bulbs&gt;A-Type&gt;A19 - Enclosed &amp; Dim 27K</t>
  </si>
  <si>
    <t>https://6dywl8dmjehpqrx0.public.blob.vercel-storage.com/2018/01/CNA-LED9WA19-EC_500x500.png</t>
  </si>
  <si>
    <t>https://6dywl8dmjehpqrx0.public.blob.vercel-storage.com/2018/01/CNA-LED9WA19-EC-Spec-Sheet.pdf</t>
  </si>
  <si>
    <t>Bulbs&gt;A-Type&gt;A19 - Enclosed &amp; Dim 40K</t>
  </si>
  <si>
    <t>Bulbs&gt;A-Type&gt;A19 - Enclosed &amp; Dim 50K</t>
  </si>
  <si>
    <t>Bulbs&gt;A-Type&gt;A19 - Enclosed &amp; Dim 30K</t>
  </si>
  <si>
    <t>https://6dywl8dmjehpqrx0.public.blob.vercel-storage.com/2026/05/1192-CNA-LED9WA19-ED-30K-600x600-1.png</t>
  </si>
  <si>
    <t>https://6dywl8dmjehpqrx0.public.blob.vercel-storage.com/2026/05/1192-CNA-LED9WA19-ED-30K-Spec-Sheet.pdf</t>
  </si>
  <si>
    <t>Bulbs&gt;A-Type&gt;A19 - X-Filament - High Output 30K</t>
  </si>
  <si>
    <t>https://6dywl8dmjehpqrx0.public.blob.vercel-storage.com/2025/08/1190-CNA-LED12.5WA19-X-30K-600x600-1.png</t>
  </si>
  <si>
    <t>https://6dywl8dmjehpqrx0.public.blob.vercel-storage.com/2025/08/1190-CNA-LED12.5WA19-X-30K.pdf</t>
  </si>
  <si>
    <t>Bulbs&gt;A-Type&gt;A19 - High Output 5CCT</t>
  </si>
  <si>
    <t>https://6dywl8dmjehpqrx0.public.blob.vercel-storage.com/2025/07/1187-CNA-LED14WA19-5CCT-622x622-1.png</t>
  </si>
  <si>
    <t>https://6dywl8dmjehpqrx0.public.blob.vercel-storage.com/2025/07/1187-CNA-LED14WA19-5CCT-Spec-Sheet.pdf</t>
  </si>
  <si>
    <t>Bulbs&gt;A-Type&gt;A19 - High Output 27K</t>
  </si>
  <si>
    <t>https://6dywl8dmjehpqrx0.public.blob.vercel-storage.com/2019/12/CNA-LED14WA19-652x652.png</t>
  </si>
  <si>
    <t>https://6dywl8dmjehpqrx0.public.blob.vercel-storage.com/2019/12/CNA-LED14WA19-Spec-Sheet.pdf</t>
  </si>
  <si>
    <t>Bulbs&gt;A-Type&gt;A21 - High Output 40K</t>
  </si>
  <si>
    <t>https://6dywl8dmjehpqrx0.public.blob.vercel-storage.com/2025/03/1161-CNA-LED20WA21-EC-40K-640x640-1.png</t>
  </si>
  <si>
    <t>https://6dywl8dmjehpqrx0.public.blob.vercel-storage.com/2025/03/1161-CNA-LED20WA21-EC-XXK-Spec-Sheet.pdf</t>
  </si>
  <si>
    <t>Bulbs&gt;A-Type&gt;A21 - High Output 30K</t>
  </si>
  <si>
    <t>https://6dywl8dmjehpqrx0.public.blob.vercel-storage.com/2020/07/CNA-LED24WA21-EC-XXK-600x600-1.png</t>
  </si>
  <si>
    <t>https://6dywl8dmjehpqrx0.public.blob.vercel-storage.com/2020/07/CNA-LED24WA21-EC-XXK-Spec-Sheet.pdf</t>
  </si>
  <si>
    <t>Bulbs&gt;Candle&gt;B10 Chandelier 27K</t>
  </si>
  <si>
    <t>https://6dywl8dmjehpqrx0.public.blob.vercel-storage.com/2025/04/1162-1163-1164-1165-LED-5.2W-B10-X-xxK-600x600-1.png</t>
  </si>
  <si>
    <t>https://6dywl8dmjehpqrx0.public.blob.vercel-storage.com/2025/04/1162-1163-1164-1165-CNA-LED5.2WB10-X-xxK-Spec-Sheet.pdf</t>
  </si>
  <si>
    <t>Bulbs&gt;Candle&gt;B10 Chandelier 30K</t>
  </si>
  <si>
    <t>Bulbs&gt;Candle&gt;B10 Chandelier 40K</t>
  </si>
  <si>
    <t>Bulbs&gt;Candle&gt;B10 Chandelier 50K</t>
  </si>
  <si>
    <t>Bulbs&gt;Candle&gt;B10 Chandelier - White Filament 30K</t>
  </si>
  <si>
    <t>https://6dywl8dmjehpqrx0.public.blob.vercel-storage.com/2026/01/1195-CNA-LED5.5WB10-WH-30K-600x600-1.png</t>
  </si>
  <si>
    <t>https://6dywl8dmjehpqrx0.public.blob.vercel-storage.com/2026/01/1195-CNA-LED5.5WB10-WH-30K-Spec-Sheet.pdf</t>
  </si>
  <si>
    <t>Bulbs&gt;Globe&gt;G16 Clear 30K - E12</t>
  </si>
  <si>
    <t>https://6dywl8dmjehpqrx0.public.blob.vercel-storage.com/2023/10/1118-CNA-LED5.5WG16-CL-30K-500x500-1.png</t>
  </si>
  <si>
    <t>https://6dywl8dmjehpqrx0.public.blob.vercel-storage.com/2023/10/1118-CNA-LED5.5WG16-CL-30K-Spec-Sheet.pdf</t>
  </si>
  <si>
    <t>Bulbs&gt;Globe&gt;G16 Milky / Opaque - E12 30K</t>
  </si>
  <si>
    <t>https://6dywl8dmjehpqrx0.public.blob.vercel-storage.com/2023/10/1119-CNA-LED5.5WG16-ML-30K-600x600-1.png</t>
  </si>
  <si>
    <t>https://6dywl8dmjehpqrx0.public.blob.vercel-storage.com/2023/10/1119-CNA-LED5.5WG16-ML-30K-Spec-Sheet-0.pdf</t>
  </si>
  <si>
    <t xml:space="preserve">Bulbs&gt;Globe&gt;G16 Clear 30K - E26 </t>
  </si>
  <si>
    <t>https://6dywl8dmjehpqrx0.public.blob.vercel-storage.com/2024/10/1213-CNA-LED5.5WG16-CL-30K-E26-600x600-1.png</t>
  </si>
  <si>
    <t>https://6dywl8dmjehpqrx0.public.blob.vercel-storage.com/2024/10/1213-CNA-LED5.5WG16-CL-30K-E26-Spec-Sheet.pdf</t>
  </si>
  <si>
    <t>Bulbs&gt;Globe&gt;G25 Clear 30K</t>
  </si>
  <si>
    <t>https://6dywl8dmjehpqrx0.public.blob.vercel-storage.com/2024/01/814-CNA-LED5WG25-CL-30K-600x600-1.png</t>
  </si>
  <si>
    <t>https://6dywl8dmjehpqrx0.public.blob.vercel-storage.com/2024/01/814-CNA-LED5WG25-CL-30K-Spec-Sheet.pdf</t>
  </si>
  <si>
    <t>Bulbs&gt;Globe&gt;G25 Milky / Opaque 27K</t>
  </si>
  <si>
    <t>https://6dywl8dmjehpqrx0.public.blob.vercel-storage.com/2024/01/1120-1127-CNA-LED5WG25-ML-570x570-1.png</t>
  </si>
  <si>
    <t>https://6dywl8dmjehpqrx0.public.blob.vercel-storage.com/1127-CNA-LED5WG25-ML-27K-Spec-Sheet.pdf</t>
  </si>
  <si>
    <t>Bulbs&gt;Globe&gt;G25 Milky / Opaque 30K</t>
  </si>
  <si>
    <t>https://6dywl8dmjehpqrx0.public.blob.vercel-storage.com/2024/01/1120-CNA-LED5WG25-ML-30K-Spec-Sheet.pdf</t>
  </si>
  <si>
    <t>Bulbs&gt;Vintage&gt;S14 27K</t>
  </si>
  <si>
    <t>https://6dywl8dmjehpqrx0.public.blob.vercel-storage.com/2024/06/1207-CNA-LED0.8WS14-27K-600x600-1.png</t>
  </si>
  <si>
    <t>https://6dywl8dmjehpqrx0.public.blob.vercel-storage.com/2024/06/1207-CNA-LED0.8WS14-27K-Spec-Sheet.pdf</t>
  </si>
  <si>
    <t>Bulbs&gt;Vintage&gt;ST19 Vintage Amber 22K</t>
  </si>
  <si>
    <t>https://6dywl8dmjehpqrx0.public.blob.vercel-storage.com/2016/05/CNA-LED-4.5W-ST19-DIM-22K-500x500.png</t>
  </si>
  <si>
    <t>https://6dywl8dmjehpqrx0.public.blob.vercel-storage.com/2020/01/CNA-LED5.5WST19-22K-Spec-Sheet.pdf</t>
  </si>
  <si>
    <t>Bulbs&gt;Vintage&gt;ST19 Vintage - X Filament 22K</t>
  </si>
  <si>
    <t>Bulbs&gt;Vintage&gt;ST19 Vintage - X Filament 27K</t>
  </si>
  <si>
    <t>https://6dywl8dmjehpqrx0.public.blob.vercel-storage.com/2025/09/1167-1168-1169-CNA-LED-5.5W-ST19-X-XXK-600x600-1.png</t>
  </si>
  <si>
    <t>https://6dywl8dmjehpqrx0.public.blob.vercel-storage.com/2025/09/1167-1168-1169-CNA-LED5.5WST19-X-xxK-Spec-Sheet.pdf</t>
  </si>
  <si>
    <t>Bulbs&gt;Vintage&gt;ST19 Vintage - X Filament 30K</t>
  </si>
  <si>
    <t>Bulbs&gt;Vintage&gt;ST19 Vintage - X Filament 40K</t>
  </si>
  <si>
    <t>Bulbs&gt;Vintage&gt;ST19 Vintage - White Filament 30K</t>
  </si>
  <si>
    <t>https://6dywl8dmjehpqrx0.public.blob.vercel-storage.com/2026/01/1197-CNA-LED6.5WST19-WH-30K-600x600-1.png</t>
  </si>
  <si>
    <t>https://6dywl8dmjehpqrx0.public.blob.vercel-storage.com/2026/01/1197-CNA-LED6.5WST19-WH-30K-Spec-Sheet.pdf</t>
  </si>
  <si>
    <t>Bulbs&gt;Vintage&gt;ST19 Vintage - Curved Filament 30K</t>
  </si>
  <si>
    <t>https://6dywl8dmjehpqrx0.public.blob.vercel-storage.com/2025/04/1172-CNA-LED-8.8W-ST19-R-30K-600x600-2.png</t>
  </si>
  <si>
    <t>Bulbs&gt;T-Type&gt;T10 Clear 30K</t>
  </si>
  <si>
    <t>https://6dywl8dmjehpqrx0.public.blob.vercel-storage.com/2015/09/LED-4W-T10-FL-DIM-500x500.png</t>
  </si>
  <si>
    <t>https://6dywl8dmjehpqrx0.public.blob.vercel-storage.com/2018/07/CNA-LED-4.5W-T10-FL-DIM-Spec-Sheet.pdf</t>
  </si>
  <si>
    <t>Bulbs&gt;T-Type&gt;T25 Clear 30K</t>
  </si>
  <si>
    <t>https://6dywl8dmjehpqrx0.public.blob.vercel-storage.com/2018/06/CNA-LED3.5WT25-27K-476x476.png</t>
  </si>
  <si>
    <t>https://6dywl8dmjehpqrx0.public.blob.vercel-storage.com/2020/08/CNA-LED3.5WT25-30K-Spec-Sheet.pdf</t>
  </si>
  <si>
    <t>Bulbs&gt;T-Type&gt;T25 Milky / Opaque 30K</t>
  </si>
  <si>
    <t>https://6dywl8dmjehpqrx0.public.blob.vercel-storage.com/2026/03/1137-CNA-LED3.5WT25-ML-30K-344x344-1.png</t>
  </si>
  <si>
    <t>https://6dywl8dmjehpqrx0.public.blob.vercel-storage.com/2026/04/1137-CNA-LED3.5WT25-ML-30K-Spec-Sheet-01.pdf</t>
  </si>
  <si>
    <t>Bulbs&gt;T-Type&gt;T30 Vintage 27K</t>
  </si>
  <si>
    <t>https://6dywl8dmjehpqrx0.public.blob.vercel-storage.com/2020/01/CNA-LED8WT30-27K-600x600-1.png</t>
  </si>
  <si>
    <t>https://6dywl8dmjehpqrx0.public.blob.vercel-storage.com/2020/01/CNA-LED8WT30-27K-Spec-Sheet.pdf</t>
  </si>
  <si>
    <t>Bulbs&gt;Miniature&gt;E11 Mini-Can 30K</t>
  </si>
  <si>
    <t>https://6dywl8dmjehpqrx0.public.blob.vercel-storage.com/2016/12/CNA-LED3WE11-DIM-30K-500x500.png</t>
  </si>
  <si>
    <t>https://6dywl8dmjehpqrx0.public.blob.vercel-storage.com/2016/12/CNA-LED3WE11-DIM-30K-Spec-Sheet.pdf</t>
  </si>
  <si>
    <t xml:space="preserve">Bulbs&gt;Miniature&gt;G4 12V Bi-pin 30K </t>
  </si>
  <si>
    <t>https://6dywl8dmjehpqrx0.public.blob.vercel-storage.com/2026/03/929-CNA-LED1.5WG4SM-30K-500x500-2.png</t>
  </si>
  <si>
    <t>https://6dywl8dmjehpqrx0.public.blob.vercel-storage.com/2026/03/929-CNA-LED1.5WG4SM-30K-02.pdf</t>
  </si>
  <si>
    <t>Bulbs&gt;Miniature&gt;G9 3W 3000K</t>
  </si>
  <si>
    <t>https://6dywl8dmjehpqrx0.public.blob.vercel-storage.com/2025/09/878-879-1080-CNA-LED3WG9-DIM-xxK-300x300-1.png</t>
  </si>
  <si>
    <t>https://6dywl8dmjehpqrx0.public.blob.vercel-storage.com/2025/09/878-879-1080-CNA-LED3WG9-DIM-xxK-Spec-Sheet.pdf</t>
  </si>
  <si>
    <t>Bulbs&gt;Miniature&gt;G9 3W 4100K</t>
  </si>
  <si>
    <t>https://6dywl8dmjehpqrx0.public.blob.vercel-storage.com/2016/06/LED-3W-G9-NEW-400x400-1.png</t>
  </si>
  <si>
    <t>Bulbs&gt;Miniature&gt;G9 3W 5000K</t>
  </si>
  <si>
    <t>Bulbs&gt;Miniature&gt;G9 4.5W 3000K</t>
  </si>
  <si>
    <t>https://6dywl8dmjehpqrx0.public.blob.vercel-storage.com/2025/06/1179-1180-CNA-LED-4.5W-G9-DIM-xxK-600x600-1.png</t>
  </si>
  <si>
    <t>https://6dywl8dmjehpqrx0.public.blob.vercel-storage.com/2025/06/1179-1180-CNA-LED-4.5W-G9-DIM-xxK-Spec-Sheet.pdf</t>
  </si>
  <si>
    <t>Bulbs&gt;Miniature&gt;G9 4.5W 4000K</t>
  </si>
  <si>
    <t>Bulbs&gt;J-Type Linear&gt;78mm J-Type Small 30K</t>
  </si>
  <si>
    <t>https://6dywl8dmjehpqrx0.public.blob.vercel-storage.com/2026/01/1130-LED7WJ78SM-DIM-30K-405x405-1.png</t>
  </si>
  <si>
    <t>https://6dywl8dmjehpqrx0.public.blob.vercel-storage.com/2026/02/1130-CNA-LED7WJ78SM-DIM-30K-Spec-Sheet.pdf</t>
  </si>
  <si>
    <t>Bulbs&gt;J-Type Linear&gt;78mm J-Type Small 40K</t>
  </si>
  <si>
    <t>https://6dywl8dmjehpqrx0.public.blob.vercel-storage.com/2023/09/1130-1131-CNA-LED6WJ78SM-DIM-30K-40K-350x350-1.png</t>
  </si>
  <si>
    <t>https://6dywl8dmjehpqrx0.public.blob.vercel-storage.com/2023/09/1130-1131-CNA-LED6WJ78SM-DIM-30K-40K-Spec-Sheet.pdf</t>
  </si>
  <si>
    <t>Bulbs&gt;J-Type Linear&gt;78mm J-Type 30K</t>
  </si>
  <si>
    <t>https://6dywl8dmjehpqrx0.public.blob.vercel-storage.com/2018/01/CNA-LED-6W-J78-688x688-Vertical.png</t>
  </si>
  <si>
    <t>https://6dywl8dmjehpqrx0.public.blob.vercel-storage.com/2023/09/956-957-CNA-LED-6W-J78-Spec-Sheet.pdf</t>
  </si>
  <si>
    <t>Bulbs&gt;J-Type Linear&gt;78mm J-Type41K</t>
  </si>
  <si>
    <t>Bulbs&gt;J-Type Linear&gt;118mm J-Type 30K</t>
  </si>
  <si>
    <t>https://6dywl8dmjehpqrx0.public.blob.vercel-storage.com/2019/01/CNA-LED14WJ118-787x787-Horizontal.png</t>
  </si>
  <si>
    <t>https://6dywl8dmjehpqrx0.public.blob.vercel-storage.com/2023/08/981-1132-CNA-LED-14W-J118-30K-40K-Spec-Sheet.pdf</t>
  </si>
  <si>
    <t>Bulbs&gt;J-Type Linear&gt;118mm J-Type 40K</t>
  </si>
  <si>
    <t>Bulbs&gt;Base Adapters&gt;E26 to E12</t>
  </si>
  <si>
    <t>https://6dywl8dmjehpqrx0.public.blob.vercel-storage.com/2016/10/CNA-E26-E12-Adapter-300x300.png</t>
  </si>
  <si>
    <t>Bulbs&gt;Base Adapters&gt;GU24 to E26</t>
  </si>
  <si>
    <t>https://6dywl8dmjehpqrx0.public.blob.vercel-storage.com/2016/10/CNA-GU24-E26-Adapter-300x300.png</t>
  </si>
  <si>
    <t>https://6dywl8dmjehpqrx0.public.blob.vercel-storage.com/2018/01/CNA-LED6.5WGU10-CB-500x500.png</t>
  </si>
  <si>
    <t>Bulbs&gt;MR11&gt;MR11 30K</t>
  </si>
  <si>
    <t>https://6dywl8dmjehpqrx0.public.blob.vercel-storage.com/2022/11/LED3WMR11-CB-30K-282x282-1.png</t>
  </si>
  <si>
    <t>https://6dywl8dmjehpqrx0.public.blob.vercel-storage.com/2019/02/CNA-LED7WMR16-CB-XXK-Spec-Sheet.pdf</t>
  </si>
  <si>
    <t>Bulbs&gt;MR16&gt;MR16 27K</t>
  </si>
  <si>
    <t>https://6dywl8dmjehpqrx0.public.blob.vercel-storage.com/2026/05/858-CNA-LED6.5WMR16-ED-27K-222x222-Copy.png</t>
  </si>
  <si>
    <t>https://6dywl8dmjehpqrx0.public.blob.vercel-storage.com/2026/05/858-CNA-LED6.5WMR16-ED-27K-Spec-Sheet-2.pdf</t>
  </si>
  <si>
    <t xml:space="preserve">Bulbs&gt;MR16&gt;MR16 30K </t>
  </si>
  <si>
    <t>https://6dywl8dmjehpqrx0.public.blob.vercel-storage.com/2026/05/1193-CNA-LED6.5WMR16-ED-30K-222x222-1.png</t>
  </si>
  <si>
    <t>https://6dywl8dmjehpqrx0.public.blob.vercel-storage.com/2026/05/1193-CNA-LED6.5WMR16-ED-30K-Spec-Sheet-2.pdf</t>
  </si>
  <si>
    <t>Bulbs&gt;MR16&gt;MR16 40K</t>
  </si>
  <si>
    <t>https://6dywl8dmjehpqrx0.public.blob.vercel-storage.com/2019/02/CNA-LED7WMR16-CB-XXK-291x291.png</t>
  </si>
  <si>
    <t>Bulbs&gt;PAR&gt;PAR16 Short 30K</t>
  </si>
  <si>
    <t>https://6dywl8dmjehpqrx0.public.blob.vercel-storage.com/2019/12/CNA-LED6WPar16-SRT-400x400.png</t>
  </si>
  <si>
    <t>https://6dywl8dmjehpqrx0.public.blob.vercel-storage.com/2019/12/CNA-LED6WPar16-SRT-Spec-Sheet.pdf</t>
  </si>
  <si>
    <t>Bulbs&gt;PAR&gt;PAR16 Short 40K</t>
  </si>
  <si>
    <t>Bulbs&gt;PAR&gt;PAR16 40K</t>
  </si>
  <si>
    <t>https://6dywl8dmjehpqrx0.public.blob.vercel-storage.com/2015/09/LED-6.5W-Par16-500x668.png</t>
  </si>
  <si>
    <t>Bulbs&gt;PAR&gt;PAR20 - 5CCT</t>
  </si>
  <si>
    <t>https://6dywl8dmjehpqrx0.public.blob.vercel-storage.com/2024/12/1217-CNA-LED5WPar20-5CCT-600x600-2-Centered.png</t>
  </si>
  <si>
    <t>https://6dywl8dmjehpqrx0.public.blob.vercel-storage.com/2024/12/1217-CNA-LED5WPar20-5CCT-Spec-Sheet.pdf</t>
  </si>
  <si>
    <t>Bulbs&gt;PAR&gt;PAR30L - 5CCT</t>
  </si>
  <si>
    <t>https://6dywl8dmjehpqrx0.public.blob.vercel-storage.com/2024/12/1218-CNA-LED9WPar30L-5CCT-600x600-1.png</t>
  </si>
  <si>
    <t>https://6dywl8dmjehpqrx0.public.blob.vercel-storage.com/2024/12/1218-CNA-LED9WPar30L-5CCT-Spec-Sheet.pdf</t>
  </si>
  <si>
    <t>Bulbs&gt;PAR&gt;PAR30S - 5CCT</t>
  </si>
  <si>
    <t>https://6dywl8dmjehpqrx0.public.blob.vercel-storage.com/2024/12/1219-CNA-LED9WPar30S-CCT-600x600-1.png</t>
  </si>
  <si>
    <t>https://6dywl8dmjehpqrx0.public.blob.vercel-storage.com/2024/12/1219-CNA-LED9WPar30S-5CCT-Spec-Sheet.pdf</t>
  </si>
  <si>
    <t>Bulbs&gt;PAR&gt;PAR38 - 5CCT</t>
  </si>
  <si>
    <t>https://6dywl8dmjehpqrx0.public.blob.vercel-storage.com/2025/10/1031-CNA-LED12WPar38-5CCT-575x574-02.png</t>
  </si>
  <si>
    <t>https://6dywl8dmjehpqrx0.public.blob.vercel-storage.com/2025/10/1031-CNA-LED12WPar38-5CCT-Spec-Sheet.pdf</t>
  </si>
  <si>
    <t>Bulbs&gt;BR&gt;BR30 - 5CCT</t>
  </si>
  <si>
    <t>https://6dywl8dmjehpqrx0.public.blob.vercel-storage.com/2023/08/1121-LED8WBR30-5CCT-600x600-1.png</t>
  </si>
  <si>
    <t>https://6dywl8dmjehpqrx0.public.blob.vercel-storage.com/2023/08/1121-CNA-LED-8W-BR30-5CCT-Spec-Sheet.pdf</t>
  </si>
  <si>
    <t>Recessed&gt;Panels&gt;4" Round Panel - 5CCT</t>
  </si>
  <si>
    <t>https://6dywl8dmjehpqrx0.public.blob.vercel-storage.com/2021/10/CNA-LED-DP4-3CCT-600x600-1.png</t>
  </si>
  <si>
    <t>https://6dywl8dmjehpqrx0.public.blob.vercel-storage.com/2024/01/1100-CNA-LED-DP4-5CCT-Spec-Sheet.pdf</t>
  </si>
  <si>
    <t>Recessed&gt;Panels&gt;4" Fire Rated - 5CCT</t>
  </si>
  <si>
    <t>https://6dywl8dmjehpqrx0.public.blob.vercel-storage.com/2023/03/1123-CNA-LED-DP4-FR-5CCT600x600.png</t>
  </si>
  <si>
    <t>https://6dywl8dmjehpqrx0.public.blob.vercel-storage.com/2023/03/1123-CNA-LED-DP4-FR-5CCT-Spec-Sheet.pdf</t>
  </si>
  <si>
    <t>Recessed&gt;Panels&gt;6" Round Panel 30K</t>
  </si>
  <si>
    <t>https://6dywl8dmjehpqrx0.public.blob.vercel-storage.com/2021/10/CNA-LED-DP6-30K-592x592-1.png</t>
  </si>
  <si>
    <t>https://6dywl8dmjehpqrx0.public.blob.vercel-storage.com/2023/06/1099-CNA-LED-DP6-30K-Spec-Sheet.pdf</t>
  </si>
  <si>
    <t>Recessed&gt;Panels&gt;6" Fire Rated - 5CCT</t>
  </si>
  <si>
    <t>https://6dywl8dmjehpqrx0.public.blob.vercel-storage.com/2023/03/1124-CNA-LED-DP6-FR-5CCT600x600.png</t>
  </si>
  <si>
    <t>https://6dywl8dmjehpqrx0.public.blob.vercel-storage.com/2023/03/1124-CNA-LED-DP6-FR-5CCT-Spec-Sheet.pdf</t>
  </si>
  <si>
    <t>Recessed&gt;Panels&gt;4" DPS Round Panel 5CCT</t>
  </si>
  <si>
    <t>https://6dywl8dmjehpqrx0.public.blob.vercel-storage.com/2020/11/CNA-DPS-4-30K-White-600x606-1.png</t>
  </si>
  <si>
    <t>https://6dywl8dmjehpqrx0.public.blob.vercel-storage.com/2023/07/1081-CNA-DPS-4-5CCT-Spec-Sheet.pdf</t>
  </si>
  <si>
    <t>Recessed&gt;Gimbal&gt;4" Gimbal - 3CCT - BK</t>
  </si>
  <si>
    <t>https://6dywl8dmjehpqrx0.public.blob.vercel-storage.com/2021/03/CNA-LED-DGIM-4-3CCT-BK-600x600-1.png</t>
  </si>
  <si>
    <t>https://6dywl8dmjehpqrx0.public.blob.vercel-storage.com/2021/03/CNA-LED-DGIM-4-3CCT-BK-Spec-Sheet.pdf</t>
  </si>
  <si>
    <t>Recessed&gt;Gimbal&gt;4" Gimbal - 5CCT - BK</t>
  </si>
  <si>
    <t>https://6dywl8dmjehpqrx0.public.blob.vercel-storage.com/2024/12/1155-CNA-LED-DGIM-4-5CCT-BK-600x600-1.png</t>
  </si>
  <si>
    <t>https://6dywl8dmjehpqrx0.public.blob.vercel-storage.com/1154-CNA-DGIM-4-5CCT-WH-Spec-Sheet.pdf</t>
  </si>
  <si>
    <t>Recessed&gt;Gimbal&gt;4" Gimbal - 5CCT - WH</t>
  </si>
  <si>
    <t>https://6dywl8dmjehpqrx0.public.blob.vercel-storage.com/2024/12/1154-CNA-LED-DGIM-4-5CCT-WH-792x792-1.png</t>
  </si>
  <si>
    <t>Recessed&gt;Gimbal&gt;4" Eyeball - 3CCT - WH</t>
  </si>
  <si>
    <t>https://6dywl8dmjehpqrx0.public.blob.vercel-storage.com/2020/11/CNA-LED-DG-4-345K-WH-600x600-2.png</t>
  </si>
  <si>
    <t>https://6dywl8dmjehpqrx0.public.blob.vercel-storage.com/2020/03/CNA-LED-DG4-345K-Spec-Sheet.pdf</t>
  </si>
  <si>
    <t>Recessed&gt;Gimbal&gt;4" Floating Gimbal 5CCT - WH</t>
  </si>
  <si>
    <t>https://6dywl8dmjehpqrx0.public.blob.vercel-storage.com/2024/12/1140-CNA-LED-TL4-5CCT-WH-600x600-1.png</t>
  </si>
  <si>
    <t>https://6dywl8dmjehpqrx0.public.blob.vercel-storage.com/2026/03/608-CNA-TL4-5CCT-WH-9W-Spec-Sheet-2.pdf</t>
  </si>
  <si>
    <t>Recessed&gt;Gimbal&gt;4" Floating Gimbal 5CCT - BK</t>
  </si>
  <si>
    <t>https://6dywl8dmjehpqrx0.public.blob.vercel-storage.com/2024/12/1141-CNA-LED-TL4-5CCT-BK-560x560-1.png</t>
  </si>
  <si>
    <t>https://6dywl8dmjehpqrx0.public.blob.vercel-storage.com/2026/03/1140-CNA-TL4-5CCT-WH-12W-Spec-Sheet.pdf</t>
  </si>
  <si>
    <t>Recessed&gt;Eyeball&gt;3.5" Eyeball - 30K - WH</t>
  </si>
  <si>
    <t>https://6dywl8dmjehpqrx0.public.blob.vercel-storage.com/2020/03/CNA-LED-RG-4-345K-WH-600x600-1.png</t>
  </si>
  <si>
    <t>https://6dywl8dmjehpqrx0.public.blob.vercel-storage.com/2021/11/CNA-LED-RG-4-30K-WH-Spec-Sheet.pdf</t>
  </si>
  <si>
    <t>Recessed&gt;Eyeball&gt;3.5" Eyeball - 3CCT - BK</t>
  </si>
  <si>
    <t>Recessed&gt;Eyeball&gt;3.5" Eyeball - 3CCT - WH</t>
  </si>
  <si>
    <t>https://6dywl8dmjehpqrx0.public.blob.vercel-storage.com/2020/03/CNA-LED-RG4-345K-Spec-Sheet.pdf</t>
  </si>
  <si>
    <t>Recessed&gt;Eyeball&gt;3.5" Eyeball - 5CCT - WH</t>
  </si>
  <si>
    <t>https://6dywl8dmjehpqrx0.public.blob.vercel-storage.com/2024/10/1125-CNA-LED-RG-4-5CCT-WH-600x626-1.png</t>
  </si>
  <si>
    <t>https://6dywl8dmjehpqrx0.public.blob.vercel-storage.com/2024/10/1125-CNA-RG-4-5CCT-WH-Spec-Sheet.pdf</t>
  </si>
  <si>
    <t>Recessed&gt;Retrofit&gt;4" Retrofit - 5CCT</t>
  </si>
  <si>
    <t>https://6dywl8dmjehpqrx0.public.blob.vercel-storage.com/2022/10/CNA-1106-LED7WRT4-5CCT-Long-150x402-1.png</t>
  </si>
  <si>
    <t>https://6dywl8dmjehpqrx0.public.blob.vercel-storage.com/2022/10/CNA-1106-LED7WRT4-5CCT-Spec-Sheet.pdf</t>
  </si>
  <si>
    <t>Recessed&gt;Retrofit&gt;5" / 6" Retrofit - 5CCT</t>
  </si>
  <si>
    <t>https://6dywl8dmjehpqrx0.public.blob.vercel-storage.com/CNA-1017-LED9WRT5-6-5CCT-Long-150x363-1.png</t>
  </si>
  <si>
    <t>https://6dywl8dmjehpqrx0.public.blob.vercel-storage.com/2022/10/CNA-1017-LED9WRT5-6-5CCT-Spec-Sheet.pdf</t>
  </si>
  <si>
    <t>Recessed&gt;Retrofit&gt;Field Adjustable 6" Downlight</t>
  </si>
  <si>
    <t>https://6dywl8dmjehpqrx0.public.blob.vercel-storage.com/2023/09/1134-CNA-LED-RT6-3X3CCT-AK-Spec-Sheet.pdf</t>
  </si>
  <si>
    <t>Recessed&gt;Accessories&gt;6" to 8" Goof Ring</t>
  </si>
  <si>
    <t>https://6dywl8dmjehpqrx0.public.blob.vercel-storage.com/2023/01/CNA-LED-RT6-GOOF8-600x600-grey-background.png</t>
  </si>
  <si>
    <t>Recessed&gt;Accessories&gt;3.5" Rough-In Plate</t>
  </si>
  <si>
    <t>https://6dywl8dmjehpqrx0.public.blob.vercel-storage.com/2016/10/CNA-LED-RP-4-10W-Rough-In-Plate-500x500-2.png</t>
  </si>
  <si>
    <t>https://6dywl8dmjehpqrx0.public.blob.vercel-storage.com/2019/10/CNA-Vapour-Barrier-Spec-Sheet.pdf</t>
  </si>
  <si>
    <t>Recessed&gt;Accessories&gt;4" Rough-In Plate</t>
  </si>
  <si>
    <t>Recessed&gt;Accessories&gt;6" Rough-In Plate</t>
  </si>
  <si>
    <t>https://6dywl8dmjehpqrx0.public.blob.vercel-storage.com/2016/10/CNA-LED-RP-6-15W-Rough-In-Plate-500x500-2.png</t>
  </si>
  <si>
    <t>Recessed&gt;Accessories&gt;Large Vapour Barrier</t>
  </si>
  <si>
    <t>https://6dywl8dmjehpqrx0.public.blob.vercel-storage.com/2019/10/CNA-G-59-Vapour-Barrier-500x500.png</t>
  </si>
  <si>
    <t>Recessed&gt;Accessories&gt;Small Vapour Barrier</t>
  </si>
  <si>
    <t>https://6dywl8dmjehpqrx0.public.blob.vercel-storage.com/2019/10/CNA-VB02-Vapour-Barrier-700x700-Vertical.png</t>
  </si>
  <si>
    <t>Recessed&gt;Accessories&gt;DP4 Black Trim</t>
  </si>
  <si>
    <t>https://6dywl8dmjehpqrx0.public.blob.vercel-storage.com/2020/03/CNA-LED-DP-6-BKTrim.png</t>
  </si>
  <si>
    <t>Recessed&gt;Accessories&gt;DP6 Black Trim</t>
  </si>
  <si>
    <t>Recessed&gt;Accessories&gt;4" DPS Black Trim</t>
  </si>
  <si>
    <t>https://6dywl8dmjehpqrx0.public.blob.vercel-storage.com/2020/11/CNA-DPS-4-BK-TRIM-503x503-1.png</t>
  </si>
  <si>
    <t>https://6dywl8dmjehpqrx0.public.blob.vercel-storage.com/2020/11/CNA-LED-DPS-4-30K-Spec-Sheet.pdf</t>
  </si>
  <si>
    <t>Recessed&gt;Accessories&gt;4" DPS Brushed Nickel Trim</t>
  </si>
  <si>
    <t>https://6dywl8dmjehpqrx0.public.blob.vercel-storage.com/2020/11/CNA-DPS-4-BN-TRIM-513x513-1.png</t>
  </si>
  <si>
    <t>Recessed&gt;Accessories&gt;DPS Recess Mount Accessory</t>
  </si>
  <si>
    <t>https://6dywl8dmjehpqrx0.public.blob.vercel-storage.com/2020/11/CNA-DPS-ACC-615x615-1.png</t>
  </si>
  <si>
    <t>https://6dywl8dmjehpqrx0.public.blob.vercel-storage.com/2024/04/1201-CNA-LED-DPM-4-5CCT-Spec-Sheet.pdf</t>
  </si>
  <si>
    <t>Flush Mounts&gt;Disks&gt;4" DPS Series - 5CCT</t>
  </si>
  <si>
    <t>Flush Mounts&gt;Disks&gt;4" DPM Series - 5CCT</t>
  </si>
  <si>
    <t>https://6dywl8dmjehpqrx0.public.blob.vercel-storage.com/2024/04/DPM-4-5CCT-270x853-1.png</t>
  </si>
  <si>
    <t>Flush Mounts&gt;Disks&gt;12" DS Series - Black</t>
  </si>
  <si>
    <t>https://6dywl8dmjehpqrx0.public.blob.vercel-storage.com/2022/07/DS-12-3CCT-BK-600x600-1.png</t>
  </si>
  <si>
    <t>https://6dywl8dmjehpqrx0.public.blob.vercel-storage.com/2022/07/CNA-1109-DS-12-3CCT-BK-Spec-Sheet.pdf</t>
  </si>
  <si>
    <t>Flush Mounts&gt;Disks&gt;15" DS Series - White</t>
  </si>
  <si>
    <t>https://6dywl8dmjehpqrx0.public.blob.vercel-storage.com/2023/07/1128-CNA-DS-15-3CCT-WH-493x424-1.png</t>
  </si>
  <si>
    <t>https://6dywl8dmjehpqrx0.public.blob.vercel-storage.com/2023/07/1128-CNA-LED-DS-15-3CCT-WH-Spec-Sheet.pdf</t>
  </si>
  <si>
    <t>Flush Mounts&gt;Disks&gt;15" DS Series - Black</t>
  </si>
  <si>
    <t>https://6dywl8dmjehpqrx0.public.blob.vercel-storage.com/2024/12/1157-CNA-LED-DS-15-5CCT-BK-450x450-1.png</t>
  </si>
  <si>
    <t>https://6dywl8dmjehpqrx0.public.blob.vercel-storage.com/2024/12/1157-CNA-LED-DS-15-5CCT-BK-Spec-Sheet.pdf</t>
  </si>
  <si>
    <t>Flush Mounts&gt;Disks&gt;5" DSK Series - White</t>
  </si>
  <si>
    <t>https://6dywl8dmjehpqrx0.public.blob.vercel-storage.com/2026/02/910-CNA-DSK-5-5CCT-WH-500x500-3.png</t>
  </si>
  <si>
    <t>https://6dywl8dmjehpqrx0.public.blob.vercel-storage.com/2026/02/910-CNA-LED-DSK-5-5CCT-WH-Spec-Sheet-3.pdf</t>
  </si>
  <si>
    <t>Flush Mounts&gt;Disks&gt;7" DSK Series - Black</t>
  </si>
  <si>
    <t>https://6dywl8dmjehpqrx0.public.blob.vercel-storage.com/2025/07/1181-1182-1183-1184-1185-1186-DSK-Series-with-Mounting-Plate-600x600-1.png</t>
  </si>
  <si>
    <t>https://6dywl8dmjehpqrx0.public.blob.vercel-storage.com/2025/07/1181-1182-CNA-LED-DSK-7-5CCT-XX-Spec-Sheet.pdf</t>
  </si>
  <si>
    <t>Flush Mounts&gt;Disks&gt;7" DSK Series - White</t>
  </si>
  <si>
    <t>Flush Mounts&gt;Disks&gt;9" DSK Series - Black</t>
  </si>
  <si>
    <t>https://6dywl8dmjehpqrx0.public.blob.vercel-storage.com/2025/07/1183-1184-CNA-LED-DSK-9-5CCT-XX-Spec-Sheet.pdf</t>
  </si>
  <si>
    <t>Flush Mounts&gt;Disks&gt;9" DSK Series - White</t>
  </si>
  <si>
    <t>Flush Mounts&gt;Disks&gt;12" DSK Series - Black</t>
  </si>
  <si>
    <t>https://6dywl8dmjehpqrx0.public.blob.vercel-storage.com/2025/07/1185-1186-CNA-LED-DSK-12-5CCT-XX-Spec-Sheet.pdf</t>
  </si>
  <si>
    <t>Flush Mounts&gt;Disks&gt;12" DSK Series - White</t>
  </si>
  <si>
    <t>Flush Mounts&gt;Disks&gt;15" DSK Series - White</t>
  </si>
  <si>
    <t>https://6dywl8dmjehpqrx0.public.blob.vercel-storage.com/2026/02/169-CNA-DSK-15-5CCT-WH-500x500-2.png</t>
  </si>
  <si>
    <t>https://6dywl8dmjehpqrx0.public.blob.vercel-storage.com/2026/02/169-CNA-LED-DSK-15-5CCT-WH-Spec-Sheet-2.pdf</t>
  </si>
  <si>
    <t>Flush Mounts&gt;Disks&gt;19" DSK Series - White</t>
  </si>
  <si>
    <t>https://6dywl8dmjehpqrx0.public.blob.vercel-storage.com/2026/02/1199-CNA-DSK-19-5CCT-WH-500x500-2.png</t>
  </si>
  <si>
    <t>https://6dywl8dmjehpqrx0.public.blob.vercel-storage.com/2026/02/1199-CNA-LED-DSK-19-5CCT-WH-Spec-Sheet-2.pdf</t>
  </si>
  <si>
    <t>Flush Mounts&gt;Mushroom&gt;11" Mushroom 5CCT</t>
  </si>
  <si>
    <t>https://6dywl8dmjehpqrx0.public.blob.vercel-storage.com/2026/04/1205-CNA-CL-11-5CCT-600x600-1.png</t>
  </si>
  <si>
    <t>https://6dywl8dmjehpqrx0.public.blob.vercel-storage.com/2026/04/1205-CNA-LED-CL-11-5CCT-Spec-Sheet-2026.pdf</t>
  </si>
  <si>
    <t>Flush Mounts&gt;Mushroom&gt;13" Mushroom 5CCT</t>
  </si>
  <si>
    <t>https://6dywl8dmjehpqrx0.public.blob.vercel-storage.com/2024/06/1206-CNA-LED-CL-13-5CCT-500x500-1.png</t>
  </si>
  <si>
    <t>https://6dywl8dmjehpqrx0.public.blob.vercel-storage.com/2024/06/1206-CNA-LED-CL-13-5CCT-Spec-Sheet.pdf</t>
  </si>
  <si>
    <t>Flush Mounts&gt;2-Ring&gt;12" 2-Ring - Brushed Nickel</t>
  </si>
  <si>
    <t>https://6dywl8dmjehpqrx0.public.blob.vercel-storage.com/2024/06/1204-CNA-LED-CL-2R-12-5CCT-600x600-1.png</t>
  </si>
  <si>
    <t>https://6dywl8dmjehpqrx0.public.blob.vercel-storage.com/2024/06/1204-CNA-LED-CL-2R-12-5CCT-Spec-Sheet.pdf</t>
  </si>
  <si>
    <t>Flush Mounts&gt;2-Ring&gt;12" 2-Ring - Black</t>
  </si>
  <si>
    <t>https://6dywl8dmjehpqrx0.public.blob.vercel-storage.com/2024/06/1136-CNA-LED-CL-2R-12-5CCT-BK-600x600-1.png</t>
  </si>
  <si>
    <t>https://6dywl8dmjehpqrx0.public.blob.vercel-storage.com/2024/06/1136-CNA-LED-CL-2R-12-5CCT-BK-Spec-Sheet.pdf</t>
  </si>
  <si>
    <t>Flush Mounts&gt;2-Ring&gt;16" 2-Ring - Brushed Nickel</t>
  </si>
  <si>
    <t>https://6dywl8dmjehpqrx0.public.blob.vercel-storage.com/2026/02/1045-CNA-LED-CL-2R-16-5CCT-BN-600x600-2026.png</t>
  </si>
  <si>
    <t>https://6dywl8dmjehpqrx0.public.blob.vercel-storage.com/2026/02/1045-CNA-LED-CL-2R-16-5CCT-BN-Spec-Sheet-2026.pdf</t>
  </si>
  <si>
    <t>Flush Mounts&gt;2-Ring&gt;16" 2-Ring - Black</t>
  </si>
  <si>
    <t>https://6dywl8dmjehpqrx0.public.blob.vercel-storage.com/2026/02/1085-CNA-LED-CL-2R-16-5CCT-BK-600x600-2026.png</t>
  </si>
  <si>
    <t>https://6dywl8dmjehpqrx0.public.blob.vercel-storage.com/2026/02/1085-CNA-LED-CL-2R-16-5CCT-BK-Spec-Sheet-2026.pdf</t>
  </si>
  <si>
    <t>Flush Mounts&gt;Helen&gt;15" Helen Series (Gold Black)</t>
  </si>
  <si>
    <t>https://6dywl8dmjehpqrx0.public.blob.vercel-storage.com/2026/03/601-CNA-CL-TBBG-15-5CCT-600x600-1.png</t>
  </si>
  <si>
    <t>https://6dywl8dmjehpqrx0.public.blob.vercel-storage.com/2026/04/601-602-603-CNA-Helen-Flushmount-CL-TBXX-15-5CCT-Spec-Sheet.pdf</t>
  </si>
  <si>
    <t>Flush Mounts&gt;Helen&gt;15" Helen Series (Black White)</t>
  </si>
  <si>
    <t>https://6dywl8dmjehpqrx0.public.blob.vercel-storage.com/2026/03/602-CNA-CL-TBWB-15-5CCT-600x600-1.png</t>
  </si>
  <si>
    <t>Flush Mounts&gt;Helen&gt;15" Helen Series (Gold White)</t>
  </si>
  <si>
    <t>https://6dywl8dmjehpqrx0.public.blob.vercel-storage.com/2026/03/603-CNA-CL-TBWG-15-5CCT-600x600-1.png</t>
  </si>
  <si>
    <t>Flush Mounts&gt;Sensor&gt;6" Motion Sensor Disk</t>
  </si>
  <si>
    <t>https://6dywl8dmjehpqrx0.public.blob.vercel-storage.com/2020/07/CNA-LED-CL-6-PIR-565x565-1.png</t>
  </si>
  <si>
    <t>https://6dywl8dmjehpqrx0.public.blob.vercel-storage.com/2020/07/CNA-LED-CL-6-PIR-and-LED-CL-8-PIR-Closet-Light-Spec-Sheet.pdf</t>
  </si>
  <si>
    <t>Flush Mounts&gt;Sensor&gt;9" 5CCT Motion PhotoPIR Disk</t>
  </si>
  <si>
    <t>https://6dywl8dmjehpqrx0.public.blob.vercel-storage.com/2026/03/1055-CNA-CL-9-PhotoPIR-Side-TopAlign-Sensor-Switch-600x600-1-.png</t>
  </si>
  <si>
    <t>https://6dywl8dmjehpqrx0.public.blob.vercel-storage.com/2026/03/1055-CNA-CL-9-PhotoPIR-Spec-Sheet-V1.pdf</t>
  </si>
  <si>
    <t>Flush Mounts&gt;Square&gt;4" Square DSQ Series</t>
  </si>
  <si>
    <t>https://6dywl8dmjehpqrx0.public.blob.vercel-storage.com/2018/02/CNA-LED-DSQ-4-30K-Front-500x500.png</t>
  </si>
  <si>
    <t>https://6dywl8dmjehpqrx0.public.blob.vercel-storage.com/2018/02/CNA-LED-DSQ-Series-Square-Flush-Mount-Downlight-Spec-Sheet.pdf</t>
  </si>
  <si>
    <t>Flush Mounts&gt;Square&gt;6" Square DSQ Series</t>
  </si>
  <si>
    <t>https://6dywl8dmjehpqrx0.public.blob.vercel-storage.com/2018/02/CNA-LED-DSQ-6-30K-Front-500x500.png</t>
  </si>
  <si>
    <t>Flush Mounts&gt;Accessories&gt;DPS-4 Trim - Black</t>
  </si>
  <si>
    <t>Flush Mounts&gt;Accessories&gt;DPS-4 Trim - Brushed Nickel</t>
  </si>
  <si>
    <t>Flush Mounts&gt;Accessories&gt;DPS-4 Retrofit Accessory</t>
  </si>
  <si>
    <t>Flush Mounts&gt;Accessories&gt;DPM-4 Trim - Black</t>
  </si>
  <si>
    <t>Flush Mounts&gt;Accessories&gt;DPM-4 Trim - Brushed Nickel</t>
  </si>
  <si>
    <t>Vanity Lights</t>
  </si>
  <si>
    <t>Linda</t>
  </si>
  <si>
    <t>2FT Linda VL</t>
  </si>
  <si>
    <t>Vanity Lights&gt;Linda&gt;2FT Linda</t>
  </si>
  <si>
    <t>VL-A2F-5CCT BK - 631</t>
  </si>
  <si>
    <t>VL-A2F-5CCT BK - 631 - 2FT Linda Vanity Light - Black</t>
  </si>
  <si>
    <t>https://6dywl8dmjehpqrx0.public.blob.vercel-storage.com/2026/05/631-CNA-Linda-VL-A2F-5CCT-BK-001-500x500-1.png</t>
  </si>
  <si>
    <t>VL-A2F-5CCT BN - 632</t>
  </si>
  <si>
    <t>VL-A2F-5CCT BN - 632 - 2FT Linda Vanity Light - Brushed Nickel</t>
  </si>
  <si>
    <t>https://6dywl8dmjehpqrx0.public.blob.vercel-storage.com/2026/05/632-CNA-Linda-VL-A2F-5CCT-BN-001-500x500.png</t>
  </si>
  <si>
    <t>3FT Linda VL</t>
  </si>
  <si>
    <t>Vanity Lights&gt;Linda&gt;3FT Linda</t>
  </si>
  <si>
    <t>VL-A3F-5CCT BK - 633</t>
  </si>
  <si>
    <t>VL-A3F-5CCT BK - 633 - 3FT Linda Vanity Light - Black</t>
  </si>
  <si>
    <t>https://6dywl8dmjehpqrx0.public.blob.vercel-storage.com/2026/05/633-CNA-Linda-VL-A3F-5CCT-BK-001-500x500.png</t>
  </si>
  <si>
    <t>2500 lm</t>
  </si>
  <si>
    <t>VL-A3F-5CCT BN - 634</t>
  </si>
  <si>
    <t>VL-A3F-5CCT BN - 634 - 3FT Linda Vanity Light - Brushed Nickel</t>
  </si>
  <si>
    <t>https://6dywl8dmjehpqrx0.public.blob.vercel-storage.com/2026/05/634-CNA-Linda-VL-A3F-5CCT-BN-001-500x500.png</t>
  </si>
  <si>
    <t>Bulbs&gt;GU10&gt;GU10 27K</t>
  </si>
  <si>
    <t>Bulbs&gt;GU10&gt;GU10 30K</t>
  </si>
  <si>
    <t>Bulbs&gt;GU10&gt;GU10 40K</t>
  </si>
  <si>
    <t>Under Cabinet&gt;Pucks&gt;Mini Puck</t>
  </si>
  <si>
    <t>Under Cabinet&gt;Pucks&gt;Puck Light - 3CCT - Black</t>
  </si>
  <si>
    <t>Under Cabinet&gt;Pucks&gt;Puck Light - 3CCT - Satin Nickel</t>
  </si>
  <si>
    <t>Under Cabinet&gt;Pucks&gt;Puck Light - 3CCT - White</t>
  </si>
  <si>
    <t>Under Cabinet&gt;Pucks&gt;Puck Surface Mount TRIM - Black</t>
  </si>
  <si>
    <t>Under Cabinet&gt;Pucks&gt;Puck Surface Mount TRIM - Satin Nickel</t>
  </si>
  <si>
    <t>Under Cabinet&gt;Pucks&gt;Puck Surface Mount TRIM - White</t>
  </si>
  <si>
    <t>Under Cabinet&gt;Pucks&gt;Puck Light 30K</t>
  </si>
  <si>
    <t>Under Cabinet&gt;Pucks&gt;Puck Light 30K Surface Mount Ring</t>
  </si>
  <si>
    <t>Under Cabinet&gt;Panel&gt;Panel Light 12V 30K</t>
  </si>
  <si>
    <t>Under Cabinet&gt;Linear&gt;T5Bar Series 5CCT - 11"</t>
  </si>
  <si>
    <t>Under Cabinet&gt;Linear&gt;T5Bar Series 5CCT - 24"</t>
  </si>
  <si>
    <t>Under Cabinet&gt;Linear&gt;T5Bar Series 5CCT - 36"</t>
  </si>
  <si>
    <t>Under Cabinet&gt;Linear&gt;T5Bar Series -  5CCT - 48"</t>
  </si>
  <si>
    <t xml:space="preserve">Under Cabinet&gt;Linear&gt;T5Bar - JBox </t>
  </si>
  <si>
    <t>Under Cabinet&gt;Linear&gt;T5Bar - 12" Link Cable</t>
  </si>
  <si>
    <t>Under Cabinet&gt;Linear&gt;T5Bar - 6' Cord w/ Plug</t>
  </si>
  <si>
    <t>Under Cabinet&gt;Linear&gt;T5Bar Mounting Accessories</t>
  </si>
  <si>
    <t>Under Cabinet&gt;Linear&gt;T5DL Series - 3FT</t>
  </si>
  <si>
    <t>Under Cabinet&gt;Linear&gt;T5DL Series - 4FT</t>
  </si>
  <si>
    <t>Under Cabinet&gt;Linear&gt;T5DL Series - Link Cable - 1M</t>
  </si>
  <si>
    <t>Under Cabinet&gt;Linear&gt;T5DL Series - Junction Box</t>
  </si>
  <si>
    <t>Under Cabinet&gt;Linear&gt;T5DL Series- Plug - 2M</t>
  </si>
  <si>
    <t>Under Cabinet&gt;Linear&gt;LSH Series - Plug - 2M</t>
  </si>
  <si>
    <t>Under Cabinet&gt;Linear&gt;LS Series - 1FT</t>
  </si>
  <si>
    <t>Under Cabinet&gt;Linear&gt;LS Series - 2FT</t>
  </si>
  <si>
    <t>Under Cabinet&gt;Linear&gt;LS Series - Link Cable - 6-Inch</t>
  </si>
  <si>
    <t>Under Cabinet&gt;Linear&gt;LS Series - Link Cable - 12-Inch</t>
  </si>
  <si>
    <t>Under Cabinet&gt;Ribbon &amp; Accessories&gt;24V Ribbon 30K Reel</t>
  </si>
  <si>
    <t>Under Cabinet&gt;Ribbon &amp; Accessories&gt;24V Ribbon 40K Reel</t>
  </si>
  <si>
    <t>Under Cabinet&gt;Ribbon &amp; Accessories&gt;6" Ribbon to Power Supply Connector</t>
  </si>
  <si>
    <t>Under Cabinet&gt;Ribbon &amp; Accessories&gt;12" Flexible Ribbon to Ribbon Connector</t>
  </si>
  <si>
    <t>Under Cabinet&gt;Ribbon &amp; Accessories&gt;Ribbon to Wire Connector</t>
  </si>
  <si>
    <t>Under Cabinet&gt;Ribbon &amp; Accessories&gt;20FT Wires (20AWG)</t>
  </si>
  <si>
    <t>Under Cabinet&gt;Ribbon &amp; Accessories&gt;I Connector</t>
  </si>
  <si>
    <t>Under Cabinet&gt;Ribbon &amp; Accessories&gt;L Connector</t>
  </si>
  <si>
    <t>Under Cabinet&gt;Ribbon &amp; Accessories&gt;T Connector</t>
  </si>
  <si>
    <t>Under Cabinet&gt;Ribbon &amp; Accessories&gt;COB Ribbon Aluminum Channel - 1M</t>
  </si>
  <si>
    <t xml:space="preserve">Under Cabinet&gt;Ribbon &amp; Accessories&gt;Surface Aluminum Channel - 1M </t>
  </si>
  <si>
    <t>Under Cabinet&gt;Ribbon &amp; Accessories&gt;Surface Aluminum Channel - End Caps</t>
  </si>
  <si>
    <t>Under Cabinet&gt;Ribbon &amp; Accessories&gt;Surface Aluminum Channel - Mounting Clips</t>
  </si>
  <si>
    <t>Under Cabinet&gt;Ribbon &amp; Accessories&gt;Recessed Auminum Channel - 1M</t>
  </si>
  <si>
    <t>Under Cabinet&gt;Ribbon &amp; Accessories&gt;Recessed Auminum Channel - End Caps</t>
  </si>
  <si>
    <t>Under Cabinet&gt;Ribbon &amp; Accessories&gt;Recessed Auminum Channel - Mounting Clips</t>
  </si>
  <si>
    <t>Under Cabinet&gt;12V LED Drivers&gt;12W Dimmable LED Driver</t>
  </si>
  <si>
    <t>Under Cabinet&gt;12V LED Drivers&gt;18W Dimmable LED Driver</t>
  </si>
  <si>
    <t>Under Cabinet&gt;12V LED Drivers&gt;36W Dimmable LED Driver</t>
  </si>
  <si>
    <t>Under Cabinet&gt;12V LED Drivers&gt;54W Dimmable LED Driver</t>
  </si>
  <si>
    <t>Under Cabinet&gt;12V LED Drivers&gt;84W Dimmable LED Driver</t>
  </si>
  <si>
    <t>Under Cabinet&gt;12V LED Drivers&gt;120W Dimmable LED Driver</t>
  </si>
  <si>
    <t>Under Cabinet&gt;12V LED Drivers&gt;18W Metal JBox Dimmable LED Driver</t>
  </si>
  <si>
    <t>Under Cabinet&gt;12V LED Drivers&gt;40W Metal JBox Dimmable LED Driver</t>
  </si>
  <si>
    <t>Under Cabinet&gt;12V LED Drivers&gt;100W LED Driver</t>
  </si>
  <si>
    <t>Under Cabinet&gt;12V LED Drivers&gt;102W Metal Chassis LED Driver</t>
  </si>
  <si>
    <t>Under Cabinet&gt;12V LED Drivers&gt;150W Metal Chassis LED Driver</t>
  </si>
  <si>
    <t>Under Cabinet&gt;12V LED Drivers&gt;36W LED Driver - Plug</t>
  </si>
  <si>
    <t>Under Cabinet&gt;12V LED Drivers&gt;72W LED Driver - Plug</t>
  </si>
  <si>
    <t>Under Cabinet&gt;24V LED Drivers&gt;38.4W Dimmable LED Driver</t>
  </si>
  <si>
    <t>Under Cabinet&gt;24V LED Drivers&gt; 60W Dimmable LED Driver</t>
  </si>
  <si>
    <t>Under Cabinet&gt;24V LED Drivers&gt;79W Dimmable LED Driver</t>
  </si>
  <si>
    <t>Under Cabinet&gt;24V LED Drivers&gt;100.8W Dimmable LED Driver</t>
  </si>
  <si>
    <t>Under Cabinet&gt;24V LED Drivers&gt;150W Dimmable LED Driver</t>
  </si>
  <si>
    <t>Under Cabinet&gt;24V LED Drivers&gt;108W LED Driver</t>
  </si>
  <si>
    <t>Step Lights&gt;Mini Step Lights&gt;Mini Step Light 12V</t>
  </si>
  <si>
    <t>Step Lights&gt;Step Lights&gt;120V Step Light - Black</t>
  </si>
  <si>
    <t>Step Lights&gt;Step Lights&gt;120V Step Light - Brushed Nickel</t>
  </si>
  <si>
    <t>Step Lights&gt;Step Lights&gt;120V Step Light - White</t>
  </si>
  <si>
    <t>String Lights&gt;S14 String Lights&gt;S14 String Lights</t>
  </si>
  <si>
    <t>PL &amp; PLC&gt;PL 13W 2-PIN &gt;PL 13W 2-PIN Replacement 4CCT</t>
  </si>
  <si>
    <t>PL &amp; PLC&gt;PLC 13W 4-PIN &gt;PLC 13W 4-PIN Replacement 5CCT</t>
  </si>
  <si>
    <t>PL &amp; PLC&gt;PLC 13W 4-PIN &gt;PLC 13W 4-PIN Replacement 30K</t>
  </si>
  <si>
    <t>PL &amp; PLC&gt;PLC 13W 4-PIN &gt;PLC 13W 4-PIN Replacement 40K</t>
  </si>
  <si>
    <t>PL &amp; PLC&gt;PLC 26W 32W 42W 4-PIN &gt;PLC 26W 32W 42W 4-PIN Replacement 40K</t>
  </si>
  <si>
    <t>PL &amp; PLC&gt;PLC 26W 32W 42W 4-PIN&gt;PLC 26W 32W 42W 4-PIN Replacement 30K</t>
  </si>
  <si>
    <t>Tubes&gt;T8 Hybrid (Type A &amp; Type B)&gt;T8 Hybrid 40K</t>
  </si>
  <si>
    <t>Tubes&gt;T8 Hybrid (Type A &amp; Type B)&gt;T8 Hybrid 50K</t>
  </si>
  <si>
    <t>Tubes&gt;T8 Compatible (Type A)&gt;T8 Plug &amp; Play 35K</t>
  </si>
  <si>
    <t>Tubes&gt;T8 Compatible (Type A)&gt;T8 Plug &amp; Play 40K</t>
  </si>
  <si>
    <t>Tubes&gt;T8 Compatible (Type A)&gt;T8 Plug &amp; Play 50K</t>
  </si>
  <si>
    <t>Tubes&gt;T8 Ballast Bypass 347V (Type B)&gt;T8 - 347V 40K</t>
  </si>
  <si>
    <t>Tubes&gt;T5 Compatible (Type A)&gt;T5HO 40K</t>
  </si>
  <si>
    <t>Tubes&gt;T5 Compatible (Type A)&gt;T5HO 50K</t>
  </si>
  <si>
    <t>Commercial Fixtures&gt;Strip Light 120V-347V&gt;Commercial Strip Light 120V-347V</t>
  </si>
  <si>
    <t>Commercial Fixtures&gt;Strip Light 120V-347V&gt;STP Connector Plate</t>
  </si>
  <si>
    <t>Commercial Fixtures&gt;6" Recessed Downlight - Field Adjustable&gt;6" Recessed Downlight - Field Adjustable</t>
  </si>
  <si>
    <t>Commercial Fixtures&gt;6" Recessed Downlight - Field Adjustable&gt;8" Goof Ring for 6" Downlight</t>
  </si>
  <si>
    <t>Commercial Fixtures&gt;Flood Light - Trunion&gt;LED Flood 30W - Yoke / Trunnion Mount</t>
  </si>
  <si>
    <t>Commercial Fixtures&gt;Wall Pack&gt;347V LED Wall Pack - 145W</t>
  </si>
  <si>
    <t>Emergency &amp; EXIT&gt;EXIT Lights&gt;Running Man Exit Sign</t>
  </si>
  <si>
    <t>Emergency &amp; EXIT&gt;EXIT Lights&gt;Running Man Combo Unit</t>
  </si>
  <si>
    <t>Emergency &amp; EXIT&gt;Emergency Lights&gt;Battery Pack 36W</t>
  </si>
  <si>
    <t>Emergency &amp; EXIT&gt;Emergency Lights&gt;Battery Pack 72W</t>
  </si>
  <si>
    <t xml:space="preserve">Emergency &amp; EXIT&gt;Emergency Lights&gt;Single Remote Head </t>
  </si>
  <si>
    <t>Emergency &amp; EXIT&gt;Emergency Lights&gt;Dual Remote Head</t>
  </si>
  <si>
    <t>Halogen&gt;2024 Halogen Bulbs&gt;78mm J-Type 75W</t>
  </si>
  <si>
    <t>Halogen&gt;2024 Halogen Bulbs&gt;78mm J-Type 100W</t>
  </si>
  <si>
    <t>Halogen&gt;2024 Halogen Bulbs&gt;G9 40W</t>
  </si>
  <si>
    <t>Halogen&gt;2024 Halogen Bulbs&gt;G9 50W</t>
  </si>
  <si>
    <t>Halogen&gt;2024 Halogen Bulbs&gt;JD Minican 50W</t>
  </si>
  <si>
    <t>Halogen&gt;2024 Halogen Bulbs&gt;JD Minican 75W</t>
  </si>
  <si>
    <t>Halogen&gt;2024 Halogen Bulbs&gt;JD Minican 100W</t>
  </si>
  <si>
    <t>Halogen&gt;GU10&gt;GU10 - 50W</t>
  </si>
  <si>
    <t>Halogen&gt;GU10&gt;GU10 - 20W</t>
  </si>
  <si>
    <t>Halogen&gt;JDR&gt;JDR 50W</t>
  </si>
  <si>
    <t>Halogen&gt;JDR&gt;JDR 75W</t>
  </si>
  <si>
    <t>Halogen&gt;JDR&gt;JDR 100W</t>
  </si>
  <si>
    <t>Halogen&gt;PAR 16&gt;PAR16 50W</t>
  </si>
  <si>
    <t>Halogen&gt;MR16&gt;MR16 20W ESX</t>
  </si>
  <si>
    <t>Halogen&gt;MR16&gt;MR16 35W FMV</t>
  </si>
  <si>
    <t>Halogen&gt;MR16&gt;MR16 42W EYP</t>
  </si>
  <si>
    <t>Halogen&gt;MR16&gt;MR16 50W FNV</t>
  </si>
  <si>
    <t>Halogen&gt;MR16&gt;MR16 50W EXZ</t>
  </si>
  <si>
    <t>Halogen&gt;MR16&gt;MR16 50W EXT</t>
  </si>
  <si>
    <t>Halogen&gt;MR16&gt;MR16 50W EYC</t>
  </si>
  <si>
    <t>Halogen&gt;MR16&gt;MR16 50W EXN+C Frosted</t>
  </si>
  <si>
    <t>Halogen&gt;MR16&gt;XENON MR16 50W BAB+C</t>
  </si>
  <si>
    <t>Halogen&gt;MR16&gt;IGLOO MR16 50W EXN+C</t>
  </si>
  <si>
    <t>Halogen&gt;MR16&gt;DAYLIGHT MR16 50W EXN+C</t>
  </si>
  <si>
    <t>Halogen&gt;MR16&gt;DAYLIGHT MR16 50W EXZ+C</t>
  </si>
  <si>
    <t>Halogen&gt;MR11&gt;MR11 20W FTD</t>
  </si>
  <si>
    <t>Halogen&gt;MR11&gt;MR11 20W FTD+C</t>
  </si>
  <si>
    <t>Halogen&gt;MR11&gt;MR11 20W FTD+C XENON</t>
  </si>
  <si>
    <t>Halogen&gt;JC Type 12V&gt;JC 12V 75W G6.35</t>
  </si>
  <si>
    <t>Halogen&gt;JC Type 12V&gt;JC 12V 50W G6.35 XENON</t>
  </si>
  <si>
    <t>Halogen&gt;J-Type Linear 120V&gt;78 mm 120V 150W</t>
  </si>
  <si>
    <t>Halogen&gt;J-Type Linear 120V&gt;118 mm 120V 100W</t>
  </si>
  <si>
    <t>Halogen&gt;J-Type Linear 120V&gt;118 mm 120V 150W</t>
  </si>
  <si>
    <t>Halogen&gt;J-Type Linear 120V&gt;118 mm 120V 200W</t>
  </si>
  <si>
    <t>Halogen&gt;J-Type Linear 120V&gt;118 mm 120V 300W</t>
  </si>
  <si>
    <t>Halogen&gt;J-Type Linear 130V&gt;78 mm 130V 150W</t>
  </si>
  <si>
    <t>Halogen&gt;J-Type Linear 130V&gt;78 mm 130V 200W</t>
  </si>
  <si>
    <t>Halogen&gt;J-Type Linear 130V&gt;78 mm 130V 250W</t>
  </si>
  <si>
    <t>Halogen&gt;J-Type Linear 130V&gt;118 mm 130V 100W</t>
  </si>
  <si>
    <t>Halogen&gt;J-Type Linear 130V&gt;118 mm 130V 150W</t>
  </si>
  <si>
    <t>Halogen&gt;J-Type Linear 130V&gt;118 mm 130V 300W</t>
  </si>
  <si>
    <t>Halogen&gt;J-Type Linear 130V&gt;189 mm 130V 1000W</t>
  </si>
  <si>
    <t>Halogen&gt;J-Type Linear 130V&gt;254 mm 130V 1000W</t>
  </si>
  <si>
    <t>Halogen&gt;J-Type Linear 240V&gt;118 mm 240V 500W</t>
  </si>
  <si>
    <t>Halogen&gt;J-Type Linear 240V&gt;189 mm 240V 1000W</t>
  </si>
  <si>
    <t>Halogen&gt;J-Type Linear 240V&gt;254 mm 240V 1000W</t>
  </si>
  <si>
    <t>Halogen&gt;J-Type Linear 240V&gt;254 mm 240V 1500W</t>
  </si>
  <si>
    <t>Halogen&gt;JCD Type (120V/130V)&gt;G9 25W Frosted</t>
  </si>
  <si>
    <t>Halogen&gt;JCD Type (120V/130V)&gt;G9 75W</t>
  </si>
  <si>
    <t>Halogen&gt;JCD Type (120V/130V)&gt;G9 60W Frosted XENON</t>
  </si>
  <si>
    <t>Halogen&gt;JCD Type (120V/130V)&gt;G8 20W</t>
  </si>
  <si>
    <t>Halogen&gt;JCD Type (120V/130V)&gt;G8 50W</t>
  </si>
  <si>
    <t>Halogen&gt;JCD Type (120V/130V)&gt;G6.35 35W</t>
  </si>
  <si>
    <t>Halogen&gt;JCD Type (120V/130V)&gt;G6.35 50W</t>
  </si>
  <si>
    <t>Halogen&gt;JCD Type (120V/130V)&gt;G6.35 75W</t>
  </si>
  <si>
    <t>Halogen&gt;JCD Type (120V/130V)&gt;G6.35 100W</t>
  </si>
  <si>
    <t>Halogen&gt;JD Type&gt;E11 Minican 75W</t>
  </si>
  <si>
    <t>Halogen&gt;JD Type&gt;E11 Minican 150W</t>
  </si>
  <si>
    <t>Halogen&gt;JD Type&gt;E11 Minican 250W</t>
  </si>
  <si>
    <t>Halogen&gt;JD Type&gt;50W BA15d Double Contact Bayonet</t>
  </si>
  <si>
    <t>Halogen&gt;JD Type&gt;75W BA15d Double Contact Bayonet</t>
  </si>
  <si>
    <t>Halogen&gt;JD Type&gt;100W BA15d Double Contact Bayonet</t>
  </si>
  <si>
    <t>Halogen&gt;JD Type&gt;150W BA15d Double Contact Bayonet</t>
  </si>
  <si>
    <t>Halogen&gt;JD Type&gt;250W BA15d Double Contact Bayonet</t>
  </si>
  <si>
    <t>Halogen&gt;JDD Type - Double Envelope&gt;JDD Type - CLEAR - 200W</t>
  </si>
  <si>
    <t>Halogen&gt;JDD Type - Double Envelope&gt;JDD Type - FROSTED - 75W</t>
  </si>
  <si>
    <t>Halogen&gt;JDD Type - Double Envelope&gt;JDD Type - FROSTED - 200W</t>
  </si>
  <si>
    <t>CFL&gt;Super Mini Spirals&gt;CFL - Super Mini Spiral 27K</t>
  </si>
  <si>
    <t>CFL&gt;Super Mini Spirals&gt;CFL - Super Mini Spiral 41K</t>
  </si>
  <si>
    <t>CFL&gt;PAR Reflector CFL&gt;PAR20 CFL 27K</t>
  </si>
  <si>
    <t>CFL&gt;PAR Reflector CFL&gt;PAR30L CFL 27K</t>
  </si>
  <si>
    <t>CFL&gt;PL (2-PIN)&gt;PL-5W 2700K</t>
  </si>
  <si>
    <t>CFL&gt;PL (2-PIN)&gt;PL-5W 3500K</t>
  </si>
  <si>
    <t>CFL&gt;PL (2-PIN)&gt;PL-7W 3500K</t>
  </si>
  <si>
    <t>CFL&gt;PL (2-PIN)&gt;PL-9W 3500K</t>
  </si>
  <si>
    <t>CFL&gt;PLC (2-PIN)&gt;PLC-9W 2700K</t>
  </si>
  <si>
    <t>CFL&gt;PLC (2-PIN)&gt;PLC-9W 3500K</t>
  </si>
  <si>
    <t>CFL&gt;PLC (2-PIN)&gt;PLC-9W 4100K</t>
  </si>
  <si>
    <t>CFL&gt;PLC (2-PIN)&gt;PLC-26W 2700K</t>
  </si>
  <si>
    <t>CFL&gt;PLC (2-PIN)&gt;PLC-26W 3500K</t>
  </si>
  <si>
    <t>CFL&gt;PLC (4-PIN)&gt;PLC-10W 2700K</t>
  </si>
  <si>
    <t>CFL&gt;PLT (4-PIN)&gt;PLT-26W 2700K</t>
  </si>
  <si>
    <t>CFL&gt;PLT (4-PIN)&gt;PLT-26W 3500K</t>
  </si>
  <si>
    <t>CFL&gt;PLT (4-PIN)&gt;PLT-26W 4100K</t>
  </si>
  <si>
    <t>CFL&gt;PLT (4-PIN)&gt;PLT-32W 3500K</t>
  </si>
  <si>
    <t>CFL&gt;PLT (4-PIN)&gt;PLT-32W 4100K</t>
  </si>
  <si>
    <t>CFL&gt;PLT (4-PIN)&gt;PLT-42W 4100K</t>
  </si>
  <si>
    <t>Fluorescent Tubes&gt;T5 Tubes - 3 FT&gt;F21 T5 4100K</t>
  </si>
  <si>
    <t>Fluorescent Tubes&gt;T5 Tubes - 4 FT&gt;F28 T5 4100K</t>
  </si>
  <si>
    <t>Fluorescent Tubes&gt;T8 Tubes - 4 FT&gt;F32 T8 28W 5000K</t>
  </si>
  <si>
    <t>HID&gt;Metal Halide - E12 - Medium&gt;MH-50W</t>
  </si>
  <si>
    <t>HID&gt;Metal Halide - E12 - Medium&gt;MH-150W</t>
  </si>
  <si>
    <t>HID&gt;Metal Halide - E12 - Medium&gt;MH-175W</t>
  </si>
  <si>
    <t>HID&gt;Metal Halide - E12 - Medium&gt;MH-175W COATED</t>
  </si>
  <si>
    <t>HID&gt;Metal Halide - E39 - Mogul&gt;MH-400W</t>
  </si>
  <si>
    <t>HID&gt;Metal Halide - E39 - Mogul&gt;MH-175W PS</t>
  </si>
  <si>
    <t>HID&gt;Metal Halide - E39 - Mogul&gt;MH-200W PS</t>
  </si>
  <si>
    <t>HID&gt;Metal Halide - E39 - Mogul&gt;MH-320W PS</t>
  </si>
  <si>
    <t>HID&gt;Metal Halide - E39 - Mogul&gt;250W Conversion</t>
  </si>
  <si>
    <t>HID&gt;Metal Halide - E39 - Mogul&gt;400W Conversion</t>
  </si>
  <si>
    <t>HID&gt;Metal Halide - E39 - Mogul&gt;600W Conversion</t>
  </si>
  <si>
    <t>HID&gt;High Pressure Sodium - HPS / LU - E12 - Medium&gt;HPS-35W</t>
  </si>
  <si>
    <t>HID&gt;High Pressure Sodium - HPS / LU - E12 - Medium&gt;HPS-50W</t>
  </si>
  <si>
    <t>HID&gt;High Pressure Sodium - HPS / LU - E12 - Medium&gt;HPS-100W</t>
  </si>
  <si>
    <t>HID&gt;High Pressure Sodium - HPS / LU - E12 - Medium&gt;HPS-150W</t>
  </si>
  <si>
    <t>HID&gt;High Pressure Sodium - HPS / LU - E39 - Mogul&gt;HPS-50W</t>
  </si>
  <si>
    <t>HID&gt;High Pressure Sodium - HPS / LU - E39 - Mogul&gt;HPS-70W</t>
  </si>
  <si>
    <t>HID&gt;High Pressure Sodium - HPS / LU - E39 - Mogul&gt;HPS-100W</t>
  </si>
  <si>
    <t>HID&gt;High Pressure Sodium - HPS / LU - E39 - Mogul&gt;HPS-150W</t>
  </si>
  <si>
    <t>HID&gt;High Pressure Sodium - HPS / LU - E39 - Mogul&gt;HPS-250W</t>
  </si>
  <si>
    <t>HID&gt;High Pressure Sodium - HPS / LU - E39 - Mogul&gt;HPS-400W</t>
  </si>
  <si>
    <t>https://6dywl8dmjehpqrx0.public.blob.vercel-storage.com/2018/01/CNA-LED6.5WGU10-CB-Spec-Sheet.pdf</t>
  </si>
  <si>
    <t>https://6dywl8dmjehpqrx0.public.blob.vercel-storage.com/2023/07/1129-CNA-LED2WRD1-3.jpg</t>
  </si>
  <si>
    <t>https://6dywl8dmjehpqrx0.public.blob.vercel-storage.com/2023/06/1129-CNA-LED2WRD1-30K-Spec-Sheet.pdf</t>
  </si>
  <si>
    <t>https://6dywl8dmjehpqrx0.public.blob.vercel-storage.com/2026/03/823-LED3WPUCK-3CCT-BK-Font-Angle2-500x500-2.png</t>
  </si>
  <si>
    <t>https://6dywl8dmjehpqrx0.public.blob.vercel-storage.com/2026/03/823-824-825-743-744-745-LED3WPuck-3CCT-XX-Spec-Sheet-2.pdf</t>
  </si>
  <si>
    <t>https://6dywl8dmjehpqrx0.public.blob.vercel-storage.com/2026/03/824-LED3WPUCK-3CCT-SN-Font-Angle2-500x500-3.png</t>
  </si>
  <si>
    <t>https://6dywl8dmjehpqrx0.public.blob.vercel-storage.com/2026/03/825-LED3WPUCK-3CCT-WH-Front-Angle2-500x500-2.png</t>
  </si>
  <si>
    <t>https://6dywl8dmjehpqrx0.public.blob.vercel-storage.com/2026/03/743-PUCK-TRIM-BK-Angle2-500x500-1.png</t>
  </si>
  <si>
    <t>https://6dywl8dmjehpqrx0.public.blob.vercel-storage.com/2026/03/744-PUCK-TRIM-SN-Angle2-500x500-1.png</t>
  </si>
  <si>
    <t>https://6dywl8dmjehpqrx0.public.blob.vercel-storage.com/2026/03/745-PUCK-TRIM-WH-Angle2-500x500-1.png</t>
  </si>
  <si>
    <t>https://6dywl8dmjehpqrx0.public.blob.vercel-storage.com/2017/01/CNA-LED3WPuck-Recessed-360x360.png</t>
  </si>
  <si>
    <t>https://6dywl8dmjehpqrx0.public.blob.vercel-storage.com/2021/06/CNA-LED3WPuck-30K-Spec-Sheet.pdf</t>
  </si>
  <si>
    <t>https://6dywl8dmjehpqrx0.public.blob.vercel-storage.com/2017/06/CNA-LED-SMRing-500x500.png</t>
  </si>
  <si>
    <t>https://6dywl8dmjehpqrx0.public.blob.vercel-storage.com/2017/01/CNA-LED6WPanel-360x360.png</t>
  </si>
  <si>
    <t>https://6dywl8dmjehpqrx0.public.blob.vercel-storage.com/2017/01/CNA-LED6WPanel-Spec-Sheet.pdf</t>
  </si>
  <si>
    <t>https://6dywl8dmjehpqrx0.public.blob.vercel-storage.com/2021/05/CNA-LED-T5Bar-Photo-with-Accessores-cETLus-1586x558-1.png</t>
  </si>
  <si>
    <t>https://6dywl8dmjehpqrx0.public.blob.vercel-storage.com/2021/05/CNA-LED-T5Bar-Series-Light-Strip-Fixtures-Spec-Sheet.pdf</t>
  </si>
  <si>
    <t>https://6dywl8dmjehpqrx0.public.blob.vercel-storage.com/2021/05/CNA-T5Bar-Jbox-original.png</t>
  </si>
  <si>
    <t>https://6dywl8dmjehpqrx0.public.blob.vercel-storage.com/2021/05/CNA-T5Bar-Link12-original.png</t>
  </si>
  <si>
    <t>https://6dywl8dmjehpqrx0.public.blob.vercel-storage.com/2021/05/CNA-T5Bar-Plug-original.png</t>
  </si>
  <si>
    <t>https://6dywl8dmjehpqrx0.public.blob.vercel-storage.com/2024/10/1126-CNA-T5Bar-Accessories-600x600-1.png</t>
  </si>
  <si>
    <t>https://6dywl8dmjehpqrx0.public.blob.vercel-storage.com/2018/06/CNA-LED-DL-Light-Strip-01543x250.png</t>
  </si>
  <si>
    <t>https://6dywl8dmjehpqrx0.public.blob.vercel-storage.com/2018/06/CNA-LED-DL-Light-Strip-Fixtures-Spec-Sheet.pdf</t>
  </si>
  <si>
    <t>https://6dywl8dmjehpqrx0.public.blob.vercel-storage.com/2015/10/CNA-LED-LSH-JBox-00.png</t>
  </si>
  <si>
    <t>https://6dywl8dmjehpqrx0.public.blob.vercel-storage.com/2018/06/T5DL-2M-Plug.jpg</t>
  </si>
  <si>
    <t>https://6dywl8dmjehpqrx0.public.blob.vercel-storage.com/2015/10/CNA-LED-LSH-Plug2m-00.png</t>
  </si>
  <si>
    <t>https://6dywl8dmjehpqrx0.public.blob.vercel-storage.com/2015/10/CNA-LED-LSH-Light-Strip-Fixtures-Spec-Sheet.pdf</t>
  </si>
  <si>
    <t>https://6dywl8dmjehpqrx0.public.blob.vercel-storage.com/2014/06/LED-LS-2-Cropped1.png</t>
  </si>
  <si>
    <t>https://6dywl8dmjehpqrx0.public.blob.vercel-storage.com/2014/09/CNA-LED-LS-Light-Strip-Fixtures-Spec-Sheet.pdf</t>
  </si>
  <si>
    <t>https://6dywl8dmjehpqrx0.public.blob.vercel-storage.com/2024/09/1009-1138-CNA-RL-COB-30K-20FT-40K-20FT-640x640-1.jpg</t>
  </si>
  <si>
    <t>https://6dywl8dmjehpqrx0.public.blob.vercel-storage.com/2024/09/1009-1138-CNA-RL-COB-30K-20FT-40K-20FT-Spec-Sheet.pdf</t>
  </si>
  <si>
    <t>https://6dywl8dmjehpqrx0.public.blob.vercel-storage.com/2024/09/1145-CNA-RL-COB-6LE-1-640x640-1.jpg</t>
  </si>
  <si>
    <t>https://6dywl8dmjehpqrx0.public.blob.vercel-storage.com/2024/09/1146-CNA-RL-COB-12EX-1-640x640-1.jpg</t>
  </si>
  <si>
    <t>https://6dywl8dmjehpqrx0.public.blob.vercel-storage.com/2024/09/1144-CNA-RL-COB-RWC-3-640x640-1.jpg</t>
  </si>
  <si>
    <t>https://6dywl8dmjehpqrx0.public.blob.vercel-storage.com/2024/09/1147-RL-COB-20FTWires-640x640-1.png</t>
  </si>
  <si>
    <t>https://6dywl8dmjehpqrx0.public.blob.vercel-storage.com/2024/09/1143-CNA-RL-COB-IC-4-640x640-1.jpg</t>
  </si>
  <si>
    <t>https://6dywl8dmjehpqrx0.public.blob.vercel-storage.com/2024/09/1142-CNA-RL-COB-LC-4-640x640-1.jpg</t>
  </si>
  <si>
    <t>https://6dywl8dmjehpqrx0.public.blob.vercel-storage.com/2024/09/1139-CNA-RL-COB-TC-2-640x640-1.png</t>
  </si>
  <si>
    <t>https://6dywl8dmjehpqrx0.public.blob.vercel-storage.com/2024/09/1153-CNA-IFP03-1M-2-423x423-1.png</t>
  </si>
  <si>
    <t>https://6dywl8dmjehpqrx0.public.blob.vercel-storage.com/2019/04/CNA-FP20-1M-800x600.png</t>
  </si>
  <si>
    <t>https://6dywl8dmjehpqrx0.public.blob.vercel-storage.com/2019/04/CNA-LED-Ribbon-Aluminum-Channels-Spec-Sheet.pdf</t>
  </si>
  <si>
    <t>https://6dywl8dmjehpqrx0.public.blob.vercel-storage.com/2019/04/CNA-FP20-EC-640x640.png</t>
  </si>
  <si>
    <t>https://6dywl8dmjehpqrx0.public.blob.vercel-storage.com/2019/04/CNA-FP20-M-CLIP-SET-640x640.png</t>
  </si>
  <si>
    <t>https://6dywl8dmjehpqrx0.public.blob.vercel-storage.com/2019/04/CNA-RP20-1M-800x600.png</t>
  </si>
  <si>
    <t>https://6dywl8dmjehpqrx0.public.blob.vercel-storage.com/2019/04/CNA-RP20-EC-640x640.png</t>
  </si>
  <si>
    <t>https://6dywl8dmjehpqrx0.public.blob.vercel-storage.com/2019/04/CNA-RP20-S-CLIP-installed-2-640x640.png</t>
  </si>
  <si>
    <t>https://6dywl8dmjehpqrx0.public.blob.vercel-storage.com/2020/08/CNA-PS12W-ETL-RD-505x505-1.png</t>
  </si>
  <si>
    <t>https://6dywl8dmjehpqrx0.public.blob.vercel-storage.com/2020/08/CNA-PS12W-ETL-RD-Spec-Sheet.pdf</t>
  </si>
  <si>
    <t>https://6dywl8dmjehpqrx0.public.blob.vercel-storage.com/2020/08/CNA-PS20W-ETL-RD-505x505-1.png</t>
  </si>
  <si>
    <t>https://6dywl8dmjehpqrx0.public.blob.vercel-storage.com/2020/08/CNA-PS20W-ETL-RD-Spec-Sheet.pdf</t>
  </si>
  <si>
    <t>https://6dywl8dmjehpqrx0.public.blob.vercel-storage.com/2020/08/CNA-PS40W-ETL-RD-505x505-1.png</t>
  </si>
  <si>
    <t>https://6dywl8dmjehpqrx0.public.blob.vercel-storage.com/2020/08/CNA-PS40W-ETL-RD-Spec-Sheet.pdf</t>
  </si>
  <si>
    <t>https://6dywl8dmjehpqrx0.public.blob.vercel-storage.com/2020/08/CNA-PS60W-ETL-RD-485x485-1.png</t>
  </si>
  <si>
    <t>https://6dywl8dmjehpqrx0.public.blob.vercel-storage.com/2020/08/CNA-PS60W-ETL-RD-Spec-Sheet.pdf</t>
  </si>
  <si>
    <t>https://6dywl8dmjehpqrx0.public.blob.vercel-storage.com/2020/01/CNA-PS100W-ETL-DIM-640x640-1.png</t>
  </si>
  <si>
    <t>https://6dywl8dmjehpqrx0.public.blob.vercel-storage.com/2023/05/1035-CNA-PS100W-ETL-DIM-Spec-Sheet.pdf</t>
  </si>
  <si>
    <t>https://6dywl8dmjehpqrx0.public.blob.vercel-storage.com/1135-CNA-PS120W-ETL-DIM-600x600-1.png</t>
  </si>
  <si>
    <t>https://6dywl8dmjehpqrx0.public.blob.vercel-storage.com/2023/12/1135-CNA-PS120W-ETL-DIM-Spec-Sheet.pdf</t>
  </si>
  <si>
    <t>https://6dywl8dmjehpqrx0.public.blob.vercel-storage.com/2017/12/CNA-PS-18W-BOXDIM-2-Medium-Res.jpg</t>
  </si>
  <si>
    <t>https://6dywl8dmjehpqrx0.public.blob.vercel-storage.com/2017/12/CNA-PS-18W-BOXDIM-Spec-Sheet.pdf</t>
  </si>
  <si>
    <t>https://6dywl8dmjehpqrx0.public.blob.vercel-storage.com/2017/12/CNA-PS-40W-BOXDIM-2-Medium-Res.jpg</t>
  </si>
  <si>
    <t>https://6dywl8dmjehpqrx0.public.blob.vercel-storage.com/2017/12/CNA-PS-40W-BOXDIM-Spec-Sheet.pdf</t>
  </si>
  <si>
    <t>https://6dywl8dmjehpqrx0.public.blob.vercel-storage.com/2014/06/PS-DIM.png</t>
  </si>
  <si>
    <t>https://6dywl8dmjehpqrx0.public.blob.vercel-storage.com/2013/08/PS100W-DIM.png</t>
  </si>
  <si>
    <t>https://6dywl8dmjehpqrx0.public.blob.vercel-storage.com/2015/07/CNA-Lighting-LED-Driver-PS100W-MC-Spec-Sheet.pdf</t>
  </si>
  <si>
    <t>https://6dywl8dmjehpqrx0.public.blob.vercel-storage.com/2013/08/PS150W-DIM.png</t>
  </si>
  <si>
    <t>https://6dywl8dmjehpqrx0.public.blob.vercel-storage.com/2017/11/CNA-LED-Driver-PLUG-300x300.png</t>
  </si>
  <si>
    <t>https://6dywl8dmjehpqrx0.public.blob.vercel-storage.com/2015/05/PS72W-PLUG.png</t>
  </si>
  <si>
    <t>https://6dywl8dmjehpqrx0.public.blob.vercel-storage.com/2023/01/CNA-Lighting-PS72W-PLUG-LED-Driver-Spec-Sheet.pdf</t>
  </si>
  <si>
    <t>https://6dywl8dmjehpqrx0.public.blob.vercel-storage.com/2024/09/1148-CNA-PS40W-24V-600x600-1.png</t>
  </si>
  <si>
    <t>https://6dywl8dmjehpqrx0.public.blob.vercel-storage.com/2024/09/1148-CNA-PS40W-24V-Spec-Sheet.pdf</t>
  </si>
  <si>
    <t>https://6dywl8dmjehpqrx0.public.blob.vercel-storage.com/2024/09/1149-CNA-PS60W-24V-600x600-1.png</t>
  </si>
  <si>
    <t>https://6dywl8dmjehpqrx0.public.blob.vercel-storage.com/2024/09/1149-CNA-PS60W-24V-Spec-Sheet.pdf</t>
  </si>
  <si>
    <t>https://6dywl8dmjehpqrx0.public.blob.vercel-storage.com/2024/09/1150-CNA-PS80W-24V-600x600-1.png</t>
  </si>
  <si>
    <t>https://6dywl8dmjehpqrx0.public.blob.vercel-storage.com/2024/09/1150-CNA-PS80W-24V-Spec-Sheet.pdf</t>
  </si>
  <si>
    <t>https://6dywl8dmjehpqrx0.public.blob.vercel-storage.com/2024/09/1151-CNA-PS100W-24V-600x600-1.png</t>
  </si>
  <si>
    <t>https://6dywl8dmjehpqrx0.public.blob.vercel-storage.com/2024/09/1151-CNA-PS100W-24V-Spec-Sheet.pdf</t>
  </si>
  <si>
    <t>https://6dywl8dmjehpqrx0.public.blob.vercel-storage.com/2024/09/1152-CNA-PS150W-24V-1-600x600-1.png</t>
  </si>
  <si>
    <t>https://6dywl8dmjehpqrx0.public.blob.vercel-storage.com/2024/09/1152-CNA-PS150W-24V-Spec-Sheet.pdf</t>
  </si>
  <si>
    <t>https://6dywl8dmjehpqrx0.public.blob.vercel-storage.com/2024/09/1103-CNA-PS100W-MC-24V-551x551-1.png</t>
  </si>
  <si>
    <t>https://6dywl8dmjehpqrx0.public.blob.vercel-storage.com/2024/09/1103-CNA-PS100W-MC-24V-Spec-Sheet.pdf</t>
  </si>
  <si>
    <t>https://6dywl8dmjehpqrx0.public.blob.vercel-storage.com/2019/06/CNA-LED-SL-BK-640x640.png</t>
  </si>
  <si>
    <t>https://6dywl8dmjehpqrx0.public.blob.vercel-storage.com/2019/06/CNA-SL-SERIES-LED-Step-Lights-Spec-Sheet.pdf</t>
  </si>
  <si>
    <t>https://6dywl8dmjehpqrx0.public.blob.vercel-storage.com/2019/06/CNA-LED-SL-BN-640x640.png</t>
  </si>
  <si>
    <t>https://6dywl8dmjehpqrx0.public.blob.vercel-storage.com/2019/06/CNA-LED-SL-WH-650x650.png</t>
  </si>
  <si>
    <t>https://6dywl8dmjehpqrx0.public.blob.vercel-storage.com/2023/02/CNA-S14-String48-600x600-1.png</t>
  </si>
  <si>
    <t>https://6dywl8dmjehpqrx0.public.blob.vercel-storage.com/2023/02/CNA-1122-LED-S14-String48-Spec-Sheet.pdf</t>
  </si>
  <si>
    <t>https://6dywl8dmjehpqrx0.public.blob.vercel-storage.com/2024/12/1214-CNA-LED5.5WPL13-4CCT-600x600-1.png</t>
  </si>
  <si>
    <t>https://6dywl8dmjehpqrx0.public.blob.vercel-storage.com/2024/12/1214-CNA-LED5.5WPL13-HY-4CCT-Spec-Sheet.pdf</t>
  </si>
  <si>
    <t>https://6dywl8dmjehpqrx0.public.blob.vercel-storage.com/2026/02/168-CNA-LED7WPLC13-HY-5CCT-600x600-1.png</t>
  </si>
  <si>
    <t>https://6dywl8dmjehpqrx0.public.blob.vercel-storage.com/2026/02/168-CNA-LED7WPLC13-HY-5CCT-Spec-Sheet-1.pdf</t>
  </si>
  <si>
    <t>https://6dywl8dmjehpqrx0.public.blob.vercel-storage.com/2017/04/CNA-LED7WPLC13-500x500.png</t>
  </si>
  <si>
    <t>https://6dywl8dmjehpqrx0.public.blob.vercel-storage.com/2021/10/CNA-LED7WPLC13-HY-XXK-Spec-Sheet.pdf</t>
  </si>
  <si>
    <t>https://6dywl8dmjehpqrx0.public.blob.vercel-storage.com/2024/12/1215-CNA-LED9WPLC26-32-42-HY-XXK-600x600-1.png</t>
  </si>
  <si>
    <t>https://6dywl8dmjehpqrx0.public.blob.vercel-storage.com/2024/12/1215-CNA-LED9WPL26-32-42-HY-40K-Spec-Sheet.pdf</t>
  </si>
  <si>
    <t>https://6dywl8dmjehpqrx0.public.blob.vercel-storage.com/2017/04/CNA-LED15WPLC26-500x500.png</t>
  </si>
  <si>
    <t>https://6dywl8dmjehpqrx0.public.blob.vercel-storage.com/2019/05/CNA-LED11WPL-26-32-42-HY-XXK-Spec-Sheet.pdf</t>
  </si>
  <si>
    <t>https://6dywl8dmjehpqrx0.public.blob.vercel-storage.com/2024/12/1014-1015-CNA-LED-12WT8-HY-XXK-515x515-1.png</t>
  </si>
  <si>
    <t>https://6dywl8dmjehpqrx0.public.blob.vercel-storage.com/2024/12/1014-1015-CNA-LED12WT8-HY-XXK-Spec-Sheet.pdf</t>
  </si>
  <si>
    <t>https://6dywl8dmjehpqrx0.public.blob.vercel-storage.com/2024/12/1209-1210-1211-CNA-LED11WT8-CM-XXK-600x600-1.png</t>
  </si>
  <si>
    <t>https://6dywl8dmjehpqrx0.public.blob.vercel-storage.com/2024/12/1209-1210-1211-CNA-LED11WT8-CM-XXK-Spec-Sheet.pdf</t>
  </si>
  <si>
    <t>https://6dywl8dmjehpqrx0.public.blob.vercel-storage.com/2015/02/LED-19W-4F-T8-50K-Cropped.png</t>
  </si>
  <si>
    <t>https://6dywl8dmjehpqrx0.public.blob.vercel-storage.com/2021/06/CNA-LED14WT8-347V-40K-Spec-Sheet.pdf</t>
  </si>
  <si>
    <t>https://6dywl8dmjehpqrx0.public.blob.vercel-storage.com/2016/07/LED-25W-4F-T5-40K-500x500.png</t>
  </si>
  <si>
    <t>https://6dywl8dmjehpqrx0.public.blob.vercel-storage.com/2018/02/CNA-LED25WT5-8XX-COMP-Spec-Sheet.pdf</t>
  </si>
  <si>
    <t>https://6dywl8dmjehpqrx0.public.blob.vercel-storage.com/CNA-LED-35W-120-347V-Strip900x1792-151x300.png</t>
  </si>
  <si>
    <t>https://6dywl8dmjehpqrx0.public.blob.vercel-storage.com/2022/08/CNA-LED35WSTP-3CCT-Spec-Sheet.pdf</t>
  </si>
  <si>
    <t>https://6dywl8dmjehpqrx0.public.blob.vercel-storage.com/Optional-Connector-Plate-300x154.png</t>
  </si>
  <si>
    <t>https://6dywl8dmjehpqrx0.public.blob.vercel-storage.com/2019/01/CNA-LED-Flood-TP-FL30-G3T-R5-640x640.png</t>
  </si>
  <si>
    <t>https://6dywl8dmjehpqrx0.public.blob.vercel-storage.com/2019/01/CNA-LED-Flood-TP-FL30-G3T-R5.pdf</t>
  </si>
  <si>
    <t>https://6dywl8dmjehpqrx0.public.blob.vercel-storage.com/2016/06/CNA-LED-Wall-Pack-70W-Centered-150x150.jpg</t>
  </si>
  <si>
    <t>https://6dywl8dmjehpqrx0.public.blob.vercel-storage.com/2016/12/CNA-LED-Wall-Pack-145W-347V-5000K-Spec-Sheet.pdf</t>
  </si>
  <si>
    <t>https://6dywl8dmjehpqrx0.public.blob.vercel-storage.com/2019/02/CNA-LED-EX100-SP-520x520.png</t>
  </si>
  <si>
    <t>https://6dywl8dmjehpqrx0.public.blob.vercel-storage.com/2024/05/989-CNA-EX100-SP-Self-Powered-LED-Running-Man-Spec-Sheet.pdf</t>
  </si>
  <si>
    <t>https://6dywl8dmjehpqrx0.public.blob.vercel-storage.com/2019/02/CNA-LED-EX101-CB-650x650.png</t>
  </si>
  <si>
    <t>https://6dywl8dmjehpqrx0.public.blob.vercel-storage.com/2019/02/CNA-EX101-CB-Self-Powered-Combination-LED-Running-Man-Spec-Sheet.pdf</t>
  </si>
  <si>
    <t>https://6dywl8dmjehpqrx0.public.blob.vercel-storage.com/2020/10/CNA-BP-36W-650x650-1.png</t>
  </si>
  <si>
    <t>https://6dywl8dmjehpqrx0.public.blob.vercel-storage.com/2020/10/CNA-BP-36W-Spec-Sheet.pdf</t>
  </si>
  <si>
    <t>https://6dywl8dmjehpqrx0.public.blob.vercel-storage.com/2020/10/CNA-BP-72W-600x600-1.png</t>
  </si>
  <si>
    <t>https://6dywl8dmjehpqrx0.public.blob.vercel-storage.com/2020/10/CNA-BP-72W-Spec-Sheet.pdf</t>
  </si>
  <si>
    <t>https://6dywl8dmjehpqrx0.public.blob.vercel-storage.com/2020/10/CNA-RH-1-631x631-1.png</t>
  </si>
  <si>
    <t>https://6dywl8dmjehpqrx0.public.blob.vercel-storage.com/2020/10/CNA-RH-1-Spec-Sheet.pdf</t>
  </si>
  <si>
    <t>https://6dywl8dmjehpqrx0.public.blob.vercel-storage.com/2020/10/CNA-RH-2-850x850-1.png</t>
  </si>
  <si>
    <t>https://6dywl8dmjehpqrx0.public.blob.vercel-storage.com/2020/10/CNA-RH-2-Spec-Sheet.pdf</t>
  </si>
  <si>
    <t>https://6dywl8dmjehpqrx0.public.blob.vercel-storage.com/2024/09/419-420-CNA-J78-75W-100W-120V-650x650-1.png</t>
  </si>
  <si>
    <t>https://6dywl8dmjehpqrx0.public.blob.vercel-storage.com/2024/09/2024-CNA-Halogen-Bulbs-Spec-Sheet.pdf</t>
  </si>
  <si>
    <t>https://6dywl8dmjehpqrx0.public.blob.vercel-storage.com/2024/09/313-197-CNA-G9-40W-50W-120V-460x460-1.png</t>
  </si>
  <si>
    <t>https://6dywl8dmjehpqrx0.public.blob.vercel-storage.com/2024/09/68-89-49-CNA-JD-E11-50W-75W-100W-120V-585x585-1.png</t>
  </si>
  <si>
    <t>https://6dywl8dmjehpqrx0.public.blob.vercel-storage.com/2012/07/jcdr_gu10_50w.jpg</t>
  </si>
  <si>
    <t>https://6dywl8dmjehpqrx0.public.blob.vercel-storage.com/2012/07/jdr_50w.jpg</t>
  </si>
  <si>
    <t>https://6dywl8dmjehpqrx0.public.blob.vercel-storage.com/2012/07/par16_50w_fl.jpg</t>
  </si>
  <si>
    <t>https://6dywl8dmjehpqrx0.public.blob.vercel-storage.com/2012/07/mr16_12v_50w_exn.jpg</t>
  </si>
  <si>
    <t>https://6dywl8dmjehpqrx0.public.blob.vercel-storage.com/2012/07/XENON-MR16-50W-EXN%2BC.jpg</t>
  </si>
  <si>
    <t>https://6dywl8dmjehpqrx0.public.blob.vercel-storage.com/2012/07/igloo_mr16_50w_exn%2Bc_completely_frosted.jpg</t>
  </si>
  <si>
    <t>https://6dywl8dmjehpqrx0.public.blob.vercel-storage.com/2012/07/DAYLIGHT-MR16-50W-EXZ%2BC.jpg</t>
  </si>
  <si>
    <t>https://6dywl8dmjehpqrx0.public.blob.vercel-storage.com/2012/07/mr11_12v_20w_ftd.jpg</t>
  </si>
  <si>
    <t>https://6dywl8dmjehpqrx0.public.blob.vercel-storage.com/2012/07/jcd_130v_35w_g6.35.jpg</t>
  </si>
  <si>
    <t>https://6dywl8dmjehpqrx0.public.blob.vercel-storage.com/2026/03/CNA-Halogen-J-Type-Horizontal-600x600-1.png</t>
  </si>
  <si>
    <t>https://6dywl8dmjehpqrx0.public.blob.vercel-storage.com/2012/07/jcd_130v_25w_g9_frosted.jpg</t>
  </si>
  <si>
    <t>https://6dywl8dmjehpqrx0.public.blob.vercel-storage.com/2012/07/jcd_130v_40w_g9.jpg</t>
  </si>
  <si>
    <t>https://6dywl8dmjehpqrx0.public.blob.vercel-storage.com/2026/03/CNA-Halogen-JCD-G8-Photo-500x500-1.png</t>
  </si>
  <si>
    <t>https://6dywl8dmjehpqrx0.public.blob.vercel-storage.com/2012/07/jd_130v_50w_e11.jpg</t>
  </si>
  <si>
    <t>https://6dywl8dmjehpqrx0.public.blob.vercel-storage.com/2012/07/jd_130v_50w_ba15d.jpg</t>
  </si>
  <si>
    <t>https://6dywl8dmjehpqrx0.public.blob.vercel-storage.com/2012/07/jdd_120v_75w.jpg</t>
  </si>
  <si>
    <t>https://6dywl8dmjehpqrx0.public.blob.vercel-storage.com/2012/07/jdd_130v_75w_frosted.jpg</t>
  </si>
  <si>
    <t>https://6dywl8dmjehpqrx0.public.blob.vercel-storage.com/2012/07/est-23w.jpg</t>
  </si>
  <si>
    <t>https://6dywl8dmjehpqrx0.public.blob.vercel-storage.com/2015/08/CNA-GU24-13W-CFL-500x500.png</t>
  </si>
  <si>
    <t>https://6dywl8dmjehpqrx0.public.blob.vercel-storage.com/2012/07/ep-9w_par20.jpg</t>
  </si>
  <si>
    <t>https://6dywl8dmjehpqrx0.public.blob.vercel-storage.com/2012/07/ep-15w_par30l.jpg</t>
  </si>
  <si>
    <t>https://6dywl8dmjehpqrx0.public.blob.vercel-storage.com/2012/07/fls-13w.jpg</t>
  </si>
  <si>
    <t>https://6dywl8dmjehpqrx0.public.blob.vercel-storage.com/2012/07/flc-13w.jpg</t>
  </si>
  <si>
    <t>https://6dywl8dmjehpqrx0.public.blob.vercel-storage.com/2012/07/flc-13w_4p.jpg</t>
  </si>
  <si>
    <t>https://6dywl8dmjehpqrx0.public.blob.vercel-storage.com/2012/07/flt-26w.jpg</t>
  </si>
  <si>
    <t>https://6dywl8dmjehpqrx0.public.blob.vercel-storage.com/2012/07/T5-Tubes.jpg</t>
  </si>
  <si>
    <t>https://6dywl8dmjehpqrx0.public.blob.vercel-storage.com/2013/04/CNA-Lighting-T5-Linear-Fluorescent-Tubes-Spec-Sheet.pdf</t>
  </si>
  <si>
    <t>https://6dywl8dmjehpqrx0.public.blob.vercel-storage.com/2012/08/F32T8-28W850-Tube-Cropped-Alpha-Background-smaller-res.png</t>
  </si>
  <si>
    <t>https://6dywl8dmjehpqrx0.public.blob.vercel-storage.com/2013/03/F32T8-28W-Energy-Saver-T8-Spec-Sheet.pdf</t>
  </si>
  <si>
    <t>https://6dywl8dmjehpqrx0.public.blob.vercel-storage.com/2012/07/mh_175w-ps_mogul-124x300.jpg</t>
  </si>
  <si>
    <t>https://6dywl8dmjehpqrx0.public.blob.vercel-storage.com/2012/07/lu_70w_medium-107x223-custom.jpg</t>
  </si>
  <si>
    <t>45°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</si>
</sst>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&quot;$&quot;#,##0.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  <xf numFmtId="0" fontId="3" fillId="0" borderId="0" xfId="2"/>
    <xf numFmtId="0" fontId="0" fillId="0" borderId="0" xfId="0" applyFont="1"/>
    <xf numFmtId="0" fontId="0" fillId="0" borderId="0" xfId="0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3" fillId="0" borderId="0" xfId="2" applyFont="1"/>
    <xf numFmtId="49" fontId="0" fillId="0" borderId="0" xfId="0" applyNumberFormat="1" applyFont="1"/>
    <xf numFmtId="0" fontId="0" fillId="0" borderId="0" xfId="0" applyFont="1" applyAlignment="1">
      <alignment horizontal="right"/>
    </xf>
    <xf numFmtId="8" fontId="0" fillId="0" borderId="0" xfId="0" applyNumberFormat="1" applyFont="1" applyAlignment="1">
      <alignment horizontal="center"/>
    </xf>
  </cellXfs>
  <cellStyles count="3">
    <cellStyle name="Hyperlink" xfId="2" builtinId="8"/>
    <cellStyle name="Hyperlink 2" xfId="1" xr:uid="{D36361AB-70BF-4984-8BC1-0A64C411D3F6}"/>
    <cellStyle name="Normal" xfId="0" builtinId="0"/>
  </cellStyles>
  <dxfs count="89">
    <dxf>
      <font>
        <b val="0"/>
      </font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  <alignment horizontal="right" vertical="bottom" textRotation="0" wrapText="0" indent="0" justifyLastLine="0" shrinkToFit="0" readingOrder="0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alignment horizontal="right" vertical="bottom" textRotation="0" wrapText="0" indent="0" justifyLastLine="0" shrinkToFit="0" readingOrder="0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</dxf>
    <dxf>
      <font>
        <b val="0"/>
      </font>
      <numFmt numFmtId="0" formatCode="General"/>
    </dxf>
    <dxf>
      <font>
        <b val="0"/>
      </font>
      <numFmt numFmtId="30" formatCode="@"/>
    </dxf>
    <dxf>
      <font>
        <b val="0"/>
      </font>
      <numFmt numFmtId="30" formatCode="@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0" formatCode="General"/>
    </dxf>
    <dxf>
      <font>
        <b val="0"/>
      </font>
      <numFmt numFmtId="164" formatCode="&quot;$&quot;#,##0.00"/>
      <alignment horizontal="center" vertical="bottom" textRotation="0" wrapText="0" indent="0" justifyLastLine="0" shrinkToFit="0" readingOrder="0"/>
    </dxf>
    <dxf>
      <font>
        <b val="0"/>
      </font>
      <alignment horizontal="center" vertical="bottom" textRotation="0" wrapText="0" indent="0" justifyLastLine="0" shrinkToFit="0" readingOrder="0"/>
    </dxf>
    <dxf>
      <font>
        <b val="0"/>
      </font>
    </dxf>
    <dxf>
      <font>
        <b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b val="0"/>
      </font>
    </dxf>
    <dxf>
      <font>
        <b val="0"/>
      </font>
    </dxf>
    <dxf>
      <font>
        <b val="0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91924E-6F7D-4357-908A-95809337FA5A}" autoFormatId="16" applyNumberFormats="0" applyBorderFormats="0" applyFontFormats="0" applyPatternFormats="0" applyAlignmentFormats="0" applyWidthHeightFormats="0">
  <queryTableRefresh nextId="113">
    <queryTableFields count="88">
      <queryTableField id="1" name="Categories" tableColumnId="1"/>
      <queryTableField id="81" dataBound="0" tableColumnId="75"/>
      <queryTableField id="83" dataBound="0" tableColumnId="77"/>
      <queryTableField id="100" dataBound="0" tableColumnId="86"/>
      <queryTableField id="82" dataBound="0" tableColumnId="76"/>
      <queryTableField id="103" dataBound="0" tableColumnId="87"/>
      <queryTableField id="2" name="SKU" tableColumnId="2"/>
      <queryTableField id="85" dataBound="0" tableColumnId="78"/>
      <queryTableField id="3" name="Name" tableColumnId="3"/>
      <queryTableField id="6" name="Description" tableColumnId="6"/>
      <queryTableField id="4" name="Images" tableColumnId="4"/>
      <queryTableField id="5" name="Spec Sheet" tableColumnId="5"/>
      <queryTableField id="112" dataBound="0" tableColumnId="35"/>
      <queryTableField id="7" name="Type" tableColumnId="7"/>
      <queryTableField id="8" name="Published" tableColumnId="8"/>
      <queryTableField id="9" name="In stock?" tableColumnId="9"/>
      <queryTableField id="10" name="Wattage (W)" tableColumnId="10"/>
      <queryTableField id="11" name="Voltage (V)" tableColumnId="11"/>
      <queryTableField id="12" name="Lumens (lm)" tableColumnId="12"/>
      <queryTableField id="13" name="Efficiency" tableColumnId="13"/>
      <queryTableField id="14" name="Life (Hrs)" tableColumnId="14"/>
      <queryTableField id="15" name="Bulb Equivalent" tableColumnId="15"/>
      <queryTableField id="16" name="Base" tableColumnId="16"/>
      <queryTableField id="17" name="Colour Temperature" tableColumnId="17"/>
      <queryTableField id="18" name="Beam Angle" tableColumnId="18"/>
      <queryTableField id="19" name="CRI" tableColumnId="19"/>
      <queryTableField id="20" name="Dimmable" tableColumnId="20"/>
      <queryTableField id="21" name="Operating Temperature" tableColumnId="21"/>
      <queryTableField id="22" name="Environmental Rating" tableColumnId="22"/>
      <queryTableField id="23" name="Certifications" tableColumnId="23"/>
      <queryTableField id="109" dataBound="0" tableColumnId="93"/>
      <queryTableField id="25" name="Nominal Length" tableColumnId="25"/>
      <queryTableField id="26" name="Length (mm)" tableColumnId="26"/>
      <queryTableField id="27" name="Length (inches)" tableColumnId="27"/>
      <queryTableField id="28" name="Length (raw)" tableColumnId="28"/>
      <queryTableField id="69" dataBound="0" tableColumnId="66"/>
      <queryTableField id="68" dataBound="0" tableColumnId="67"/>
      <queryTableField id="102" dataBound="0" tableColumnId="24"/>
      <queryTableField id="67" dataBound="0" tableColumnId="68"/>
      <queryTableField id="66" dataBound="0" tableColumnId="69"/>
      <queryTableField id="29" name="Diameter (mm)" tableColumnId="29"/>
      <queryTableField id="30" name="Diameter (inches)" tableColumnId="30"/>
      <queryTableField id="31" name="Diameter (raw)" tableColumnId="31"/>
      <queryTableField id="32" name="Weight (g)" tableColumnId="32"/>
      <queryTableField id="33" name="Weight (lbs)" tableColumnId="33"/>
      <queryTableField id="104" dataBound="0" tableColumnId="88"/>
      <queryTableField id="105" dataBound="0" tableColumnId="89"/>
      <queryTableField id="37" name="Shape" tableColumnId="37"/>
      <queryTableField id="38" name="Warranty" tableColumnId="38"/>
      <queryTableField id="110" dataBound="0" tableColumnId="94"/>
      <queryTableField id="111" dataBound="0" tableColumnId="95"/>
      <queryTableField id="86" dataBound="0" tableColumnId="79"/>
      <queryTableField id="87" dataBound="0" tableColumnId="80"/>
      <queryTableField id="88" dataBound="0" tableColumnId="81"/>
      <queryTableField id="89" dataBound="0" tableColumnId="82"/>
      <queryTableField id="90" dataBound="0" tableColumnId="83"/>
      <queryTableField id="34" name="Weight (raw)" tableColumnId="34"/>
      <queryTableField id="78" dataBound="0" tableColumnId="72"/>
      <queryTableField id="77" dataBound="0" tableColumnId="73"/>
      <queryTableField id="76" dataBound="0" tableColumnId="74"/>
      <queryTableField id="91" dataBound="0" tableColumnId="84"/>
      <queryTableField id="92" dataBound="0" tableColumnId="85"/>
      <queryTableField id="106" dataBound="0" tableColumnId="90"/>
      <queryTableField id="107" dataBound="0" tableColumnId="91"/>
      <queryTableField id="108" dataBound="0" tableColumnId="92"/>
      <queryTableField id="39" name="Dimmer Compatibility" tableColumnId="39"/>
      <queryTableField id="40" name="Finish" tableColumnId="40"/>
      <queryTableField id="41" name="Direct Replacement For" tableColumnId="41"/>
      <queryTableField id="42" name="Use" tableColumnId="42"/>
      <queryTableField id="71" dataBound="0" tableColumnId="71"/>
      <queryTableField id="46" name="Diffuser Type" tableColumnId="46"/>
      <queryTableField id="47" name="Diffuser Material" tableColumnId="47"/>
      <queryTableField id="48" name="Optional Accessory" tableColumnId="48"/>
      <queryTableField id="70" dataBound="0" tableColumnId="70"/>
      <queryTableField id="51" name="Flange Dimensions" tableColumnId="51"/>
      <queryTableField id="52" name="Recess Dimensions" tableColumnId="52"/>
      <queryTableField id="53" name="Rib-reinforced" tableColumnId="53"/>
      <queryTableField id="54" name="PIR Sensor" tableColumnId="54"/>
      <queryTableField id="55" name="Auto Shut-off" tableColumnId="55"/>
      <queryTableField id="56" name="Waterproofing" tableColumnId="56"/>
      <queryTableField id="57" name="LED Quantity" tableColumnId="57"/>
      <queryTableField id="58" name="LED Type" tableColumnId="58"/>
      <queryTableField id="59" name="Input Voltage (VAC)" tableColumnId="59"/>
      <queryTableField id="60" name="Current Draw" tableColumnId="60"/>
      <queryTableField id="61" name="Output Voltage (VDC)" tableColumnId="61"/>
      <queryTableField id="62" name="Dimensions (without tabs)" tableColumnId="62"/>
      <queryTableField id="63" name="Maximum Linkable Length" tableColumnId="63"/>
      <queryTableField id="65" name="Classification Type" tableColumnId="65"/>
    </queryTableFields>
    <queryTableDeletedFields count="9">
      <deletedField name="Energy Star"/>
      <deletedField name="Inside diameter"/>
      <deletedField name="Outside diameter"/>
      <deletedField name="Hole Size Cutout"/>
      <deletedField name="Inner Carton Quantity"/>
      <deletedField name="Master Carton Quantity"/>
      <deletedField name="Total Harmonic Distortion (THD)"/>
      <deletedField name="Power Factor"/>
      <deletedField name="TH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D9889-9513-4253-8118-D154059ADD75}" name="cna_product_database_catalog_website" displayName="cna_product_database_catalog_website" ref="A1:CJ347" tableType="queryTable" totalsRowShown="0" dataDxfId="0">
  <autoFilter ref="A1:CJ347" xr:uid="{50CD9889-9513-4253-8118-D154059ADD75}"/>
  <sortState xmlns:xlrd2="http://schemas.microsoft.com/office/spreadsheetml/2017/richdata2" ref="A2:CJ347">
    <sortCondition ref="E1:E347"/>
  </sortState>
  <tableColumns count="88">
    <tableColumn id="1" xr3:uid="{7A69ADF3-185F-46D1-BF36-75AC0C04ABC5}" uniqueName="1" name="MainCategory" queryTableFieldId="1" dataDxfId="88"/>
    <tableColumn id="75" xr3:uid="{E53947B4-F6B8-4C39-B179-21EAA64AC0AF}" uniqueName="75" name="SubCategory1" queryTableFieldId="81" dataDxfId="87"/>
    <tableColumn id="77" xr3:uid="{2DB37C3C-9D53-44B3-B566-C976F3A1CE15}" uniqueName="77" name="SubCategory2" queryTableFieldId="83" dataDxfId="86"/>
    <tableColumn id="86" xr3:uid="{16236DAB-6C48-4607-B3DE-04FFBB231326}" uniqueName="86" name="category" queryTableFieldId="100" dataDxfId="85"/>
    <tableColumn id="76" xr3:uid="{15022DB2-A741-4DAF-9D38-40CE450E063F}" uniqueName="76" name="menu_order" queryTableFieldId="82" dataDxfId="84"/>
    <tableColumn id="87" xr3:uid="{354BE86F-FFEB-43B3-8C23-74E41F905827}" uniqueName="87" name="Model" queryTableFieldId="103" dataDxfId="83"/>
    <tableColumn id="2" xr3:uid="{995B0C64-73A9-48C8-8946-6B0E1FBBCC8B}" uniqueName="2" name="SKU:sku" queryTableFieldId="2" dataDxfId="82"/>
    <tableColumn id="78" xr3:uid="{EDF22961-88A1-40EF-B857-86995F799893}" uniqueName="78" name="Price: regular_price" queryTableFieldId="85" dataDxfId="81"/>
    <tableColumn id="3" xr3:uid="{6CEDBB99-A8F7-4E04-8382-9D98486C0A7B}" uniqueName="3" name="post_title" queryTableFieldId="3" dataDxfId="80"/>
    <tableColumn id="6" xr3:uid="{9A6C349C-BC35-4AC0-AE36-7010E32EAF85}" uniqueName="6" name="post_content" queryTableFieldId="6" dataDxfId="79"/>
    <tableColumn id="4" xr3:uid="{AC6ABA2E-E947-4B28-BCAC-09287AF98B1E}" uniqueName="4" name="Images/Gallery" queryTableFieldId="4" dataDxfId="78"/>
    <tableColumn id="5" xr3:uid="{DB85092D-5375-40F1-99D8-35FDFFB18C32}" uniqueName="5" name="Spec Sheet Link" queryTableFieldId="5" dataDxfId="77"/>
    <tableColumn id="35" xr3:uid="{A850B1BC-FB1C-4A86-B959-0E81CFEC7143}" uniqueName="35" name="Spec Sheet Link Text" queryTableFieldId="112" dataDxfId="76">
      <calculatedColumnFormula>HYPERLINK("")</calculatedColumnFormula>
    </tableColumn>
    <tableColumn id="7" xr3:uid="{268948B9-A94E-4BEA-A543-2935CA562A29}" uniqueName="7" name="product_type" queryTableFieldId="7" dataDxfId="75"/>
    <tableColumn id="8" xr3:uid="{55F4204D-9800-459A-BD15-91C06930F37A}" uniqueName="8" name="product_visibility" queryTableFieldId="8" dataDxfId="74"/>
    <tableColumn id="9" xr3:uid="{3EA30E81-D44D-4B9B-B0CE-91FC44024891}" uniqueName="9" name="Inventory: stock" queryTableFieldId="9" dataDxfId="73"/>
    <tableColumn id="10" xr3:uid="{E77A1C4C-8B39-4964-B35D-D5FD4819EA0D}" uniqueName="10" name="Wattage (W)" queryTableFieldId="10" dataDxfId="72"/>
    <tableColumn id="11" xr3:uid="{0BDF38ED-263A-4EA6-90A9-3F0AFD6C8E91}" uniqueName="11" name="Voltage (V)" queryTableFieldId="11" dataDxfId="71"/>
    <tableColumn id="12" xr3:uid="{A198EBE7-714A-45CB-9E32-6717ADE88296}" uniqueName="12" name="Lumens (lm)" queryTableFieldId="12" dataDxfId="70"/>
    <tableColumn id="13" xr3:uid="{89F00BAD-278F-4444-B372-781D6265BCBF}" uniqueName="13" name="Efficiency" queryTableFieldId="13" dataDxfId="69"/>
    <tableColumn id="14" xr3:uid="{556CB37C-40C8-4EEC-AC33-6A20C3D8E731}" uniqueName="14" name="L70 Rated Life (Hrs)" queryTableFieldId="14" dataDxfId="68"/>
    <tableColumn id="15" xr3:uid="{A85A848A-7F99-4579-A9BF-0BCFF8A828FF}" uniqueName="15" name="Bulb Equivalent" queryTableFieldId="15" dataDxfId="67"/>
    <tableColumn id="16" xr3:uid="{C58A14CC-F91F-43AB-99B8-78CF809155DC}" uniqueName="16" name="Base" queryTableFieldId="16" dataDxfId="66"/>
    <tableColumn id="17" xr3:uid="{1828EA49-6248-4E57-93B3-C04A9B3E3DC1}" uniqueName="17" name="Colour Temperature" queryTableFieldId="17" dataDxfId="65"/>
    <tableColumn id="18" xr3:uid="{FC7EA946-D7BC-48BF-8133-F0603FEE8D59}" uniqueName="18" name="Beam Angle" queryTableFieldId="18" dataDxfId="64"/>
    <tableColumn id="19" xr3:uid="{6215A2DA-7AF3-4033-969F-114F98A29183}" uniqueName="19" name="CRI" queryTableFieldId="19" dataDxfId="63"/>
    <tableColumn id="20" xr3:uid="{8DE196F4-C6B3-4C85-A747-620F938B7434}" uniqueName="20" name="Dimmable" queryTableFieldId="20" dataDxfId="62"/>
    <tableColumn id="21" xr3:uid="{7B3A7B7F-45AB-466E-9107-FF470AF51649}" uniqueName="21" name="Operating Temperature" queryTableFieldId="21" dataDxfId="61"/>
    <tableColumn id="22" xr3:uid="{AF1BB529-EB1D-4DD8-A509-70F8A9347F0F}" uniqueName="22" name="Environmental Rating" queryTableFieldId="22" dataDxfId="60"/>
    <tableColumn id="23" xr3:uid="{35076B6A-1D6A-49B7-B67F-2202C78FB869}" uniqueName="23" name="Certifications" queryTableFieldId="23" dataDxfId="59"/>
    <tableColumn id="93" xr3:uid="{163D7074-C6E9-407B-8EE1-19F370F3C75E}" uniqueName="93" name="2-HR Fire Rating Compliance" queryTableFieldId="109" dataDxfId="58"/>
    <tableColumn id="25" xr3:uid="{12A4F4F2-220E-4F6E-95C0-39B630F9F5F6}" uniqueName="25" name="Nominal Length" queryTableFieldId="25" dataDxfId="57"/>
    <tableColumn id="26" xr3:uid="{74F140A4-1663-4666-BE2C-DC2D054D45DC}" uniqueName="26" name="Length (mm)" queryTableFieldId="26" dataDxfId="56"/>
    <tableColumn id="27" xr3:uid="{5C46B216-706F-4E3B-92D3-F0D34E419343}" uniqueName="27" name="Length (inches)" queryTableFieldId="27" dataDxfId="55"/>
    <tableColumn id="28" xr3:uid="{3A4E0895-E743-4B8B-BA98-7A07FA6B0A7C}" uniqueName="28" name="Length" queryTableFieldId="28" dataDxfId="54"/>
    <tableColumn id="66" xr3:uid="{88F57A36-E1E7-4A63-87BD-EAA2C6BE0576}" uniqueName="66" name="Width (mm)" queryTableFieldId="69" dataDxfId="53"/>
    <tableColumn id="67" xr3:uid="{C44222D5-185A-4BE0-A1B4-209213BB8966}" uniqueName="67" name="Width (inches)" queryTableFieldId="68" dataDxfId="52"/>
    <tableColumn id="24" xr3:uid="{3076E501-FE1C-4011-8455-72B4D31D8B01}" uniqueName="24" name="Height" queryTableFieldId="102" dataDxfId="51"/>
    <tableColumn id="68" xr3:uid="{EF414BEE-A81C-4109-9B42-E6D5629F0F67}" uniqueName="68" name="Height (mm)" queryTableFieldId="67" dataDxfId="50"/>
    <tableColumn id="69" xr3:uid="{D3143DA2-B485-4C9A-AEFD-3C61BD481940}" uniqueName="69" name="Height (inches)" queryTableFieldId="66" dataDxfId="49"/>
    <tableColumn id="29" xr3:uid="{AE763BC0-6299-4996-AF5C-A9CA62FCBBC1}" uniqueName="29" name="Diameter (mm)" queryTableFieldId="29" dataDxfId="48"/>
    <tableColumn id="30" xr3:uid="{BD27AB8F-59D0-4940-9E33-7DDCA27F4182}" uniqueName="30" name="Diameter (inches)" queryTableFieldId="30" dataDxfId="47"/>
    <tableColumn id="31" xr3:uid="{8B2DAD28-F5A1-48D7-9266-859411A66303}" uniqueName="31" name="Diameter" queryTableFieldId="31" dataDxfId="46"/>
    <tableColumn id="32" xr3:uid="{63B25510-7C2C-45E1-9C97-57661383190F}" uniqueName="32" name="Weight (g)" queryTableFieldId="32" dataDxfId="45"/>
    <tableColumn id="33" xr3:uid="{4DCAFE8D-EC62-468A-A977-88056DEF598F}" uniqueName="33" name="Weight (lbs)" queryTableFieldId="33" dataDxfId="44"/>
    <tableColumn id="88" xr3:uid="{12DCB472-2BA9-4CEA-8658-AD9DD0E45235}" uniqueName="88" name="Inside Diameter" queryTableFieldId="104" dataDxfId="43"/>
    <tableColumn id="89" xr3:uid="{FAEF0DB3-F572-4BBE-90A8-6E50D3DD60F6}" uniqueName="89" name="Outside Diameter" queryTableFieldId="105" dataDxfId="42"/>
    <tableColumn id="37" xr3:uid="{A2404BE5-E61C-47CE-9E14-07624DBC3C29}" uniqueName="37" name="Shape" queryTableFieldId="37" dataDxfId="41"/>
    <tableColumn id="38" xr3:uid="{353BD7B5-70B8-40E4-83E9-AB810D25EE65}" uniqueName="38" name="Warranty" queryTableFieldId="38" dataDxfId="40"/>
    <tableColumn id="94" xr3:uid="{D9F1A3BE-9E58-4A25-8836-3D4EBDCD1DDE}" uniqueName="94" name="Inner Carton Qty" queryTableFieldId="110" dataDxfId="39"/>
    <tableColumn id="95" xr3:uid="{E81C6771-D050-4629-A655-983EEB8FF1C7}" uniqueName="95" name="Outer Carton Qty" queryTableFieldId="111" dataDxfId="38"/>
    <tableColumn id="79" xr3:uid="{0DB1F87E-47C9-4224-A5FA-8A54770A483A}" uniqueName="79" name="Box Length (cm)" queryTableFieldId="86" dataDxfId="37"/>
    <tableColumn id="80" xr3:uid="{4F17DEF9-2A11-4248-8EBB-6BF4835F77BE}" uniqueName="80" name="Box Width (cm)" queryTableFieldId="87" dataDxfId="36"/>
    <tableColumn id="81" xr3:uid="{1DAA90DB-8A08-44FE-B060-19275F07BE46}" uniqueName="81" name="Box Height (cm)" queryTableFieldId="88" dataDxfId="35"/>
    <tableColumn id="82" xr3:uid="{70A006C9-4A68-487D-AA60-F28F6A0655F0}" uniqueName="82" name="Box CBM" queryTableFieldId="89" dataDxfId="34">
      <calculatedColumnFormula>SUM(cna_product_database_catalog_website[[#This Row],[Box Length (cm)]]*cna_product_database_catalog_website[[#This Row],[Box Width (cm)]]*cna_product_database_catalog_website[[#This Row],[Box Height (cm)]]/1000000)</calculatedColumnFormula>
    </tableColumn>
    <tableColumn id="83" xr3:uid="{B188E9CE-5679-4692-862D-887AD6E2BDA6}" uniqueName="83" name="Box CFT" queryTableFieldId="90" dataDxfId="33">
      <calculatedColumnFormula>SUM(cna_product_database_catalog_website[[#This Row],[Box CBM]]*35.3147)</calculatedColumnFormula>
    </tableColumn>
    <tableColumn id="34" xr3:uid="{3F8BBC3D-D8D3-4416-8976-18E6808027A4}" uniqueName="34" name="Carton Weight (lbs)" queryTableFieldId="34" dataDxfId="32"/>
    <tableColumn id="72" xr3:uid="{BE8C89EF-E211-489B-97FE-550D1F5678A3}" uniqueName="72" name="Carton Length (inches)" queryTableFieldId="78" dataDxfId="31"/>
    <tableColumn id="73" xr3:uid="{7E835530-38E2-4C69-A383-76B57F22422F}" uniqueName="73" name="Carton Width (inches)" queryTableFieldId="77" dataDxfId="30"/>
    <tableColumn id="74" xr3:uid="{22D55E50-5CFE-401B-BD88-F5B834FEDA5B}" uniqueName="74" name="Carton Height (inches)" queryTableFieldId="76" dataDxfId="29"/>
    <tableColumn id="84" xr3:uid="{AE8288BE-8DBF-4F38-9B45-2C7D7253CD58}" uniqueName="84" name="Carton CFT" queryTableFieldId="91" dataDxfId="28">
      <calculatedColumnFormula>SUM(cna_product_database_catalog_website[[#This Row],[Carton Length (inches)]]*cna_product_database_catalog_website[[#This Row],[Carton Width (inches)]]*cna_product_database_catalog_website[[#This Row],[Carton Height (inches)]])</calculatedColumnFormula>
    </tableColumn>
    <tableColumn id="85" xr3:uid="{4B98941E-F7C4-4029-B066-35B901791451}" uniqueName="85" name="CARTON CBM" queryTableFieldId="92" dataDxfId="27">
      <calculatedColumnFormula>SUM(cna_product_database_catalog_website[[#This Row],[Carton CFT]]/61024)</calculatedColumnFormula>
    </tableColumn>
    <tableColumn id="90" xr3:uid="{545640D1-B9B3-4B37-8212-DE48C8E7D97F}" uniqueName="90" name="Driver Dimensions (mm)" queryTableFieldId="106" dataDxfId="26"/>
    <tableColumn id="91" xr3:uid="{D8328E8B-7B3A-487A-AA31-251E8E8B2D48}" uniqueName="91" name="DriverDimensions (Inches)" queryTableFieldId="107" dataDxfId="25"/>
    <tableColumn id="92" xr3:uid="{58B4D1EF-10B1-49D8-B1AA-3855408F616D}" uniqueName="92" name="Hole Size Cutout" queryTableFieldId="108" dataDxfId="24"/>
    <tableColumn id="39" xr3:uid="{9D59B6E3-F4C9-4200-86EE-8342856900C1}" uniqueName="39" name="Dimmer Compatibility" queryTableFieldId="39" dataDxfId="23"/>
    <tableColumn id="40" xr3:uid="{5B0BA2C3-4F69-4E17-9DA2-CC295CF84F48}" uniqueName="40" name="Finish" queryTableFieldId="40" dataDxfId="22"/>
    <tableColumn id="41" xr3:uid="{76ECDF61-0D76-452C-A2B9-64F7733B3A2E}" uniqueName="41" name="Direct Replacement For" queryTableFieldId="41" dataDxfId="21"/>
    <tableColumn id="42" xr3:uid="{1BCDACE5-D1C6-4300-AE56-42B104306183}" uniqueName="42" name="Use" queryTableFieldId="42" dataDxfId="20"/>
    <tableColumn id="71" xr3:uid="{0BFA841F-7186-4F71-B478-06722017A27F}" uniqueName="71" name="Surge Protection" queryTableFieldId="71" dataDxfId="19"/>
    <tableColumn id="46" xr3:uid="{9B173C09-139C-45A4-A29E-E6CD60F91713}" uniqueName="46" name="Diffuser Type" queryTableFieldId="46" dataDxfId="18"/>
    <tableColumn id="47" xr3:uid="{950A483C-7727-4CC1-97B9-580912D373A8}" uniqueName="47" name="Diffuser Material" queryTableFieldId="47" dataDxfId="17"/>
    <tableColumn id="48" xr3:uid="{B8132039-C507-4FA0-9B40-8807BF016865}" uniqueName="48" name="Optional Accessory" queryTableFieldId="48" dataDxfId="16"/>
    <tableColumn id="70" xr3:uid="{73892777-4E3F-4FDA-9541-AE13BDE396C3}" uniqueName="70" name="Mounting" queryTableFieldId="70" dataDxfId="15"/>
    <tableColumn id="51" xr3:uid="{C49BB3C3-B770-4478-A3CA-945C70FB0C0D}" uniqueName="51" name="Flange Dimensions" queryTableFieldId="51" dataDxfId="14"/>
    <tableColumn id="52" xr3:uid="{46460B4C-1A3F-4676-ACC2-7E805EF0C49D}" uniqueName="52" name="Recess Dimensions" queryTableFieldId="52" dataDxfId="13"/>
    <tableColumn id="53" xr3:uid="{5D97C979-561B-4E6A-BAC6-3C74328635E3}" uniqueName="53" name="Rib-reinforced" queryTableFieldId="53" dataDxfId="12"/>
    <tableColumn id="54" xr3:uid="{186A339B-71F4-4534-9B25-AF6E1F24C391}" uniqueName="54" name="PIR Sensor" queryTableFieldId="54" dataDxfId="11"/>
    <tableColumn id="55" xr3:uid="{4F8F2532-FDEC-4601-B3E1-4434761B1A98}" uniqueName="55" name="Auto Shut-off" queryTableFieldId="55" dataDxfId="10"/>
    <tableColumn id="56" xr3:uid="{93EC346C-6F3C-40DB-A5BF-D126770E8C37}" uniqueName="56" name="Waterproofing" queryTableFieldId="56" dataDxfId="9"/>
    <tableColumn id="57" xr3:uid="{4A11C3D7-4195-4991-BFCF-1848D984EC7F}" uniqueName="57" name="LED Quantity" queryTableFieldId="57" dataDxfId="8"/>
    <tableColumn id="58" xr3:uid="{C6F365D3-572C-4460-A937-E6646203FCFA}" uniqueName="58" name="LED Type" queryTableFieldId="58" dataDxfId="7"/>
    <tableColumn id="59" xr3:uid="{C1701A3C-C050-43CF-84DC-370F9B0BD675}" uniqueName="59" name="Input Voltage (VAC)" queryTableFieldId="59" dataDxfId="6"/>
    <tableColumn id="60" xr3:uid="{440CD076-338B-40C9-BF86-A2F6F661780C}" uniqueName="60" name="Current Draw" queryTableFieldId="60" dataDxfId="5"/>
    <tableColumn id="61" xr3:uid="{ADDB8C04-B7BA-4A7D-AE4F-ACCE9592E4DF}" uniqueName="61" name="Output Voltage (VDC)" queryTableFieldId="61" dataDxfId="4"/>
    <tableColumn id="62" xr3:uid="{4044931F-F42C-44C1-AFC9-D9D2DC7BCF68}" uniqueName="62" name="Dimensions (without tabs)" queryTableFieldId="62" dataDxfId="3"/>
    <tableColumn id="63" xr3:uid="{8F6B3B7A-9F5D-4B07-9082-43F3BAF2F805}" uniqueName="63" name="Maximum Linkable Length" queryTableFieldId="63" dataDxfId="2"/>
    <tableColumn id="65" xr3:uid="{6A9873EE-BD10-4380-811C-F6BE4CBA59AC}" uniqueName="65" name="Classification Type" queryTableFieldId="65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4721F-D302-467A-A0BD-FB7DCBCF377C}">
  <dimension ref="A1:CK34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B2" sqref="B2"/>
    </sheetView>
  </sheetViews>
  <sheetFormatPr defaultRowHeight="15" x14ac:dyDescent="0.25"/>
  <cols>
    <col min="1" max="1" width="7.85546875" style="4" customWidth="1"/>
    <col min="2" max="2" width="27.140625" style="4" customWidth="1"/>
    <col min="3" max="3" width="32.42578125" style="4" customWidth="1"/>
    <col min="4" max="4" width="26.42578125" style="4" customWidth="1"/>
    <col min="5" max="5" width="15.7109375" customWidth="1"/>
    <col min="6" max="6" width="29" customWidth="1"/>
    <col min="7" max="7" width="10" style="3" customWidth="1"/>
    <col min="8" max="8" width="15.42578125" style="5" customWidth="1"/>
    <col min="9" max="9" width="34.5703125" customWidth="1"/>
    <col min="10" max="10" width="40.5703125" customWidth="1"/>
    <col min="11" max="11" width="18" customWidth="1"/>
    <col min="12" max="13" width="22.5703125" customWidth="1"/>
    <col min="15" max="15" width="7.5703125" bestFit="1" customWidth="1"/>
    <col min="16" max="16" width="12.140625" style="3" bestFit="1" customWidth="1"/>
    <col min="17" max="17" width="11" style="3" bestFit="1" customWidth="1"/>
    <col min="18" max="18" width="15.140625" bestFit="1" customWidth="1"/>
    <col min="19" max="19" width="15.28515625" customWidth="1"/>
    <col min="20" max="20" width="24" bestFit="1" customWidth="1"/>
    <col min="21" max="21" width="17.28515625" customWidth="1"/>
    <col min="22" max="22" width="20" customWidth="1"/>
    <col min="23" max="23" width="22.140625" bestFit="1" customWidth="1"/>
    <col min="24" max="24" width="29.5703125" customWidth="1"/>
    <col min="25" max="25" width="15.140625" style="3" customWidth="1"/>
    <col min="26" max="26" width="7" style="3" customWidth="1"/>
    <col min="27" max="27" width="10.7109375" style="3" customWidth="1"/>
    <col min="28" max="28" width="21.5703125" customWidth="1"/>
    <col min="29" max="29" width="24.5703125" style="1" bestFit="1" customWidth="1"/>
    <col min="30" max="31" width="18.85546875" style="1" customWidth="1"/>
    <col min="32" max="32" width="14.85546875" customWidth="1"/>
    <col min="33" max="33" width="17.42578125" bestFit="1" customWidth="1"/>
    <col min="34" max="34" width="14.5703125" bestFit="1" customWidth="1"/>
    <col min="35" max="35" width="18.5703125" customWidth="1"/>
    <col min="36" max="36" width="14.140625" customWidth="1"/>
    <col min="37" max="38" width="16.28515625" customWidth="1"/>
    <col min="39" max="39" width="21.140625" customWidth="1"/>
    <col min="40" max="41" width="17.28515625" customWidth="1"/>
    <col min="42" max="42" width="17" bestFit="1" customWidth="1"/>
    <col min="43" max="43" width="19.28515625" bestFit="1" customWidth="1"/>
    <col min="44" max="44" width="13.85546875" customWidth="1"/>
    <col min="45" max="47" width="17.5703125" customWidth="1"/>
    <col min="48" max="48" width="17.28515625" customWidth="1"/>
    <col min="49" max="51" width="14.28515625" customWidth="1"/>
    <col min="52" max="52" width="22.7109375" customWidth="1"/>
    <col min="53" max="53" width="17.42578125" customWidth="1"/>
    <col min="54" max="54" width="19.140625" customWidth="1"/>
    <col min="55" max="56" width="17.28515625" customWidth="1"/>
    <col min="57" max="57" width="19" customWidth="1"/>
    <col min="58" max="58" width="18.7109375" customWidth="1"/>
    <col min="59" max="59" width="13.7109375" customWidth="1"/>
    <col min="60" max="60" width="12.7109375" bestFit="1" customWidth="1"/>
    <col min="61" max="61" width="22.7109375" customWidth="1"/>
    <col min="62" max="62" width="21.140625" customWidth="1"/>
    <col min="63" max="63" width="24.42578125" customWidth="1"/>
    <col min="64" max="64" width="24.140625" customWidth="1"/>
    <col min="65" max="65" width="21.140625" customWidth="1"/>
    <col min="66" max="66" width="22.85546875" style="2" customWidth="1"/>
    <col min="67" max="67" width="22.7109375" style="2" bestFit="1" customWidth="1"/>
    <col min="68" max="68" width="14" customWidth="1"/>
    <col min="69" max="69" width="18.42578125" customWidth="1"/>
    <col min="71" max="72" width="22.7109375" customWidth="1"/>
    <col min="73" max="73" width="24.42578125" bestFit="1" customWidth="1"/>
    <col min="74" max="74" width="20.42578125" customWidth="1"/>
    <col min="75" max="75" width="26.28515625" customWidth="1"/>
    <col min="76" max="76" width="23.5703125" customWidth="1"/>
    <col min="77" max="77" width="24.42578125" bestFit="1" customWidth="1"/>
    <col min="78" max="78" width="20.140625" bestFit="1" customWidth="1"/>
    <col min="82" max="82" width="18.140625" bestFit="1" customWidth="1"/>
    <col min="83" max="83" width="17.42578125" bestFit="1" customWidth="1"/>
    <col min="84" max="84" width="21.42578125" bestFit="1" customWidth="1"/>
    <col min="85" max="85" width="21.5703125" bestFit="1" customWidth="1"/>
    <col min="86" max="86" width="21.5703125" customWidth="1"/>
    <col min="87" max="87" width="17.42578125" bestFit="1" customWidth="1"/>
    <col min="88" max="88" width="20.28515625" bestFit="1" customWidth="1"/>
    <col min="89" max="89" width="20.42578125" bestFit="1" customWidth="1"/>
    <col min="90" max="90" width="16.28515625" bestFit="1" customWidth="1"/>
    <col min="91" max="91" width="12.5703125" bestFit="1" customWidth="1"/>
    <col min="92" max="92" width="15.42578125" bestFit="1" customWidth="1"/>
    <col min="93" max="93" width="21.7109375" bestFit="1" customWidth="1"/>
    <col min="94" max="94" width="14.5703125" bestFit="1" customWidth="1"/>
    <col min="95" max="95" width="25.7109375" customWidth="1"/>
    <col min="96" max="96" width="24.85546875" customWidth="1"/>
    <col min="97" max="97" width="15" bestFit="1" customWidth="1"/>
    <col min="98" max="98" width="23.85546875" bestFit="1" customWidth="1"/>
    <col min="99" max="99" width="27.140625" bestFit="1" customWidth="1"/>
    <col min="100" max="100" width="27" bestFit="1" customWidth="1"/>
    <col min="101" max="101" width="18" bestFit="1" customWidth="1"/>
    <col min="102" max="102" width="20" bestFit="1" customWidth="1"/>
  </cols>
  <sheetData>
    <row r="1" spans="1:89" x14ac:dyDescent="0.25">
      <c r="A1" s="4" t="s">
        <v>1279</v>
      </c>
      <c r="B1" s="4" t="s">
        <v>1280</v>
      </c>
      <c r="C1" s="4" t="s">
        <v>1281</v>
      </c>
      <c r="D1" s="4" t="s">
        <v>1282</v>
      </c>
      <c r="E1" t="s">
        <v>1283</v>
      </c>
      <c r="F1" t="s">
        <v>1338</v>
      </c>
      <c r="G1" s="3" t="s">
        <v>1284</v>
      </c>
      <c r="H1" s="5" t="s">
        <v>1285</v>
      </c>
      <c r="I1" t="s">
        <v>1286</v>
      </c>
      <c r="J1" t="s">
        <v>1287</v>
      </c>
      <c r="K1" t="s">
        <v>1288</v>
      </c>
      <c r="L1" t="s">
        <v>1359</v>
      </c>
      <c r="M1" t="s">
        <v>1384</v>
      </c>
      <c r="N1" t="s">
        <v>1289</v>
      </c>
      <c r="O1" s="3" t="s">
        <v>1290</v>
      </c>
      <c r="P1" s="3" t="s">
        <v>1291</v>
      </c>
      <c r="Q1" t="s">
        <v>0</v>
      </c>
      <c r="R1" t="s">
        <v>1</v>
      </c>
      <c r="S1" t="s">
        <v>2</v>
      </c>
      <c r="T1" t="s">
        <v>3</v>
      </c>
      <c r="U1" t="s">
        <v>1360</v>
      </c>
      <c r="V1" t="s">
        <v>4</v>
      </c>
      <c r="W1" t="s">
        <v>5</v>
      </c>
      <c r="X1" t="s">
        <v>6</v>
      </c>
      <c r="Y1" s="3" t="s">
        <v>7</v>
      </c>
      <c r="Z1" s="3" t="s">
        <v>8</v>
      </c>
      <c r="AA1" s="3" t="s">
        <v>9</v>
      </c>
      <c r="AB1" s="1" t="s">
        <v>10</v>
      </c>
      <c r="AC1" s="1" t="s">
        <v>11</v>
      </c>
      <c r="AD1" t="s">
        <v>12</v>
      </c>
      <c r="AE1" t="s">
        <v>1345</v>
      </c>
      <c r="AF1" t="s">
        <v>13</v>
      </c>
      <c r="AG1" t="s">
        <v>14</v>
      </c>
      <c r="AH1" t="s">
        <v>15</v>
      </c>
      <c r="AI1" t="s">
        <v>1357</v>
      </c>
      <c r="AJ1" t="s">
        <v>575</v>
      </c>
      <c r="AK1" t="s">
        <v>572</v>
      </c>
      <c r="AL1" t="s">
        <v>1356</v>
      </c>
      <c r="AM1" t="s">
        <v>573</v>
      </c>
      <c r="AN1" t="s">
        <v>574</v>
      </c>
      <c r="AO1" t="s">
        <v>16</v>
      </c>
      <c r="AP1" t="s">
        <v>17</v>
      </c>
      <c r="AQ1" t="s">
        <v>1358</v>
      </c>
      <c r="AR1" t="s">
        <v>18</v>
      </c>
      <c r="AS1" t="s">
        <v>19</v>
      </c>
      <c r="AT1" t="s">
        <v>1341</v>
      </c>
      <c r="AU1" t="s">
        <v>1342</v>
      </c>
      <c r="AV1" t="s">
        <v>20</v>
      </c>
      <c r="AW1" t="s">
        <v>21</v>
      </c>
      <c r="AX1" t="s">
        <v>1347</v>
      </c>
      <c r="AY1" t="s">
        <v>1346</v>
      </c>
      <c r="AZ1" t="s">
        <v>1041</v>
      </c>
      <c r="BA1" t="s">
        <v>1042</v>
      </c>
      <c r="BB1" t="s">
        <v>1043</v>
      </c>
      <c r="BC1" t="s">
        <v>1044</v>
      </c>
      <c r="BD1" t="s">
        <v>1045</v>
      </c>
      <c r="BE1" t="s">
        <v>590</v>
      </c>
      <c r="BF1" t="s">
        <v>591</v>
      </c>
      <c r="BG1" t="s">
        <v>592</v>
      </c>
      <c r="BH1" t="s">
        <v>593</v>
      </c>
      <c r="BI1" t="s">
        <v>1046</v>
      </c>
      <c r="BJ1" t="s">
        <v>1047</v>
      </c>
      <c r="BK1" t="s">
        <v>1343</v>
      </c>
      <c r="BL1" t="s">
        <v>1344</v>
      </c>
      <c r="BM1" t="s">
        <v>42</v>
      </c>
      <c r="BN1" t="s">
        <v>22</v>
      </c>
      <c r="BO1" t="s">
        <v>23</v>
      </c>
      <c r="BP1" t="s">
        <v>24</v>
      </c>
      <c r="BQ1" t="s">
        <v>25</v>
      </c>
      <c r="BR1" t="s">
        <v>585</v>
      </c>
      <c r="BS1" t="s">
        <v>26</v>
      </c>
      <c r="BT1" t="s">
        <v>27</v>
      </c>
      <c r="BU1" t="s">
        <v>28</v>
      </c>
      <c r="BV1" t="s">
        <v>583</v>
      </c>
      <c r="BW1" t="s">
        <v>29</v>
      </c>
      <c r="BX1" t="s">
        <v>30</v>
      </c>
      <c r="BY1" t="s">
        <v>31</v>
      </c>
      <c r="BZ1" t="s">
        <v>32</v>
      </c>
      <c r="CA1" t="s">
        <v>33</v>
      </c>
      <c r="CB1" t="s">
        <v>34</v>
      </c>
      <c r="CC1" t="s">
        <v>35</v>
      </c>
      <c r="CD1" t="s">
        <v>36</v>
      </c>
      <c r="CE1" t="s">
        <v>37</v>
      </c>
      <c r="CF1" t="s">
        <v>38</v>
      </c>
      <c r="CG1" t="s">
        <v>39</v>
      </c>
      <c r="CH1" t="s">
        <v>40</v>
      </c>
      <c r="CI1" t="s">
        <v>41</v>
      </c>
      <c r="CJ1" t="s">
        <v>43</v>
      </c>
    </row>
    <row r="2" spans="1:89" s="7" customFormat="1" x14ac:dyDescent="0.25">
      <c r="A2" t="s">
        <v>1435</v>
      </c>
      <c r="B2" t="s">
        <v>1387</v>
      </c>
      <c r="C2" t="s">
        <v>1227</v>
      </c>
      <c r="D2" t="s">
        <v>1511</v>
      </c>
      <c r="E2">
        <v>5</v>
      </c>
      <c r="F2" t="s">
        <v>599</v>
      </c>
      <c r="G2">
        <v>940</v>
      </c>
      <c r="H2" s="9">
        <v>3.9</v>
      </c>
      <c r="I2" t="s">
        <v>599</v>
      </c>
      <c r="J2" t="s">
        <v>599</v>
      </c>
      <c r="K2" t="s">
        <v>1512</v>
      </c>
      <c r="L2" t="s">
        <v>1513</v>
      </c>
      <c r="M2" s="6" t="str">
        <f>HYPERLINK(cna_product_database_catalog_website[[#This Row],[Spec Sheet Link]], cna_product_database_catalog_website[[#Headers],[Spec Sheet Link]])</f>
        <v>Spec Sheet Link</v>
      </c>
      <c r="N2" t="s">
        <v>46</v>
      </c>
      <c r="O2">
        <v>1</v>
      </c>
      <c r="P2">
        <v>1</v>
      </c>
      <c r="Q2" t="s">
        <v>152</v>
      </c>
      <c r="R2" t="s">
        <v>50</v>
      </c>
      <c r="S2" t="s">
        <v>199</v>
      </c>
      <c r="T2" t="s">
        <v>611</v>
      </c>
      <c r="U2" t="s">
        <v>150</v>
      </c>
      <c r="V2" t="s">
        <v>47</v>
      </c>
      <c r="W2" t="s">
        <v>151</v>
      </c>
      <c r="X2" t="s">
        <v>122</v>
      </c>
      <c r="Y2" t="s">
        <v>559</v>
      </c>
      <c r="Z2" t="s">
        <v>552</v>
      </c>
      <c r="AA2" t="s">
        <v>54</v>
      </c>
      <c r="AB2" t="s">
        <v>554</v>
      </c>
      <c r="AC2" t="s">
        <v>156</v>
      </c>
      <c r="AD2" t="s">
        <v>157</v>
      </c>
      <c r="AE2"/>
      <c r="AF2" t="s">
        <v>47</v>
      </c>
      <c r="AG2" t="s">
        <v>47</v>
      </c>
      <c r="AH2" t="s">
        <v>47</v>
      </c>
      <c r="AI2" t="s">
        <v>47</v>
      </c>
      <c r="AJ2"/>
      <c r="AK2"/>
      <c r="AL2" t="s">
        <v>47</v>
      </c>
      <c r="AM2" t="s">
        <v>1050</v>
      </c>
      <c r="AN2" t="s">
        <v>1051</v>
      </c>
      <c r="AO2" t="s">
        <v>83</v>
      </c>
      <c r="AP2" t="s">
        <v>154</v>
      </c>
      <c r="AQ2" t="s">
        <v>1052</v>
      </c>
      <c r="AR2">
        <v>470</v>
      </c>
      <c r="AS2">
        <v>1.04</v>
      </c>
      <c r="AT2"/>
      <c r="AU2"/>
      <c r="AV2" t="s">
        <v>47</v>
      </c>
      <c r="AW2" t="s">
        <v>142</v>
      </c>
      <c r="AX2">
        <v>20</v>
      </c>
      <c r="AY2">
        <v>20</v>
      </c>
      <c r="AZ2"/>
      <c r="BA2"/>
      <c r="BB2"/>
      <c r="BC2">
        <v>0</v>
      </c>
      <c r="BD2">
        <v>0</v>
      </c>
      <c r="BE2" t="s">
        <v>47</v>
      </c>
      <c r="BF2"/>
      <c r="BG2"/>
      <c r="BH2"/>
      <c r="BI2">
        <v>0</v>
      </c>
      <c r="BJ2">
        <v>0</v>
      </c>
      <c r="BK2"/>
      <c r="BL2"/>
      <c r="BM2" t="s">
        <v>1053</v>
      </c>
      <c r="BN2"/>
      <c r="BO2" t="s">
        <v>1034</v>
      </c>
      <c r="BP2" t="s">
        <v>47</v>
      </c>
      <c r="BQ2" t="s">
        <v>47</v>
      </c>
      <c r="BR2"/>
      <c r="BS2" t="s">
        <v>47</v>
      </c>
      <c r="BT2" t="s">
        <v>47</v>
      </c>
      <c r="BU2" t="s">
        <v>47</v>
      </c>
      <c r="BV2"/>
      <c r="BW2" t="s">
        <v>47</v>
      </c>
      <c r="BX2" t="s">
        <v>47</v>
      </c>
      <c r="BY2" t="s">
        <v>47</v>
      </c>
      <c r="BZ2" t="s">
        <v>47</v>
      </c>
      <c r="CA2" t="s">
        <v>47</v>
      </c>
      <c r="CB2" t="s">
        <v>47</v>
      </c>
      <c r="CC2" t="s">
        <v>47</v>
      </c>
      <c r="CD2" t="s">
        <v>47</v>
      </c>
      <c r="CE2" t="s">
        <v>47</v>
      </c>
      <c r="CF2" t="s">
        <v>47</v>
      </c>
      <c r="CG2" t="s">
        <v>47</v>
      </c>
      <c r="CH2" t="s">
        <v>47</v>
      </c>
      <c r="CI2" t="s">
        <v>47</v>
      </c>
      <c r="CJ2" t="s">
        <v>47</v>
      </c>
      <c r="CK2"/>
    </row>
    <row r="3" spans="1:89" s="7" customFormat="1" x14ac:dyDescent="0.25">
      <c r="A3" t="s">
        <v>1435</v>
      </c>
      <c r="B3" t="s">
        <v>1387</v>
      </c>
      <c r="C3" t="s">
        <v>1244</v>
      </c>
      <c r="D3" t="s">
        <v>1514</v>
      </c>
      <c r="E3">
        <v>6</v>
      </c>
      <c r="F3" t="s">
        <v>87</v>
      </c>
      <c r="G3">
        <v>1117</v>
      </c>
      <c r="H3" s="9">
        <v>0.95</v>
      </c>
      <c r="I3" t="s">
        <v>87</v>
      </c>
      <c r="J3" t="s">
        <v>87</v>
      </c>
      <c r="K3" t="s">
        <v>1515</v>
      </c>
      <c r="L3" t="s">
        <v>1516</v>
      </c>
      <c r="M3" s="10" t="str">
        <f>HYPERLINK(cna_product_database_catalog_website[[#This Row],[Spec Sheet Link]], cna_product_database_catalog_website[[#Headers],[Spec Sheet Link]])</f>
        <v>Spec Sheet Link</v>
      </c>
      <c r="N3" t="s">
        <v>46</v>
      </c>
      <c r="O3">
        <v>1</v>
      </c>
      <c r="P3">
        <v>1</v>
      </c>
      <c r="Q3" t="s">
        <v>152</v>
      </c>
      <c r="R3" t="s">
        <v>50</v>
      </c>
      <c r="S3" t="s">
        <v>199</v>
      </c>
      <c r="T3" t="s">
        <v>611</v>
      </c>
      <c r="U3" t="s">
        <v>150</v>
      </c>
      <c r="V3" t="s">
        <v>47</v>
      </c>
      <c r="W3" t="s">
        <v>151</v>
      </c>
      <c r="X3" t="s">
        <v>122</v>
      </c>
      <c r="Y3" t="s">
        <v>559</v>
      </c>
      <c r="Z3" t="s">
        <v>552</v>
      </c>
      <c r="AA3" t="s">
        <v>54</v>
      </c>
      <c r="AB3" t="s">
        <v>554</v>
      </c>
      <c r="AC3" t="s">
        <v>156</v>
      </c>
      <c r="AD3" t="s">
        <v>157</v>
      </c>
      <c r="AE3"/>
      <c r="AF3" t="s">
        <v>47</v>
      </c>
      <c r="AG3" t="s">
        <v>47</v>
      </c>
      <c r="AH3" t="s">
        <v>47</v>
      </c>
      <c r="AI3" t="s">
        <v>47</v>
      </c>
      <c r="AJ3"/>
      <c r="AK3"/>
      <c r="AL3" t="s">
        <v>47</v>
      </c>
      <c r="AM3" t="s">
        <v>1050</v>
      </c>
      <c r="AN3" t="s">
        <v>1051</v>
      </c>
      <c r="AO3" t="s">
        <v>83</v>
      </c>
      <c r="AP3" t="s">
        <v>154</v>
      </c>
      <c r="AQ3" t="s">
        <v>1052</v>
      </c>
      <c r="AR3">
        <v>470</v>
      </c>
      <c r="AS3">
        <v>1.04</v>
      </c>
      <c r="AT3"/>
      <c r="AU3"/>
      <c r="AV3" t="s">
        <v>47</v>
      </c>
      <c r="AW3" t="s">
        <v>142</v>
      </c>
      <c r="AX3">
        <v>20</v>
      </c>
      <c r="AY3">
        <v>20</v>
      </c>
      <c r="AZ3"/>
      <c r="BA3"/>
      <c r="BB3"/>
      <c r="BC3">
        <v>0</v>
      </c>
      <c r="BD3">
        <v>0</v>
      </c>
      <c r="BE3" t="s">
        <v>47</v>
      </c>
      <c r="BF3"/>
      <c r="BG3"/>
      <c r="BH3"/>
      <c r="BI3">
        <v>0</v>
      </c>
      <c r="BJ3">
        <v>0</v>
      </c>
      <c r="BK3"/>
      <c r="BL3"/>
      <c r="BM3" t="s">
        <v>1053</v>
      </c>
      <c r="BN3"/>
      <c r="BO3" t="s">
        <v>197</v>
      </c>
      <c r="BP3" t="s">
        <v>47</v>
      </c>
      <c r="BQ3" t="s">
        <v>47</v>
      </c>
      <c r="BR3"/>
      <c r="BS3" t="s">
        <v>47</v>
      </c>
      <c r="BT3" t="s">
        <v>47</v>
      </c>
      <c r="BU3" t="s">
        <v>47</v>
      </c>
      <c r="BV3"/>
      <c r="BW3" t="s">
        <v>47</v>
      </c>
      <c r="BX3" t="s">
        <v>47</v>
      </c>
      <c r="BY3" t="s">
        <v>47</v>
      </c>
      <c r="BZ3" t="s">
        <v>47</v>
      </c>
      <c r="CA3" t="s">
        <v>47</v>
      </c>
      <c r="CB3" t="s">
        <v>47</v>
      </c>
      <c r="CC3" t="s">
        <v>47</v>
      </c>
      <c r="CD3" t="s">
        <v>47</v>
      </c>
      <c r="CE3" t="s">
        <v>47</v>
      </c>
      <c r="CF3" t="s">
        <v>47</v>
      </c>
      <c r="CG3" t="s">
        <v>47</v>
      </c>
      <c r="CH3" t="s">
        <v>47</v>
      </c>
      <c r="CI3" t="s">
        <v>47</v>
      </c>
      <c r="CJ3" t="s">
        <v>47</v>
      </c>
      <c r="CK3"/>
    </row>
    <row r="4" spans="1:89" s="7" customFormat="1" x14ac:dyDescent="0.25">
      <c r="A4" t="s">
        <v>1435</v>
      </c>
      <c r="B4" t="s">
        <v>1387</v>
      </c>
      <c r="C4" t="s">
        <v>1228</v>
      </c>
      <c r="D4" t="s">
        <v>1517</v>
      </c>
      <c r="E4">
        <v>10</v>
      </c>
      <c r="F4" t="s">
        <v>928</v>
      </c>
      <c r="G4">
        <v>1171</v>
      </c>
      <c r="H4" s="9">
        <v>3.5</v>
      </c>
      <c r="I4" t="s">
        <v>928</v>
      </c>
      <c r="J4" t="s">
        <v>932</v>
      </c>
      <c r="K4" t="s">
        <v>1518</v>
      </c>
      <c r="L4" t="s">
        <v>1513</v>
      </c>
      <c r="M4" s="10" t="str">
        <f>HYPERLINK(cna_product_database_catalog_website[[#This Row],[Spec Sheet Link]], cna_product_database_catalog_website[[#Headers],[Spec Sheet Link]])</f>
        <v>Spec Sheet Link</v>
      </c>
      <c r="N4" t="s">
        <v>46</v>
      </c>
      <c r="O4">
        <v>1</v>
      </c>
      <c r="P4">
        <v>1</v>
      </c>
      <c r="Q4" t="s">
        <v>152</v>
      </c>
      <c r="R4" t="s">
        <v>50</v>
      </c>
      <c r="S4" t="s">
        <v>47</v>
      </c>
      <c r="T4" t="s">
        <v>47</v>
      </c>
      <c r="U4" t="s">
        <v>150</v>
      </c>
      <c r="V4" t="s">
        <v>47</v>
      </c>
      <c r="W4" t="s">
        <v>151</v>
      </c>
      <c r="X4" t="s">
        <v>63</v>
      </c>
      <c r="Y4" t="s">
        <v>560</v>
      </c>
      <c r="Z4" t="s">
        <v>553</v>
      </c>
      <c r="AA4" t="s">
        <v>54</v>
      </c>
      <c r="AB4" t="s">
        <v>589</v>
      </c>
      <c r="AC4" t="s">
        <v>47</v>
      </c>
      <c r="AD4" t="s">
        <v>47</v>
      </c>
      <c r="AE4"/>
      <c r="AF4" t="s">
        <v>47</v>
      </c>
      <c r="AG4" t="s">
        <v>47</v>
      </c>
      <c r="AH4" t="s">
        <v>47</v>
      </c>
      <c r="AI4" t="s">
        <v>47</v>
      </c>
      <c r="AJ4"/>
      <c r="AK4"/>
      <c r="AL4" t="s">
        <v>47</v>
      </c>
      <c r="AM4"/>
      <c r="AN4"/>
      <c r="AO4" t="s">
        <v>158</v>
      </c>
      <c r="AP4" t="s">
        <v>159</v>
      </c>
      <c r="AQ4" t="s">
        <v>160</v>
      </c>
      <c r="AR4">
        <v>630</v>
      </c>
      <c r="AS4">
        <v>1.39</v>
      </c>
      <c r="AT4"/>
      <c r="AU4"/>
      <c r="AV4" t="s">
        <v>47</v>
      </c>
      <c r="AW4" t="s">
        <v>47</v>
      </c>
      <c r="AX4" t="s">
        <v>47</v>
      </c>
      <c r="AY4" t="s">
        <v>47</v>
      </c>
      <c r="AZ4"/>
      <c r="BA4"/>
      <c r="BB4"/>
      <c r="BC4">
        <v>0</v>
      </c>
      <c r="BD4">
        <v>0</v>
      </c>
      <c r="BE4" t="s">
        <v>47</v>
      </c>
      <c r="BF4"/>
      <c r="BG4"/>
      <c r="BH4"/>
      <c r="BI4">
        <v>0</v>
      </c>
      <c r="BJ4">
        <v>0</v>
      </c>
      <c r="BK4"/>
      <c r="BL4"/>
      <c r="BM4" t="s">
        <v>47</v>
      </c>
      <c r="BN4"/>
      <c r="BO4" t="s">
        <v>197</v>
      </c>
      <c r="BP4" t="s">
        <v>47</v>
      </c>
      <c r="BQ4" t="s">
        <v>47</v>
      </c>
      <c r="BR4"/>
      <c r="BS4" t="s">
        <v>47</v>
      </c>
      <c r="BT4" t="s">
        <v>47</v>
      </c>
      <c r="BU4" t="s">
        <v>47</v>
      </c>
      <c r="BV4"/>
      <c r="BW4" t="s">
        <v>47</v>
      </c>
      <c r="BX4" t="s">
        <v>47</v>
      </c>
      <c r="BY4" t="s">
        <v>47</v>
      </c>
      <c r="BZ4" t="s">
        <v>47</v>
      </c>
      <c r="CA4" t="s">
        <v>47</v>
      </c>
      <c r="CB4" t="s">
        <v>47</v>
      </c>
      <c r="CC4" t="s">
        <v>47</v>
      </c>
      <c r="CD4" t="s">
        <v>47</v>
      </c>
      <c r="CE4" t="s">
        <v>47</v>
      </c>
      <c r="CF4" t="s">
        <v>47</v>
      </c>
      <c r="CG4" t="s">
        <v>47</v>
      </c>
      <c r="CH4" t="s">
        <v>47</v>
      </c>
      <c r="CI4" t="s">
        <v>47</v>
      </c>
      <c r="CJ4" t="s">
        <v>47</v>
      </c>
      <c r="CK4"/>
    </row>
    <row r="5" spans="1:89" s="7" customFormat="1" x14ac:dyDescent="0.25">
      <c r="A5" t="s">
        <v>1435</v>
      </c>
      <c r="B5" t="s">
        <v>1387</v>
      </c>
      <c r="C5" t="s">
        <v>1229</v>
      </c>
      <c r="D5" t="s">
        <v>1519</v>
      </c>
      <c r="E5">
        <v>11</v>
      </c>
      <c r="F5" t="s">
        <v>942</v>
      </c>
      <c r="G5">
        <v>1196</v>
      </c>
      <c r="H5" s="9">
        <v>3.1</v>
      </c>
      <c r="I5" t="s">
        <v>942</v>
      </c>
      <c r="J5" t="s">
        <v>943</v>
      </c>
      <c r="K5" t="s">
        <v>1520</v>
      </c>
      <c r="L5" t="s">
        <v>1521</v>
      </c>
      <c r="M5" s="10" t="str">
        <f>HYPERLINK(cna_product_database_catalog_website[[#This Row],[Spec Sheet Link]], cna_product_database_catalog_website[[#Headers],[Spec Sheet Link]])</f>
        <v>Spec Sheet Link</v>
      </c>
      <c r="N5" t="s">
        <v>46</v>
      </c>
      <c r="O5">
        <v>1</v>
      </c>
      <c r="P5">
        <v>1</v>
      </c>
      <c r="Q5" t="s">
        <v>152</v>
      </c>
      <c r="R5" t="s">
        <v>50</v>
      </c>
      <c r="S5" t="s">
        <v>47</v>
      </c>
      <c r="T5" t="s">
        <v>47</v>
      </c>
      <c r="U5" t="s">
        <v>150</v>
      </c>
      <c r="V5" t="s">
        <v>47</v>
      </c>
      <c r="W5" t="s">
        <v>151</v>
      </c>
      <c r="X5" t="s">
        <v>615</v>
      </c>
      <c r="Y5" t="s">
        <v>560</v>
      </c>
      <c r="Z5" t="s">
        <v>553</v>
      </c>
      <c r="AA5" t="s">
        <v>54</v>
      </c>
      <c r="AB5" t="s">
        <v>589</v>
      </c>
      <c r="AC5" t="s">
        <v>47</v>
      </c>
      <c r="AD5" t="s">
        <v>47</v>
      </c>
      <c r="AE5"/>
      <c r="AF5" t="s">
        <v>47</v>
      </c>
      <c r="AG5" t="s">
        <v>47</v>
      </c>
      <c r="AH5" t="s">
        <v>47</v>
      </c>
      <c r="AI5" t="s">
        <v>47</v>
      </c>
      <c r="AJ5"/>
      <c r="AK5"/>
      <c r="AL5" t="s">
        <v>47</v>
      </c>
      <c r="AM5"/>
      <c r="AN5"/>
      <c r="AO5" t="s">
        <v>47</v>
      </c>
      <c r="AP5" t="s">
        <v>47</v>
      </c>
      <c r="AQ5" t="s">
        <v>47</v>
      </c>
      <c r="AR5">
        <v>630</v>
      </c>
      <c r="AS5"/>
      <c r="AT5"/>
      <c r="AU5"/>
      <c r="AV5" t="s">
        <v>47</v>
      </c>
      <c r="AW5" t="s">
        <v>47</v>
      </c>
      <c r="AX5">
        <v>18</v>
      </c>
      <c r="AY5">
        <v>18</v>
      </c>
      <c r="AZ5"/>
      <c r="BA5"/>
      <c r="BB5"/>
      <c r="BC5">
        <v>0</v>
      </c>
      <c r="BD5">
        <v>0</v>
      </c>
      <c r="BE5" t="s">
        <v>47</v>
      </c>
      <c r="BF5"/>
      <c r="BG5"/>
      <c r="BH5"/>
      <c r="BI5">
        <v>0</v>
      </c>
      <c r="BJ5">
        <v>0</v>
      </c>
      <c r="BK5"/>
      <c r="BL5"/>
      <c r="BM5" t="s">
        <v>47</v>
      </c>
      <c r="BN5" t="s">
        <v>47</v>
      </c>
      <c r="BO5" t="s">
        <v>1034</v>
      </c>
      <c r="BP5" t="s">
        <v>47</v>
      </c>
      <c r="BQ5" t="s">
        <v>47</v>
      </c>
      <c r="BR5"/>
      <c r="BS5" t="s">
        <v>47</v>
      </c>
      <c r="BT5" t="s">
        <v>47</v>
      </c>
      <c r="BU5" t="s">
        <v>47</v>
      </c>
      <c r="BV5"/>
      <c r="BW5" t="s">
        <v>47</v>
      </c>
      <c r="BX5" t="s">
        <v>47</v>
      </c>
      <c r="BY5" t="s">
        <v>47</v>
      </c>
      <c r="BZ5" t="s">
        <v>47</v>
      </c>
      <c r="CA5" t="s">
        <v>47</v>
      </c>
      <c r="CB5" t="s">
        <v>47</v>
      </c>
      <c r="CC5" t="s">
        <v>47</v>
      </c>
      <c r="CD5" t="s">
        <v>47</v>
      </c>
      <c r="CE5" t="s">
        <v>47</v>
      </c>
      <c r="CF5" t="s">
        <v>47</v>
      </c>
      <c r="CG5" t="s">
        <v>47</v>
      </c>
      <c r="CH5" t="s">
        <v>47</v>
      </c>
      <c r="CI5" t="s">
        <v>47</v>
      </c>
      <c r="CJ5" t="s">
        <v>47</v>
      </c>
      <c r="CK5"/>
    </row>
    <row r="6" spans="1:89" s="7" customFormat="1" x14ac:dyDescent="0.25">
      <c r="A6" t="s">
        <v>1435</v>
      </c>
      <c r="B6" t="s">
        <v>1387</v>
      </c>
      <c r="C6" t="s">
        <v>1100</v>
      </c>
      <c r="D6" t="s">
        <v>1522</v>
      </c>
      <c r="E6">
        <v>15</v>
      </c>
      <c r="F6" t="s">
        <v>927</v>
      </c>
      <c r="G6">
        <v>1175</v>
      </c>
      <c r="H6" s="9">
        <v>2.5</v>
      </c>
      <c r="I6" t="s">
        <v>927</v>
      </c>
      <c r="J6" t="s">
        <v>933</v>
      </c>
      <c r="K6" t="s">
        <v>1523</v>
      </c>
      <c r="L6" t="s">
        <v>1524</v>
      </c>
      <c r="M6" s="10" t="str">
        <f>HYPERLINK(cna_product_database_catalog_website[[#This Row],[Spec Sheet Link]], cna_product_database_catalog_website[[#Headers],[Spec Sheet Link]])</f>
        <v>Spec Sheet Link</v>
      </c>
      <c r="N6" t="s">
        <v>46</v>
      </c>
      <c r="O6">
        <v>1</v>
      </c>
      <c r="P6">
        <v>1</v>
      </c>
      <c r="Q6" t="s">
        <v>152</v>
      </c>
      <c r="R6" t="s">
        <v>50</v>
      </c>
      <c r="S6" t="s">
        <v>47</v>
      </c>
      <c r="T6" t="s">
        <v>47</v>
      </c>
      <c r="U6" t="s">
        <v>150</v>
      </c>
      <c r="V6" t="s">
        <v>47</v>
      </c>
      <c r="W6" t="s">
        <v>1376</v>
      </c>
      <c r="X6" t="s">
        <v>615</v>
      </c>
      <c r="Y6" t="s">
        <v>560</v>
      </c>
      <c r="Z6" t="s">
        <v>553</v>
      </c>
      <c r="AA6" t="s">
        <v>54</v>
      </c>
      <c r="AB6" t="s">
        <v>589</v>
      </c>
      <c r="AC6" t="s">
        <v>156</v>
      </c>
      <c r="AD6" t="s">
        <v>157</v>
      </c>
      <c r="AE6"/>
      <c r="AF6" t="s">
        <v>47</v>
      </c>
      <c r="AG6" t="s">
        <v>47</v>
      </c>
      <c r="AH6" t="s">
        <v>47</v>
      </c>
      <c r="AI6" t="s">
        <v>47</v>
      </c>
      <c r="AJ6"/>
      <c r="AK6"/>
      <c r="AL6" t="s">
        <v>47</v>
      </c>
      <c r="AM6"/>
      <c r="AN6"/>
      <c r="AO6" t="s">
        <v>158</v>
      </c>
      <c r="AP6" t="s">
        <v>159</v>
      </c>
      <c r="AQ6" t="s">
        <v>160</v>
      </c>
      <c r="AR6">
        <v>630</v>
      </c>
      <c r="AS6">
        <v>1.39</v>
      </c>
      <c r="AT6"/>
      <c r="AU6"/>
      <c r="AV6" t="s">
        <v>47</v>
      </c>
      <c r="AW6" t="s">
        <v>142</v>
      </c>
      <c r="AX6">
        <v>18</v>
      </c>
      <c r="AY6">
        <v>18</v>
      </c>
      <c r="AZ6"/>
      <c r="BA6"/>
      <c r="BB6"/>
      <c r="BC6">
        <v>0</v>
      </c>
      <c r="BD6">
        <v>0</v>
      </c>
      <c r="BE6" t="s">
        <v>47</v>
      </c>
      <c r="BF6"/>
      <c r="BG6"/>
      <c r="BH6"/>
      <c r="BI6">
        <v>0</v>
      </c>
      <c r="BJ6">
        <v>0</v>
      </c>
      <c r="BK6"/>
      <c r="BL6"/>
      <c r="BM6" t="s">
        <v>161</v>
      </c>
      <c r="BN6"/>
      <c r="BO6" t="s">
        <v>197</v>
      </c>
      <c r="BP6" t="s">
        <v>47</v>
      </c>
      <c r="BQ6" t="s">
        <v>47</v>
      </c>
      <c r="BR6"/>
      <c r="BS6" t="s">
        <v>47</v>
      </c>
      <c r="BT6" t="s">
        <v>47</v>
      </c>
      <c r="BU6" t="s">
        <v>47</v>
      </c>
      <c r="BV6"/>
      <c r="BW6" t="s">
        <v>47</v>
      </c>
      <c r="BX6" t="s">
        <v>47</v>
      </c>
      <c r="BY6" t="s">
        <v>47</v>
      </c>
      <c r="BZ6" t="s">
        <v>47</v>
      </c>
      <c r="CA6" t="s">
        <v>47</v>
      </c>
      <c r="CB6" t="s">
        <v>47</v>
      </c>
      <c r="CC6" t="s">
        <v>47</v>
      </c>
      <c r="CD6" t="s">
        <v>47</v>
      </c>
      <c r="CE6" t="s">
        <v>47</v>
      </c>
      <c r="CF6" t="s">
        <v>47</v>
      </c>
      <c r="CG6" t="s">
        <v>47</v>
      </c>
      <c r="CH6" t="s">
        <v>47</v>
      </c>
      <c r="CI6" t="s">
        <v>47</v>
      </c>
      <c r="CJ6" t="s">
        <v>47</v>
      </c>
      <c r="CK6"/>
    </row>
    <row r="7" spans="1:89" s="7" customFormat="1" x14ac:dyDescent="0.25">
      <c r="A7" t="s">
        <v>1435</v>
      </c>
      <c r="B7" t="s">
        <v>1387</v>
      </c>
      <c r="C7" t="s">
        <v>1101</v>
      </c>
      <c r="D7" t="s">
        <v>1525</v>
      </c>
      <c r="E7">
        <v>16</v>
      </c>
      <c r="F7" t="s">
        <v>926</v>
      </c>
      <c r="G7">
        <v>1170</v>
      </c>
      <c r="H7" s="9">
        <v>2.5</v>
      </c>
      <c r="I7" t="s">
        <v>926</v>
      </c>
      <c r="J7" t="s">
        <v>934</v>
      </c>
      <c r="K7" t="s">
        <v>1523</v>
      </c>
      <c r="L7" t="s">
        <v>1524</v>
      </c>
      <c r="M7" s="10" t="str">
        <f>HYPERLINK(cna_product_database_catalog_website[[#This Row],[Spec Sheet Link]], cna_product_database_catalog_website[[#Headers],[Spec Sheet Link]])</f>
        <v>Spec Sheet Link</v>
      </c>
      <c r="N7" t="s">
        <v>46</v>
      </c>
      <c r="O7">
        <v>1</v>
      </c>
      <c r="P7">
        <v>1</v>
      </c>
      <c r="Q7" t="s">
        <v>152</v>
      </c>
      <c r="R7" t="s">
        <v>50</v>
      </c>
      <c r="S7" t="s">
        <v>47</v>
      </c>
      <c r="T7" t="s">
        <v>47</v>
      </c>
      <c r="U7" t="s">
        <v>150</v>
      </c>
      <c r="V7" t="s">
        <v>47</v>
      </c>
      <c r="W7" t="s">
        <v>151</v>
      </c>
      <c r="X7" t="s">
        <v>95</v>
      </c>
      <c r="Y7" t="s">
        <v>560</v>
      </c>
      <c r="Z7">
        <v>90</v>
      </c>
      <c r="AA7" t="s">
        <v>54</v>
      </c>
      <c r="AB7" t="s">
        <v>589</v>
      </c>
      <c r="AC7" t="s">
        <v>47</v>
      </c>
      <c r="AD7" t="s">
        <v>47</v>
      </c>
      <c r="AE7"/>
      <c r="AF7" t="s">
        <v>47</v>
      </c>
      <c r="AG7" t="s">
        <v>47</v>
      </c>
      <c r="AH7" t="s">
        <v>47</v>
      </c>
      <c r="AI7" t="s">
        <v>47</v>
      </c>
      <c r="AJ7"/>
      <c r="AK7"/>
      <c r="AL7" t="s">
        <v>47</v>
      </c>
      <c r="AM7"/>
      <c r="AN7"/>
      <c r="AO7" t="s">
        <v>162</v>
      </c>
      <c r="AP7" t="s">
        <v>163</v>
      </c>
      <c r="AQ7" t="s">
        <v>164</v>
      </c>
      <c r="AR7">
        <v>630</v>
      </c>
      <c r="AS7">
        <v>1.39</v>
      </c>
      <c r="AT7"/>
      <c r="AU7"/>
      <c r="AV7" t="s">
        <v>47</v>
      </c>
      <c r="AW7" t="s">
        <v>142</v>
      </c>
      <c r="AX7" t="s">
        <v>47</v>
      </c>
      <c r="AY7" t="s">
        <v>47</v>
      </c>
      <c r="AZ7"/>
      <c r="BA7"/>
      <c r="BB7"/>
      <c r="BC7">
        <v>0</v>
      </c>
      <c r="BD7">
        <v>0</v>
      </c>
      <c r="BE7" t="s">
        <v>47</v>
      </c>
      <c r="BF7"/>
      <c r="BG7"/>
      <c r="BH7"/>
      <c r="BI7">
        <v>0</v>
      </c>
      <c r="BJ7">
        <v>0</v>
      </c>
      <c r="BK7"/>
      <c r="BL7"/>
      <c r="BM7" t="s">
        <v>47</v>
      </c>
      <c r="BN7"/>
      <c r="BO7" t="s">
        <v>197</v>
      </c>
      <c r="BP7" t="s">
        <v>47</v>
      </c>
      <c r="BQ7" t="s">
        <v>47</v>
      </c>
      <c r="BR7"/>
      <c r="BS7" t="s">
        <v>47</v>
      </c>
      <c r="BT7" t="s">
        <v>47</v>
      </c>
      <c r="BU7" t="s">
        <v>47</v>
      </c>
      <c r="BV7"/>
      <c r="BW7" t="s">
        <v>47</v>
      </c>
      <c r="BX7" t="s">
        <v>47</v>
      </c>
      <c r="BY7" t="s">
        <v>47</v>
      </c>
      <c r="BZ7" t="s">
        <v>47</v>
      </c>
      <c r="CA7" t="s">
        <v>47</v>
      </c>
      <c r="CB7" t="s">
        <v>47</v>
      </c>
      <c r="CC7" t="s">
        <v>47</v>
      </c>
      <c r="CD7" t="s">
        <v>47</v>
      </c>
      <c r="CE7" t="s">
        <v>47</v>
      </c>
      <c r="CF7" t="s">
        <v>47</v>
      </c>
      <c r="CG7" t="s">
        <v>47</v>
      </c>
      <c r="CH7" t="s">
        <v>47</v>
      </c>
      <c r="CI7" t="s">
        <v>47</v>
      </c>
      <c r="CJ7" t="s">
        <v>47</v>
      </c>
      <c r="CK7"/>
    </row>
    <row r="8" spans="1:89" s="7" customFormat="1" x14ac:dyDescent="0.25">
      <c r="A8" t="s">
        <v>1435</v>
      </c>
      <c r="B8" t="s">
        <v>1387</v>
      </c>
      <c r="C8" t="s">
        <v>1102</v>
      </c>
      <c r="D8" t="s">
        <v>1526</v>
      </c>
      <c r="E8">
        <v>17</v>
      </c>
      <c r="F8" t="s">
        <v>925</v>
      </c>
      <c r="G8">
        <v>1173</v>
      </c>
      <c r="H8" s="9">
        <v>2.5</v>
      </c>
      <c r="I8" t="s">
        <v>925</v>
      </c>
      <c r="J8" t="s">
        <v>935</v>
      </c>
      <c r="K8" t="s">
        <v>1523</v>
      </c>
      <c r="L8" t="s">
        <v>1524</v>
      </c>
      <c r="M8" s="10" t="str">
        <f>HYPERLINK(cna_product_database_catalog_website[[#This Row],[Spec Sheet Link]], cna_product_database_catalog_website[[#Headers],[Spec Sheet Link]])</f>
        <v>Spec Sheet Link</v>
      </c>
      <c r="N8" t="s">
        <v>46</v>
      </c>
      <c r="O8">
        <v>1</v>
      </c>
      <c r="P8">
        <v>1</v>
      </c>
      <c r="Q8" t="s">
        <v>123</v>
      </c>
      <c r="R8" t="s">
        <v>50</v>
      </c>
      <c r="S8" t="s">
        <v>144</v>
      </c>
      <c r="T8" t="s">
        <v>1363</v>
      </c>
      <c r="U8" t="s">
        <v>140</v>
      </c>
      <c r="V8" t="s">
        <v>47</v>
      </c>
      <c r="W8" t="s">
        <v>151</v>
      </c>
      <c r="X8" t="s">
        <v>95</v>
      </c>
      <c r="Y8" t="s">
        <v>558</v>
      </c>
      <c r="Z8" t="s">
        <v>552</v>
      </c>
      <c r="AA8" t="s">
        <v>177</v>
      </c>
      <c r="AB8" t="s">
        <v>589</v>
      </c>
      <c r="AC8" t="s">
        <v>1366</v>
      </c>
      <c r="AD8" t="s">
        <v>157</v>
      </c>
      <c r="AE8"/>
      <c r="AF8" t="s">
        <v>47</v>
      </c>
      <c r="AG8" t="s">
        <v>47</v>
      </c>
      <c r="AH8" t="s">
        <v>47</v>
      </c>
      <c r="AI8" t="s">
        <v>47</v>
      </c>
      <c r="AJ8"/>
      <c r="AK8"/>
      <c r="AL8" t="s">
        <v>1375</v>
      </c>
      <c r="AM8" t="s">
        <v>130</v>
      </c>
      <c r="AN8" t="s">
        <v>1375</v>
      </c>
      <c r="AO8" t="s">
        <v>76</v>
      </c>
      <c r="AP8" t="s">
        <v>176</v>
      </c>
      <c r="AQ8" t="s">
        <v>1370</v>
      </c>
      <c r="AR8">
        <v>35</v>
      </c>
      <c r="AS8">
        <v>0.08</v>
      </c>
      <c r="AT8"/>
      <c r="AU8"/>
      <c r="AV8" t="s">
        <v>47</v>
      </c>
      <c r="AW8" t="s">
        <v>142</v>
      </c>
      <c r="AX8">
        <v>40</v>
      </c>
      <c r="AY8">
        <v>40</v>
      </c>
      <c r="AZ8"/>
      <c r="BA8"/>
      <c r="BB8"/>
      <c r="BC8">
        <v>0</v>
      </c>
      <c r="BD8">
        <v>0</v>
      </c>
      <c r="BE8" t="s">
        <v>47</v>
      </c>
      <c r="BF8"/>
      <c r="BG8"/>
      <c r="BH8"/>
      <c r="BI8">
        <v>0</v>
      </c>
      <c r="BJ8">
        <v>0</v>
      </c>
      <c r="BK8"/>
      <c r="BL8"/>
      <c r="BM8" t="s">
        <v>47</v>
      </c>
      <c r="BN8" t="s">
        <v>177</v>
      </c>
      <c r="BO8" t="s">
        <v>197</v>
      </c>
      <c r="BP8" t="s">
        <v>47</v>
      </c>
      <c r="BQ8" t="s">
        <v>47</v>
      </c>
      <c r="BR8"/>
      <c r="BS8" t="s">
        <v>47</v>
      </c>
      <c r="BT8" t="s">
        <v>47</v>
      </c>
      <c r="BU8" t="s">
        <v>47</v>
      </c>
      <c r="BV8"/>
      <c r="BW8" t="s">
        <v>47</v>
      </c>
      <c r="BX8" t="s">
        <v>47</v>
      </c>
      <c r="BY8" t="s">
        <v>47</v>
      </c>
      <c r="BZ8" t="s">
        <v>47</v>
      </c>
      <c r="CA8" t="s">
        <v>47</v>
      </c>
      <c r="CB8" t="s">
        <v>47</v>
      </c>
      <c r="CC8" t="s">
        <v>47</v>
      </c>
      <c r="CD8" t="s">
        <v>47</v>
      </c>
      <c r="CE8" t="s">
        <v>47</v>
      </c>
      <c r="CF8" t="s">
        <v>47</v>
      </c>
      <c r="CG8" t="s">
        <v>47</v>
      </c>
      <c r="CH8" t="s">
        <v>47</v>
      </c>
      <c r="CI8" t="s">
        <v>47</v>
      </c>
      <c r="CJ8" t="s">
        <v>47</v>
      </c>
      <c r="CK8"/>
    </row>
    <row r="9" spans="1:89" s="7" customFormat="1" x14ac:dyDescent="0.25">
      <c r="A9" t="s">
        <v>1435</v>
      </c>
      <c r="B9" t="s">
        <v>1387</v>
      </c>
      <c r="C9" t="s">
        <v>1103</v>
      </c>
      <c r="D9" t="s">
        <v>1527</v>
      </c>
      <c r="E9">
        <v>18</v>
      </c>
      <c r="F9" t="s">
        <v>924</v>
      </c>
      <c r="G9">
        <v>1174</v>
      </c>
      <c r="H9" s="9">
        <v>2.5</v>
      </c>
      <c r="I9" t="s">
        <v>924</v>
      </c>
      <c r="J9" t="s">
        <v>936</v>
      </c>
      <c r="K9" t="s">
        <v>1523</v>
      </c>
      <c r="L9" t="s">
        <v>1524</v>
      </c>
      <c r="M9" s="10" t="str">
        <f>HYPERLINK(cna_product_database_catalog_website[[#This Row],[Spec Sheet Link]], cna_product_database_catalog_website[[#Headers],[Spec Sheet Link]])</f>
        <v>Spec Sheet Link</v>
      </c>
      <c r="N9" t="s">
        <v>46</v>
      </c>
      <c r="O9">
        <v>1</v>
      </c>
      <c r="P9">
        <v>1</v>
      </c>
      <c r="Q9" t="s">
        <v>92</v>
      </c>
      <c r="R9" t="s">
        <v>50</v>
      </c>
      <c r="S9" t="s">
        <v>1361</v>
      </c>
      <c r="T9" t="s">
        <v>1362</v>
      </c>
      <c r="U9" t="s">
        <v>140</v>
      </c>
      <c r="V9"/>
      <c r="W9" t="s">
        <v>151</v>
      </c>
      <c r="X9" t="s">
        <v>95</v>
      </c>
      <c r="Y9" t="s">
        <v>558</v>
      </c>
      <c r="Z9" t="s">
        <v>552</v>
      </c>
      <c r="AA9" t="s">
        <v>177</v>
      </c>
      <c r="AB9" t="s">
        <v>589</v>
      </c>
      <c r="AC9" t="s">
        <v>1366</v>
      </c>
      <c r="AD9" t="s">
        <v>157</v>
      </c>
      <c r="AE9"/>
      <c r="AF9"/>
      <c r="AG9"/>
      <c r="AH9"/>
      <c r="AI9"/>
      <c r="AJ9"/>
      <c r="AK9"/>
      <c r="AL9" t="s">
        <v>1375</v>
      </c>
      <c r="AM9" t="s">
        <v>130</v>
      </c>
      <c r="AN9" t="s">
        <v>1375</v>
      </c>
      <c r="AO9" t="s">
        <v>1372</v>
      </c>
      <c r="AP9" t="s">
        <v>1374</v>
      </c>
      <c r="AQ9" t="s">
        <v>1373</v>
      </c>
      <c r="AR9"/>
      <c r="AS9"/>
      <c r="AT9"/>
      <c r="AU9"/>
      <c r="AV9"/>
      <c r="AW9" t="s">
        <v>142</v>
      </c>
      <c r="AX9">
        <v>40</v>
      </c>
      <c r="AY9">
        <v>40</v>
      </c>
      <c r="AZ9"/>
      <c r="BA9"/>
      <c r="BB9"/>
      <c r="BC9">
        <v>0</v>
      </c>
      <c r="BD9">
        <v>0</v>
      </c>
      <c r="BE9"/>
      <c r="BF9"/>
      <c r="BG9"/>
      <c r="BH9"/>
      <c r="BI9">
        <v>0</v>
      </c>
      <c r="BJ9">
        <v>0</v>
      </c>
      <c r="BK9"/>
      <c r="BL9"/>
      <c r="BM9"/>
      <c r="BN9" t="s">
        <v>177</v>
      </c>
      <c r="BO9" t="s">
        <v>197</v>
      </c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</row>
    <row r="10" spans="1:89" s="7" customFormat="1" x14ac:dyDescent="0.25">
      <c r="A10" t="s">
        <v>1435</v>
      </c>
      <c r="B10" t="s">
        <v>1387</v>
      </c>
      <c r="C10" t="s">
        <v>1231</v>
      </c>
      <c r="D10" t="s">
        <v>1528</v>
      </c>
      <c r="E10">
        <v>19</v>
      </c>
      <c r="F10" t="s">
        <v>595</v>
      </c>
      <c r="G10">
        <v>1105</v>
      </c>
      <c r="H10" s="9">
        <v>2.9</v>
      </c>
      <c r="I10" t="s">
        <v>595</v>
      </c>
      <c r="J10" t="s">
        <v>595</v>
      </c>
      <c r="K10" t="s">
        <v>1529</v>
      </c>
      <c r="L10" t="s">
        <v>1530</v>
      </c>
      <c r="M10" s="10" t="str">
        <f>HYPERLINK(cna_product_database_catalog_website[[#This Row],[Spec Sheet Link]], cna_product_database_catalog_website[[#Headers],[Spec Sheet Link]])</f>
        <v>Spec Sheet Link</v>
      </c>
      <c r="N10" t="s">
        <v>46</v>
      </c>
      <c r="O10">
        <v>1</v>
      </c>
      <c r="P10">
        <v>1</v>
      </c>
      <c r="Q10" t="s">
        <v>180</v>
      </c>
      <c r="R10" t="s">
        <v>181</v>
      </c>
      <c r="S10" t="s">
        <v>182</v>
      </c>
      <c r="T10" t="s">
        <v>183</v>
      </c>
      <c r="U10" t="s">
        <v>140</v>
      </c>
      <c r="V10" t="s">
        <v>47</v>
      </c>
      <c r="W10" t="s">
        <v>151</v>
      </c>
      <c r="X10" t="s">
        <v>618</v>
      </c>
      <c r="Y10" t="s">
        <v>1364</v>
      </c>
      <c r="Z10" t="s">
        <v>553</v>
      </c>
      <c r="AA10" t="s">
        <v>1369</v>
      </c>
      <c r="AB10" t="s">
        <v>1365</v>
      </c>
      <c r="AC10" t="s">
        <v>1367</v>
      </c>
      <c r="AD10" t="s">
        <v>1368</v>
      </c>
      <c r="AE10"/>
      <c r="AF10" t="s">
        <v>47</v>
      </c>
      <c r="AG10" t="s">
        <v>47</v>
      </c>
      <c r="AH10" t="s">
        <v>47</v>
      </c>
      <c r="AI10" t="s">
        <v>47</v>
      </c>
      <c r="AJ10"/>
      <c r="AK10"/>
      <c r="AL10" t="s">
        <v>1339</v>
      </c>
      <c r="AM10" t="s">
        <v>1340</v>
      </c>
      <c r="AN10" t="s">
        <v>190</v>
      </c>
      <c r="AO10" t="s">
        <v>185</v>
      </c>
      <c r="AP10" t="s">
        <v>186</v>
      </c>
      <c r="AQ10" t="s">
        <v>1371</v>
      </c>
      <c r="AR10">
        <v>267</v>
      </c>
      <c r="AS10">
        <v>0.59</v>
      </c>
      <c r="AT10"/>
      <c r="AU10"/>
      <c r="AV10" t="s">
        <v>47</v>
      </c>
      <c r="AW10" t="s">
        <v>142</v>
      </c>
      <c r="AX10">
        <v>4</v>
      </c>
      <c r="AY10">
        <v>4</v>
      </c>
      <c r="AZ10"/>
      <c r="BA10"/>
      <c r="BB10"/>
      <c r="BC10">
        <v>0</v>
      </c>
      <c r="BD10">
        <v>0</v>
      </c>
      <c r="BE10" t="s">
        <v>47</v>
      </c>
      <c r="BF10"/>
      <c r="BG10"/>
      <c r="BH10"/>
      <c r="BI10">
        <v>0</v>
      </c>
      <c r="BJ10">
        <v>0</v>
      </c>
      <c r="BK10"/>
      <c r="BL10"/>
      <c r="BM10" t="s">
        <v>47</v>
      </c>
      <c r="BN10" t="s">
        <v>188</v>
      </c>
      <c r="BO10" t="s">
        <v>197</v>
      </c>
      <c r="BP10" t="s">
        <v>47</v>
      </c>
      <c r="BQ10" t="s">
        <v>47</v>
      </c>
      <c r="BR10"/>
      <c r="BS10" t="s">
        <v>47</v>
      </c>
      <c r="BT10" t="s">
        <v>47</v>
      </c>
      <c r="BU10" t="s">
        <v>47</v>
      </c>
      <c r="BV10"/>
      <c r="BW10" t="s">
        <v>47</v>
      </c>
      <c r="BX10" t="s">
        <v>47</v>
      </c>
      <c r="BY10" t="s">
        <v>47</v>
      </c>
      <c r="BZ10" t="s">
        <v>47</v>
      </c>
      <c r="CA10" t="s">
        <v>47</v>
      </c>
      <c r="CB10" t="s">
        <v>47</v>
      </c>
      <c r="CC10" t="s">
        <v>47</v>
      </c>
      <c r="CD10" t="s">
        <v>47</v>
      </c>
      <c r="CE10" t="s">
        <v>47</v>
      </c>
      <c r="CF10" t="s">
        <v>47</v>
      </c>
      <c r="CG10" t="s">
        <v>47</v>
      </c>
      <c r="CH10" t="s">
        <v>47</v>
      </c>
      <c r="CI10" t="s">
        <v>47</v>
      </c>
      <c r="CJ10" t="s">
        <v>47</v>
      </c>
      <c r="CK10"/>
    </row>
    <row r="11" spans="1:89" s="7" customFormat="1" x14ac:dyDescent="0.25">
      <c r="A11" t="s">
        <v>1435</v>
      </c>
      <c r="B11" t="s">
        <v>1387</v>
      </c>
      <c r="C11" t="s">
        <v>1115</v>
      </c>
      <c r="D11" t="s">
        <v>1531</v>
      </c>
      <c r="E11">
        <v>25</v>
      </c>
      <c r="F11" t="s">
        <v>90</v>
      </c>
      <c r="G11">
        <v>959</v>
      </c>
      <c r="H11" s="9">
        <v>4.75</v>
      </c>
      <c r="I11" t="s">
        <v>90</v>
      </c>
      <c r="J11" t="s">
        <v>90</v>
      </c>
      <c r="K11" t="s">
        <v>1532</v>
      </c>
      <c r="L11" t="s">
        <v>1533</v>
      </c>
      <c r="M11" s="10" t="str">
        <f>HYPERLINK(cna_product_database_catalog_website[[#This Row],[Spec Sheet Link]], cna_product_database_catalog_website[[#Headers],[Spec Sheet Link]])</f>
        <v>Spec Sheet Link</v>
      </c>
      <c r="N11" t="s">
        <v>46</v>
      </c>
      <c r="O11">
        <v>1</v>
      </c>
      <c r="P11">
        <v>1</v>
      </c>
      <c r="Q11" t="s">
        <v>47</v>
      </c>
      <c r="R11" t="s">
        <v>47</v>
      </c>
      <c r="S11" t="s">
        <v>47</v>
      </c>
      <c r="T11" t="s">
        <v>47</v>
      </c>
      <c r="U11" t="s">
        <v>47</v>
      </c>
      <c r="V11" t="s">
        <v>47</v>
      </c>
      <c r="W11" t="s">
        <v>47</v>
      </c>
      <c r="X11" t="s">
        <v>47</v>
      </c>
      <c r="Y11" t="s">
        <v>47</v>
      </c>
      <c r="Z11" t="s">
        <v>47</v>
      </c>
      <c r="AA11" t="s">
        <v>47</v>
      </c>
      <c r="AB11" t="s">
        <v>47</v>
      </c>
      <c r="AC11" t="s">
        <v>47</v>
      </c>
      <c r="AD11" t="s">
        <v>47</v>
      </c>
      <c r="AE11"/>
      <c r="AF11" t="s">
        <v>47</v>
      </c>
      <c r="AG11" t="s">
        <v>47</v>
      </c>
      <c r="AH11" t="s">
        <v>47</v>
      </c>
      <c r="AI11" t="s">
        <v>47</v>
      </c>
      <c r="AJ11"/>
      <c r="AK11"/>
      <c r="AL11" t="s">
        <v>47</v>
      </c>
      <c r="AM11"/>
      <c r="AN11"/>
      <c r="AO11" t="s">
        <v>47</v>
      </c>
      <c r="AP11"/>
      <c r="AQ11"/>
      <c r="AR11">
        <v>246</v>
      </c>
      <c r="AS11">
        <v>0.54</v>
      </c>
      <c r="AT11" t="s">
        <v>191</v>
      </c>
      <c r="AU11" t="s">
        <v>192</v>
      </c>
      <c r="AV11" t="s">
        <v>47</v>
      </c>
      <c r="AW11" t="s">
        <v>47</v>
      </c>
      <c r="AX11">
        <v>1</v>
      </c>
      <c r="AY11">
        <v>1</v>
      </c>
      <c r="AZ11"/>
      <c r="BA11"/>
      <c r="BB11"/>
      <c r="BC11">
        <v>0</v>
      </c>
      <c r="BD11">
        <v>0</v>
      </c>
      <c r="BE11" t="s">
        <v>47</v>
      </c>
      <c r="BF11"/>
      <c r="BG11"/>
      <c r="BH11"/>
      <c r="BI11">
        <v>0</v>
      </c>
      <c r="BJ11">
        <v>0</v>
      </c>
      <c r="BK11"/>
      <c r="BL11"/>
      <c r="BM11" t="s">
        <v>47</v>
      </c>
      <c r="BN11" t="s">
        <v>47</v>
      </c>
      <c r="BO11" t="s">
        <v>197</v>
      </c>
      <c r="BP11" t="s">
        <v>47</v>
      </c>
      <c r="BQ11" t="s">
        <v>47</v>
      </c>
      <c r="BR11"/>
      <c r="BS11" t="s">
        <v>47</v>
      </c>
      <c r="BT11" t="s">
        <v>47</v>
      </c>
      <c r="BU11" t="s">
        <v>47</v>
      </c>
      <c r="BV11"/>
      <c r="BW11" t="s">
        <v>47</v>
      </c>
      <c r="BX11" t="s">
        <v>47</v>
      </c>
      <c r="BY11" t="s">
        <v>47</v>
      </c>
      <c r="BZ11" t="s">
        <v>47</v>
      </c>
      <c r="CA11" t="s">
        <v>47</v>
      </c>
      <c r="CB11" t="s">
        <v>47</v>
      </c>
      <c r="CC11" t="s">
        <v>47</v>
      </c>
      <c r="CD11" t="s">
        <v>47</v>
      </c>
      <c r="CE11" t="s">
        <v>47</v>
      </c>
      <c r="CF11" t="s">
        <v>47</v>
      </c>
      <c r="CG11" t="s">
        <v>47</v>
      </c>
      <c r="CH11" t="s">
        <v>47</v>
      </c>
      <c r="CI11" t="s">
        <v>47</v>
      </c>
      <c r="CJ11" t="s">
        <v>47</v>
      </c>
      <c r="CK11"/>
    </row>
    <row r="12" spans="1:89" s="7" customFormat="1" x14ac:dyDescent="0.25">
      <c r="A12" t="s">
        <v>1435</v>
      </c>
      <c r="B12" t="s">
        <v>1387</v>
      </c>
      <c r="C12" t="s">
        <v>1116</v>
      </c>
      <c r="D12" t="s">
        <v>1534</v>
      </c>
      <c r="E12">
        <v>26</v>
      </c>
      <c r="F12" t="s">
        <v>91</v>
      </c>
      <c r="G12">
        <v>900</v>
      </c>
      <c r="H12" s="9">
        <v>4.75</v>
      </c>
      <c r="I12" t="s">
        <v>91</v>
      </c>
      <c r="J12" t="s">
        <v>91</v>
      </c>
      <c r="K12" t="s">
        <v>1535</v>
      </c>
      <c r="L12" t="s">
        <v>1533</v>
      </c>
      <c r="M12" s="10" t="str">
        <f>HYPERLINK(cna_product_database_catalog_website[[#This Row],[Spec Sheet Link]], cna_product_database_catalog_website[[#Headers],[Spec Sheet Link]])</f>
        <v>Spec Sheet Link</v>
      </c>
      <c r="N12" t="s">
        <v>46</v>
      </c>
      <c r="O12">
        <v>1</v>
      </c>
      <c r="P12">
        <v>1</v>
      </c>
      <c r="Q12" t="s">
        <v>47</v>
      </c>
      <c r="R12" t="s">
        <v>47</v>
      </c>
      <c r="S12" t="s">
        <v>47</v>
      </c>
      <c r="T12" t="s">
        <v>47</v>
      </c>
      <c r="U12" t="s">
        <v>47</v>
      </c>
      <c r="V12" t="s">
        <v>47</v>
      </c>
      <c r="W12" t="s">
        <v>47</v>
      </c>
      <c r="X12" t="s">
        <v>47</v>
      </c>
      <c r="Y12" t="s">
        <v>47</v>
      </c>
      <c r="Z12" t="s">
        <v>47</v>
      </c>
      <c r="AA12" t="s">
        <v>47</v>
      </c>
      <c r="AB12" t="s">
        <v>47</v>
      </c>
      <c r="AC12" t="s">
        <v>47</v>
      </c>
      <c r="AD12" t="s">
        <v>47</v>
      </c>
      <c r="AE12"/>
      <c r="AF12" t="s">
        <v>47</v>
      </c>
      <c r="AG12" t="s">
        <v>47</v>
      </c>
      <c r="AH12" t="s">
        <v>47</v>
      </c>
      <c r="AI12" t="s">
        <v>47</v>
      </c>
      <c r="AJ12"/>
      <c r="AK12"/>
      <c r="AL12" t="s">
        <v>47</v>
      </c>
      <c r="AM12"/>
      <c r="AN12"/>
      <c r="AO12" t="s">
        <v>47</v>
      </c>
      <c r="AP12" t="s">
        <v>47</v>
      </c>
      <c r="AQ12" t="s">
        <v>47</v>
      </c>
      <c r="AR12">
        <v>300</v>
      </c>
      <c r="AS12">
        <v>0.66</v>
      </c>
      <c r="AT12"/>
      <c r="AU12"/>
      <c r="AV12" t="s">
        <v>47</v>
      </c>
      <c r="AW12" t="s">
        <v>47</v>
      </c>
      <c r="AX12">
        <v>1</v>
      </c>
      <c r="AY12">
        <v>1</v>
      </c>
      <c r="AZ12"/>
      <c r="BA12"/>
      <c r="BB12"/>
      <c r="BC12">
        <v>0</v>
      </c>
      <c r="BD12">
        <v>0</v>
      </c>
      <c r="BE12" t="s">
        <v>47</v>
      </c>
      <c r="BF12"/>
      <c r="BG12"/>
      <c r="BH12"/>
      <c r="BI12">
        <v>0</v>
      </c>
      <c r="BJ12">
        <v>0</v>
      </c>
      <c r="BK12"/>
      <c r="BL12"/>
      <c r="BM12" t="s">
        <v>47</v>
      </c>
      <c r="BN12" t="s">
        <v>47</v>
      </c>
      <c r="BO12" t="s">
        <v>47</v>
      </c>
      <c r="BP12" t="s">
        <v>47</v>
      </c>
      <c r="BQ12" t="s">
        <v>47</v>
      </c>
      <c r="BR12"/>
      <c r="BS12" t="s">
        <v>47</v>
      </c>
      <c r="BT12" t="s">
        <v>47</v>
      </c>
      <c r="BU12" t="s">
        <v>47</v>
      </c>
      <c r="BV12"/>
      <c r="BW12" t="s">
        <v>47</v>
      </c>
      <c r="BX12" t="s">
        <v>47</v>
      </c>
      <c r="BY12" t="s">
        <v>47</v>
      </c>
      <c r="BZ12" t="s">
        <v>47</v>
      </c>
      <c r="CA12" t="s">
        <v>47</v>
      </c>
      <c r="CB12" t="s">
        <v>47</v>
      </c>
      <c r="CC12" t="s">
        <v>47</v>
      </c>
      <c r="CD12" t="s">
        <v>47</v>
      </c>
      <c r="CE12" t="s">
        <v>47</v>
      </c>
      <c r="CF12" t="s">
        <v>47</v>
      </c>
      <c r="CG12" t="s">
        <v>47</v>
      </c>
      <c r="CH12" t="s">
        <v>47</v>
      </c>
      <c r="CI12" t="s">
        <v>47</v>
      </c>
      <c r="CJ12" t="s">
        <v>47</v>
      </c>
      <c r="CK12"/>
    </row>
    <row r="13" spans="1:89" s="7" customFormat="1" x14ac:dyDescent="0.25">
      <c r="A13" t="s">
        <v>1435</v>
      </c>
      <c r="B13" t="s">
        <v>1387</v>
      </c>
      <c r="C13" t="s">
        <v>715</v>
      </c>
      <c r="D13" t="s">
        <v>1536</v>
      </c>
      <c r="E13">
        <v>30</v>
      </c>
      <c r="F13" t="s">
        <v>1292</v>
      </c>
      <c r="G13">
        <v>1216</v>
      </c>
      <c r="H13" s="9">
        <v>2.2000000000000002</v>
      </c>
      <c r="I13" t="s">
        <v>1292</v>
      </c>
      <c r="J13" t="s">
        <v>94</v>
      </c>
      <c r="K13" t="s">
        <v>1537</v>
      </c>
      <c r="L13" t="s">
        <v>1538</v>
      </c>
      <c r="M13" s="10" t="str">
        <f>HYPERLINK(cna_product_database_catalog_website[[#This Row],[Spec Sheet Link]], cna_product_database_catalog_website[[#Headers],[Spec Sheet Link]])</f>
        <v>Spec Sheet Link</v>
      </c>
      <c r="N13" t="s">
        <v>46</v>
      </c>
      <c r="O13">
        <v>1</v>
      </c>
      <c r="P13">
        <v>1</v>
      </c>
      <c r="Q13" t="s">
        <v>47</v>
      </c>
      <c r="R13" t="s">
        <v>47</v>
      </c>
      <c r="S13" t="s">
        <v>47</v>
      </c>
      <c r="T13" t="s">
        <v>47</v>
      </c>
      <c r="U13" t="s">
        <v>47</v>
      </c>
      <c r="V13" t="s">
        <v>47</v>
      </c>
      <c r="W13" t="s">
        <v>47</v>
      </c>
      <c r="X13" t="s">
        <v>47</v>
      </c>
      <c r="Y13" t="s">
        <v>47</v>
      </c>
      <c r="Z13" t="s">
        <v>47</v>
      </c>
      <c r="AA13" t="s">
        <v>47</v>
      </c>
      <c r="AB13" t="s">
        <v>47</v>
      </c>
      <c r="AC13" t="s">
        <v>47</v>
      </c>
      <c r="AD13" t="s">
        <v>47</v>
      </c>
      <c r="AE13"/>
      <c r="AF13" t="s">
        <v>47</v>
      </c>
      <c r="AG13" t="s">
        <v>47</v>
      </c>
      <c r="AH13" t="s">
        <v>47</v>
      </c>
      <c r="AI13" t="s">
        <v>47</v>
      </c>
      <c r="AJ13"/>
      <c r="AK13"/>
      <c r="AL13" t="s">
        <v>47</v>
      </c>
      <c r="AM13"/>
      <c r="AN13"/>
      <c r="AO13" t="s">
        <v>47</v>
      </c>
      <c r="AP13" t="s">
        <v>47</v>
      </c>
      <c r="AQ13" t="s">
        <v>47</v>
      </c>
      <c r="AR13">
        <v>400</v>
      </c>
      <c r="AS13">
        <v>0.88</v>
      </c>
      <c r="AT13"/>
      <c r="AU13"/>
      <c r="AV13" t="s">
        <v>47</v>
      </c>
      <c r="AW13" t="s">
        <v>47</v>
      </c>
      <c r="AX13">
        <v>1</v>
      </c>
      <c r="AY13">
        <v>1</v>
      </c>
      <c r="AZ13"/>
      <c r="BA13"/>
      <c r="BB13"/>
      <c r="BC13">
        <v>0</v>
      </c>
      <c r="BD13">
        <v>0</v>
      </c>
      <c r="BE13" t="s">
        <v>47</v>
      </c>
      <c r="BF13"/>
      <c r="BG13"/>
      <c r="BH13"/>
      <c r="BI13">
        <v>0</v>
      </c>
      <c r="BJ13">
        <v>0</v>
      </c>
      <c r="BK13"/>
      <c r="BL13"/>
      <c r="BM13" t="s">
        <v>47</v>
      </c>
      <c r="BN13" t="s">
        <v>47</v>
      </c>
      <c r="BO13" t="s">
        <v>47</v>
      </c>
      <c r="BP13" t="s">
        <v>47</v>
      </c>
      <c r="BQ13" t="s">
        <v>47</v>
      </c>
      <c r="BR13"/>
      <c r="BS13" t="s">
        <v>47</v>
      </c>
      <c r="BT13" t="s">
        <v>47</v>
      </c>
      <c r="BU13" t="s">
        <v>47</v>
      </c>
      <c r="BV13"/>
      <c r="BW13" t="s">
        <v>47</v>
      </c>
      <c r="BX13" t="s">
        <v>47</v>
      </c>
      <c r="BY13" t="s">
        <v>47</v>
      </c>
      <c r="BZ13" t="s">
        <v>47</v>
      </c>
      <c r="CA13" t="s">
        <v>47</v>
      </c>
      <c r="CB13" t="s">
        <v>47</v>
      </c>
      <c r="CC13" t="s">
        <v>47</v>
      </c>
      <c r="CD13" t="s">
        <v>47</v>
      </c>
      <c r="CE13" t="s">
        <v>47</v>
      </c>
      <c r="CF13" t="s">
        <v>47</v>
      </c>
      <c r="CG13" t="s">
        <v>47</v>
      </c>
      <c r="CH13" t="s">
        <v>47</v>
      </c>
      <c r="CI13" t="s">
        <v>47</v>
      </c>
      <c r="CJ13" t="s">
        <v>47</v>
      </c>
      <c r="CK13"/>
    </row>
    <row r="14" spans="1:89" s="7" customFormat="1" x14ac:dyDescent="0.25">
      <c r="A14" t="s">
        <v>1435</v>
      </c>
      <c r="B14" t="s">
        <v>1387</v>
      </c>
      <c r="C14" t="s">
        <v>1117</v>
      </c>
      <c r="D14" t="s">
        <v>1539</v>
      </c>
      <c r="E14">
        <v>35</v>
      </c>
      <c r="F14" t="s">
        <v>96</v>
      </c>
      <c r="G14">
        <v>947</v>
      </c>
      <c r="H14" s="9">
        <v>1.7</v>
      </c>
      <c r="I14" t="s">
        <v>96</v>
      </c>
      <c r="J14" t="s">
        <v>96</v>
      </c>
      <c r="K14" t="s">
        <v>1540</v>
      </c>
      <c r="L14" t="s">
        <v>1541</v>
      </c>
      <c r="M14" s="10" t="str">
        <f>HYPERLINK(cna_product_database_catalog_website[[#This Row],[Spec Sheet Link]], cna_product_database_catalog_website[[#Headers],[Spec Sheet Link]])</f>
        <v>Spec Sheet Link</v>
      </c>
      <c r="N14" t="s">
        <v>46</v>
      </c>
      <c r="O14">
        <v>1</v>
      </c>
      <c r="P14">
        <v>1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E14"/>
      <c r="AF14" t="s">
        <v>47</v>
      </c>
      <c r="AG14" t="s">
        <v>47</v>
      </c>
      <c r="AH14" t="s">
        <v>47</v>
      </c>
      <c r="AI14" t="s">
        <v>47</v>
      </c>
      <c r="AJ14"/>
      <c r="AK14"/>
      <c r="AL14" t="s">
        <v>47</v>
      </c>
      <c r="AM14"/>
      <c r="AN14"/>
      <c r="AO14" t="s">
        <v>47</v>
      </c>
      <c r="AP14" t="s">
        <v>47</v>
      </c>
      <c r="AQ14" t="s">
        <v>47</v>
      </c>
      <c r="AR14">
        <v>150</v>
      </c>
      <c r="AS14">
        <v>0.33</v>
      </c>
      <c r="AT14"/>
      <c r="AU14"/>
      <c r="AV14" t="s">
        <v>47</v>
      </c>
      <c r="AW14" t="s">
        <v>47</v>
      </c>
      <c r="AX14">
        <v>1</v>
      </c>
      <c r="AY14">
        <v>1</v>
      </c>
      <c r="AZ14"/>
      <c r="BA14"/>
      <c r="BB14"/>
      <c r="BC14">
        <v>0</v>
      </c>
      <c r="BD14">
        <v>0</v>
      </c>
      <c r="BE14" t="s">
        <v>47</v>
      </c>
      <c r="BF14"/>
      <c r="BG14"/>
      <c r="BH14"/>
      <c r="BI14">
        <v>0</v>
      </c>
      <c r="BJ14">
        <v>0</v>
      </c>
      <c r="BK14"/>
      <c r="BL14"/>
      <c r="BM14" t="s">
        <v>47</v>
      </c>
      <c r="BN14" t="s">
        <v>47</v>
      </c>
      <c r="BO14" t="s">
        <v>47</v>
      </c>
      <c r="BP14" t="s">
        <v>47</v>
      </c>
      <c r="BQ14" t="s">
        <v>47</v>
      </c>
      <c r="BR14"/>
      <c r="BS14" t="s">
        <v>47</v>
      </c>
      <c r="BT14" t="s">
        <v>47</v>
      </c>
      <c r="BU14" t="s">
        <v>47</v>
      </c>
      <c r="BV14"/>
      <c r="BW14" t="s">
        <v>47</v>
      </c>
      <c r="BX14" t="s">
        <v>47</v>
      </c>
      <c r="BY14" t="s">
        <v>47</v>
      </c>
      <c r="BZ14" t="s">
        <v>47</v>
      </c>
      <c r="CA14" t="s">
        <v>47</v>
      </c>
      <c r="CB14" t="s">
        <v>47</v>
      </c>
      <c r="CC14" t="s">
        <v>47</v>
      </c>
      <c r="CD14" t="s">
        <v>47</v>
      </c>
      <c r="CE14" t="s">
        <v>47</v>
      </c>
      <c r="CF14" t="s">
        <v>47</v>
      </c>
      <c r="CG14" t="s">
        <v>47</v>
      </c>
      <c r="CH14" t="s">
        <v>47</v>
      </c>
      <c r="CI14" t="s">
        <v>47</v>
      </c>
      <c r="CJ14" t="s">
        <v>47</v>
      </c>
      <c r="CK14"/>
    </row>
    <row r="15" spans="1:89" s="7" customFormat="1" x14ac:dyDescent="0.25">
      <c r="A15" t="s">
        <v>1435</v>
      </c>
      <c r="B15" t="s">
        <v>1387</v>
      </c>
      <c r="C15" t="s">
        <v>1118</v>
      </c>
      <c r="D15" t="s">
        <v>1542</v>
      </c>
      <c r="E15">
        <v>36</v>
      </c>
      <c r="F15" t="s">
        <v>97</v>
      </c>
      <c r="G15">
        <v>949</v>
      </c>
      <c r="H15" s="9">
        <v>1.7</v>
      </c>
      <c r="I15" t="s">
        <v>97</v>
      </c>
      <c r="J15" t="s">
        <v>97</v>
      </c>
      <c r="K15" t="s">
        <v>1540</v>
      </c>
      <c r="L15" t="s">
        <v>1541</v>
      </c>
      <c r="M15" s="10" t="str">
        <f>HYPERLINK(cna_product_database_catalog_website[[#This Row],[Spec Sheet Link]], cna_product_database_catalog_website[[#Headers],[Spec Sheet Link]])</f>
        <v>Spec Sheet Link</v>
      </c>
      <c r="N15" t="s">
        <v>46</v>
      </c>
      <c r="O15">
        <v>1</v>
      </c>
      <c r="P15">
        <v>1</v>
      </c>
      <c r="Q15" t="s">
        <v>47</v>
      </c>
      <c r="R15" t="s">
        <v>47</v>
      </c>
      <c r="S15" t="s">
        <v>47</v>
      </c>
      <c r="T15" t="s">
        <v>47</v>
      </c>
      <c r="U15" t="s">
        <v>47</v>
      </c>
      <c r="V15" t="s">
        <v>47</v>
      </c>
      <c r="W15" t="s">
        <v>47</v>
      </c>
      <c r="X15" t="s">
        <v>47</v>
      </c>
      <c r="Y15" t="s">
        <v>47</v>
      </c>
      <c r="Z15" t="s">
        <v>47</v>
      </c>
      <c r="AA15" t="s">
        <v>47</v>
      </c>
      <c r="AB15" t="s">
        <v>47</v>
      </c>
      <c r="AC15" t="s">
        <v>47</v>
      </c>
      <c r="AD15" t="s">
        <v>47</v>
      </c>
      <c r="AE15"/>
      <c r="AF15" t="s">
        <v>47</v>
      </c>
      <c r="AG15" t="s">
        <v>47</v>
      </c>
      <c r="AH15" t="s">
        <v>47</v>
      </c>
      <c r="AI15" t="s">
        <v>47</v>
      </c>
      <c r="AJ15"/>
      <c r="AK15"/>
      <c r="AL15" t="s">
        <v>47</v>
      </c>
      <c r="AM15"/>
      <c r="AN15"/>
      <c r="AO15" t="s">
        <v>47</v>
      </c>
      <c r="AP15" t="s">
        <v>47</v>
      </c>
      <c r="AQ15" t="s">
        <v>47</v>
      </c>
      <c r="AR15">
        <v>100</v>
      </c>
      <c r="AS15">
        <v>0.22</v>
      </c>
      <c r="AT15"/>
      <c r="AU15"/>
      <c r="AV15" t="s">
        <v>47</v>
      </c>
      <c r="AW15" t="s">
        <v>47</v>
      </c>
      <c r="AX15">
        <v>100</v>
      </c>
      <c r="AY15">
        <v>100</v>
      </c>
      <c r="AZ15"/>
      <c r="BA15"/>
      <c r="BB15"/>
      <c r="BC15">
        <v>0</v>
      </c>
      <c r="BD15">
        <v>0</v>
      </c>
      <c r="BE15" t="s">
        <v>47</v>
      </c>
      <c r="BF15"/>
      <c r="BG15"/>
      <c r="BH15"/>
      <c r="BI15">
        <v>0</v>
      </c>
      <c r="BJ15">
        <v>0</v>
      </c>
      <c r="BK15"/>
      <c r="BL15"/>
      <c r="BM15" t="s">
        <v>47</v>
      </c>
      <c r="BN15" t="s">
        <v>47</v>
      </c>
      <c r="BO15" t="s">
        <v>47</v>
      </c>
      <c r="BP15" t="s">
        <v>47</v>
      </c>
      <c r="BQ15" t="s">
        <v>168</v>
      </c>
      <c r="BR15"/>
      <c r="BS15" t="s">
        <v>47</v>
      </c>
      <c r="BT15" t="s">
        <v>47</v>
      </c>
      <c r="BU15" t="s">
        <v>47</v>
      </c>
      <c r="BV15"/>
      <c r="BW15" t="s">
        <v>169</v>
      </c>
      <c r="BX15" t="s">
        <v>170</v>
      </c>
      <c r="BY15" t="s">
        <v>54</v>
      </c>
      <c r="BZ15"/>
      <c r="CA15" t="s">
        <v>47</v>
      </c>
      <c r="CB15" t="s">
        <v>47</v>
      </c>
      <c r="CC15" t="s">
        <v>47</v>
      </c>
      <c r="CD15" t="s">
        <v>47</v>
      </c>
      <c r="CE15" t="s">
        <v>47</v>
      </c>
      <c r="CF15" t="s">
        <v>47</v>
      </c>
      <c r="CG15" t="s">
        <v>47</v>
      </c>
      <c r="CH15" t="s">
        <v>47</v>
      </c>
      <c r="CI15" t="s">
        <v>47</v>
      </c>
      <c r="CJ15" t="s">
        <v>47</v>
      </c>
      <c r="CK15"/>
    </row>
    <row r="16" spans="1:89" s="7" customFormat="1" x14ac:dyDescent="0.25">
      <c r="A16" t="s">
        <v>1435</v>
      </c>
      <c r="B16" t="s">
        <v>1387</v>
      </c>
      <c r="C16" t="s">
        <v>1119</v>
      </c>
      <c r="D16" t="s">
        <v>1543</v>
      </c>
      <c r="E16">
        <v>37</v>
      </c>
      <c r="F16" t="s">
        <v>98</v>
      </c>
      <c r="G16">
        <v>1072</v>
      </c>
      <c r="H16" s="9">
        <v>1.7</v>
      </c>
      <c r="I16" t="s">
        <v>98</v>
      </c>
      <c r="J16" t="s">
        <v>98</v>
      </c>
      <c r="K16" t="s">
        <v>1540</v>
      </c>
      <c r="L16" t="s">
        <v>1541</v>
      </c>
      <c r="M16" s="10" t="str">
        <f>HYPERLINK(cna_product_database_catalog_website[[#This Row],[Spec Sheet Link]], cna_product_database_catalog_website[[#Headers],[Spec Sheet Link]])</f>
        <v>Spec Sheet Link</v>
      </c>
      <c r="N16" t="s">
        <v>46</v>
      </c>
      <c r="O16">
        <v>1</v>
      </c>
      <c r="P16">
        <v>1</v>
      </c>
      <c r="Q16" t="s">
        <v>47</v>
      </c>
      <c r="R16" t="s">
        <v>47</v>
      </c>
      <c r="S16" t="s">
        <v>47</v>
      </c>
      <c r="T16" t="s">
        <v>47</v>
      </c>
      <c r="U16" t="s">
        <v>47</v>
      </c>
      <c r="V16" t="s">
        <v>47</v>
      </c>
      <c r="W16" t="s">
        <v>47</v>
      </c>
      <c r="X16" t="s">
        <v>47</v>
      </c>
      <c r="Y16" t="s">
        <v>47</v>
      </c>
      <c r="Z16" t="s">
        <v>47</v>
      </c>
      <c r="AA16" t="s">
        <v>47</v>
      </c>
      <c r="AB16" t="s">
        <v>47</v>
      </c>
      <c r="AC16" t="s">
        <v>47</v>
      </c>
      <c r="AD16" t="s">
        <v>47</v>
      </c>
      <c r="AE16"/>
      <c r="AF16" t="s">
        <v>47</v>
      </c>
      <c r="AG16" t="s">
        <v>47</v>
      </c>
      <c r="AH16" t="s">
        <v>47</v>
      </c>
      <c r="AI16" t="s">
        <v>47</v>
      </c>
      <c r="AJ16"/>
      <c r="AK16"/>
      <c r="AL16" t="s">
        <v>47</v>
      </c>
      <c r="AM16"/>
      <c r="AN16"/>
      <c r="AO16" t="s">
        <v>47</v>
      </c>
      <c r="AP16" t="s">
        <v>47</v>
      </c>
      <c r="AQ16" t="s">
        <v>47</v>
      </c>
      <c r="AR16">
        <v>158</v>
      </c>
      <c r="AS16">
        <v>0.35</v>
      </c>
      <c r="AT16"/>
      <c r="AU16"/>
      <c r="AV16" t="s">
        <v>47</v>
      </c>
      <c r="AW16" t="s">
        <v>47</v>
      </c>
      <c r="AX16">
        <v>100</v>
      </c>
      <c r="AY16">
        <v>100</v>
      </c>
      <c r="AZ16"/>
      <c r="BA16"/>
      <c r="BB16"/>
      <c r="BC16">
        <v>0</v>
      </c>
      <c r="BD16">
        <v>0</v>
      </c>
      <c r="BE16" t="s">
        <v>47</v>
      </c>
      <c r="BF16"/>
      <c r="BG16"/>
      <c r="BH16"/>
      <c r="BI16">
        <v>0</v>
      </c>
      <c r="BJ16">
        <v>0</v>
      </c>
      <c r="BK16"/>
      <c r="BL16"/>
      <c r="BM16" t="s">
        <v>47</v>
      </c>
      <c r="BN16" t="s">
        <v>47</v>
      </c>
      <c r="BO16" t="s">
        <v>47</v>
      </c>
      <c r="BP16" t="s">
        <v>47</v>
      </c>
      <c r="BQ16" t="s">
        <v>172</v>
      </c>
      <c r="BR16"/>
      <c r="BS16" t="s">
        <v>47</v>
      </c>
      <c r="BT16" t="s">
        <v>47</v>
      </c>
      <c r="BU16" t="s">
        <v>47</v>
      </c>
      <c r="BV16"/>
      <c r="BW16" t="s">
        <v>173</v>
      </c>
      <c r="BX16" t="s">
        <v>174</v>
      </c>
      <c r="BY16" t="s">
        <v>69</v>
      </c>
      <c r="BZ16" t="s">
        <v>47</v>
      </c>
      <c r="CA16" t="s">
        <v>47</v>
      </c>
      <c r="CB16" t="s">
        <v>47</v>
      </c>
      <c r="CC16" t="s">
        <v>47</v>
      </c>
      <c r="CD16" t="s">
        <v>47</v>
      </c>
      <c r="CE16" t="s">
        <v>47</v>
      </c>
      <c r="CF16" t="s">
        <v>47</v>
      </c>
      <c r="CG16" t="s">
        <v>47</v>
      </c>
      <c r="CH16" t="s">
        <v>47</v>
      </c>
      <c r="CI16" t="s">
        <v>47</v>
      </c>
      <c r="CJ16" t="s">
        <v>47</v>
      </c>
      <c r="CK16"/>
    </row>
    <row r="17" spans="1:89" s="7" customFormat="1" x14ac:dyDescent="0.25">
      <c r="A17" t="s">
        <v>1435</v>
      </c>
      <c r="B17" t="s">
        <v>1387</v>
      </c>
      <c r="C17" t="s">
        <v>1120</v>
      </c>
      <c r="D17" t="s">
        <v>1544</v>
      </c>
      <c r="E17">
        <v>40</v>
      </c>
      <c r="F17" t="s">
        <v>951</v>
      </c>
      <c r="G17">
        <v>1192</v>
      </c>
      <c r="H17" s="9">
        <v>1.25</v>
      </c>
      <c r="I17" t="s">
        <v>951</v>
      </c>
      <c r="J17" t="s">
        <v>951</v>
      </c>
      <c r="K17" t="s">
        <v>1545</v>
      </c>
      <c r="L17" t="s">
        <v>1546</v>
      </c>
      <c r="M17" s="10" t="str">
        <f>HYPERLINK(cna_product_database_catalog_website[[#This Row],[Spec Sheet Link]], cna_product_database_catalog_website[[#Headers],[Spec Sheet Link]])</f>
        <v>Spec Sheet Link</v>
      </c>
      <c r="N17" t="s">
        <v>46</v>
      </c>
      <c r="O17">
        <v>1</v>
      </c>
      <c r="P17">
        <v>1</v>
      </c>
      <c r="Q17" t="s">
        <v>47</v>
      </c>
      <c r="R17" t="s">
        <v>47</v>
      </c>
      <c r="S17" t="s">
        <v>47</v>
      </c>
      <c r="T17" t="s">
        <v>47</v>
      </c>
      <c r="U17" t="s">
        <v>47</v>
      </c>
      <c r="V17" t="s">
        <v>47</v>
      </c>
      <c r="W17" t="s">
        <v>47</v>
      </c>
      <c r="X17" t="s">
        <v>47</v>
      </c>
      <c r="Y17" t="s">
        <v>47</v>
      </c>
      <c r="Z17"/>
      <c r="AA17" t="s">
        <v>47</v>
      </c>
      <c r="AB17" t="s">
        <v>47</v>
      </c>
      <c r="AC17" t="s">
        <v>47</v>
      </c>
      <c r="AD17" t="s">
        <v>47</v>
      </c>
      <c r="AE17"/>
      <c r="AF17" t="s">
        <v>47</v>
      </c>
      <c r="AG17" t="s">
        <v>47</v>
      </c>
      <c r="AH17" t="s">
        <v>47</v>
      </c>
      <c r="AI17" t="s">
        <v>47</v>
      </c>
      <c r="AJ17"/>
      <c r="AK17"/>
      <c r="AL17" t="s">
        <v>47</v>
      </c>
      <c r="AM17"/>
      <c r="AN17"/>
      <c r="AO17" t="s">
        <v>47</v>
      </c>
      <c r="AP17" t="s">
        <v>47</v>
      </c>
      <c r="AQ17" t="s">
        <v>47</v>
      </c>
      <c r="AR17"/>
      <c r="AS17"/>
      <c r="AT17"/>
      <c r="AU17"/>
      <c r="AV17" t="s">
        <v>47</v>
      </c>
      <c r="AW17" t="s">
        <v>47</v>
      </c>
      <c r="AX17" t="s">
        <v>47</v>
      </c>
      <c r="AY17" t="s">
        <v>47</v>
      </c>
      <c r="AZ17"/>
      <c r="BA17"/>
      <c r="BB17"/>
      <c r="BC17">
        <v>0</v>
      </c>
      <c r="BD17">
        <v>0</v>
      </c>
      <c r="BE17" t="s">
        <v>47</v>
      </c>
      <c r="BF17"/>
      <c r="BG17"/>
      <c r="BH17"/>
      <c r="BI17">
        <v>0</v>
      </c>
      <c r="BJ17">
        <v>0</v>
      </c>
      <c r="BK17"/>
      <c r="BL17"/>
      <c r="BM17" t="s">
        <v>47</v>
      </c>
      <c r="BN17"/>
      <c r="BO17" t="s">
        <v>683</v>
      </c>
      <c r="BP17" t="s">
        <v>47</v>
      </c>
      <c r="BQ17" t="s">
        <v>47</v>
      </c>
      <c r="BR17"/>
      <c r="BS17" t="s">
        <v>47</v>
      </c>
      <c r="BT17" t="s">
        <v>47</v>
      </c>
      <c r="BU17" t="s">
        <v>47</v>
      </c>
      <c r="BV17"/>
      <c r="BW17" t="s">
        <v>47</v>
      </c>
      <c r="BX17" t="s">
        <v>47</v>
      </c>
      <c r="BY17" t="s">
        <v>47</v>
      </c>
      <c r="BZ17" t="s">
        <v>47</v>
      </c>
      <c r="CA17" t="s">
        <v>47</v>
      </c>
      <c r="CB17" t="s">
        <v>47</v>
      </c>
      <c r="CC17" t="s">
        <v>47</v>
      </c>
      <c r="CD17" t="s">
        <v>47</v>
      </c>
      <c r="CE17" t="s">
        <v>47</v>
      </c>
      <c r="CF17" t="s">
        <v>47</v>
      </c>
      <c r="CG17" t="s">
        <v>47</v>
      </c>
      <c r="CH17" t="s">
        <v>47</v>
      </c>
      <c r="CI17" t="s">
        <v>47</v>
      </c>
      <c r="CJ17" t="s">
        <v>47</v>
      </c>
      <c r="CK17"/>
    </row>
    <row r="18" spans="1:89" s="7" customFormat="1" x14ac:dyDescent="0.25">
      <c r="A18" t="s">
        <v>1435</v>
      </c>
      <c r="B18" t="s">
        <v>1387</v>
      </c>
      <c r="C18" t="s">
        <v>1230</v>
      </c>
      <c r="D18" t="s">
        <v>1547</v>
      </c>
      <c r="E18">
        <v>50</v>
      </c>
      <c r="F18" t="s">
        <v>596</v>
      </c>
      <c r="G18">
        <v>1190</v>
      </c>
      <c r="H18" s="9">
        <v>3.5</v>
      </c>
      <c r="I18" t="s">
        <v>596</v>
      </c>
      <c r="J18" t="s">
        <v>596</v>
      </c>
      <c r="K18" t="s">
        <v>1548</v>
      </c>
      <c r="L18" t="s">
        <v>1549</v>
      </c>
      <c r="M18" s="10" t="str">
        <f>HYPERLINK(cna_product_database_catalog_website[[#This Row],[Spec Sheet Link]], cna_product_database_catalog_website[[#Headers],[Spec Sheet Link]])</f>
        <v>Spec Sheet Link</v>
      </c>
      <c r="N18" t="s">
        <v>46</v>
      </c>
      <c r="O18">
        <v>1</v>
      </c>
      <c r="P18">
        <v>1</v>
      </c>
      <c r="Q18" t="s">
        <v>47</v>
      </c>
      <c r="R18" t="s">
        <v>47</v>
      </c>
      <c r="S18" t="s">
        <v>47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47</v>
      </c>
      <c r="AA18" t="s">
        <v>47</v>
      </c>
      <c r="AB18" t="s">
        <v>47</v>
      </c>
      <c r="AC18" t="s">
        <v>47</v>
      </c>
      <c r="AD18" t="s">
        <v>47</v>
      </c>
      <c r="AE18"/>
      <c r="AF18" t="s">
        <v>47</v>
      </c>
      <c r="AG18" t="s">
        <v>47</v>
      </c>
      <c r="AH18" t="s">
        <v>47</v>
      </c>
      <c r="AI18" t="s">
        <v>47</v>
      </c>
      <c r="AJ18"/>
      <c r="AK18"/>
      <c r="AL18" t="s">
        <v>47</v>
      </c>
      <c r="AM18"/>
      <c r="AN18"/>
      <c r="AO18" t="s">
        <v>47</v>
      </c>
      <c r="AP18" t="s">
        <v>47</v>
      </c>
      <c r="AQ18" t="s">
        <v>47</v>
      </c>
      <c r="AR18"/>
      <c r="AS18"/>
      <c r="AT18"/>
      <c r="AU18"/>
      <c r="AV18" t="s">
        <v>47</v>
      </c>
      <c r="AW18" t="s">
        <v>47</v>
      </c>
      <c r="AX18" t="s">
        <v>47</v>
      </c>
      <c r="AY18" t="s">
        <v>47</v>
      </c>
      <c r="AZ18"/>
      <c r="BA18"/>
      <c r="BB18"/>
      <c r="BC18">
        <v>0</v>
      </c>
      <c r="BD18">
        <v>0</v>
      </c>
      <c r="BE18" t="s">
        <v>47</v>
      </c>
      <c r="BF18"/>
      <c r="BG18"/>
      <c r="BH18"/>
      <c r="BI18">
        <v>0</v>
      </c>
      <c r="BJ18">
        <v>0</v>
      </c>
      <c r="BK18"/>
      <c r="BL18"/>
      <c r="BM18"/>
      <c r="BN18"/>
      <c r="BO18" t="s">
        <v>197</v>
      </c>
      <c r="BP18" t="s">
        <v>47</v>
      </c>
      <c r="BQ18" t="s">
        <v>47</v>
      </c>
      <c r="BR18"/>
      <c r="BS18" t="s">
        <v>47</v>
      </c>
      <c r="BT18" t="s">
        <v>47</v>
      </c>
      <c r="BU18" t="s">
        <v>47</v>
      </c>
      <c r="BV18"/>
      <c r="BW18" t="s">
        <v>47</v>
      </c>
      <c r="BX18" t="s">
        <v>47</v>
      </c>
      <c r="BY18" t="s">
        <v>47</v>
      </c>
      <c r="BZ18" t="s">
        <v>47</v>
      </c>
      <c r="CA18" t="s">
        <v>47</v>
      </c>
      <c r="CB18" t="s">
        <v>47</v>
      </c>
      <c r="CC18" t="s">
        <v>47</v>
      </c>
      <c r="CD18" t="s">
        <v>47</v>
      </c>
      <c r="CE18" t="s">
        <v>47</v>
      </c>
      <c r="CF18" t="s">
        <v>47</v>
      </c>
      <c r="CG18" t="s">
        <v>47</v>
      </c>
      <c r="CH18" t="s">
        <v>47</v>
      </c>
      <c r="CI18" t="s">
        <v>47</v>
      </c>
      <c r="CJ18" t="s">
        <v>47</v>
      </c>
      <c r="CK18"/>
    </row>
    <row r="19" spans="1:89" s="7" customFormat="1" x14ac:dyDescent="0.25">
      <c r="A19" t="s">
        <v>1435</v>
      </c>
      <c r="B19" t="s">
        <v>1387</v>
      </c>
      <c r="C19" t="s">
        <v>1121</v>
      </c>
      <c r="D19" t="s">
        <v>1550</v>
      </c>
      <c r="E19">
        <v>55</v>
      </c>
      <c r="F19" t="s">
        <v>948</v>
      </c>
      <c r="G19">
        <v>1187</v>
      </c>
      <c r="H19" s="9">
        <v>3.9</v>
      </c>
      <c r="I19" t="s">
        <v>948</v>
      </c>
      <c r="J19" t="s">
        <v>948</v>
      </c>
      <c r="K19" t="s">
        <v>1551</v>
      </c>
      <c r="L19" t="s">
        <v>1552</v>
      </c>
      <c r="M19" s="10" t="str">
        <f>HYPERLINK(cna_product_database_catalog_website[[#This Row],[Spec Sheet Link]], cna_product_database_catalog_website[[#Headers],[Spec Sheet Link]])</f>
        <v>Spec Sheet Link</v>
      </c>
      <c r="N19" t="s">
        <v>46</v>
      </c>
      <c r="O19">
        <v>1</v>
      </c>
      <c r="P19">
        <v>1</v>
      </c>
      <c r="Q19" t="s">
        <v>92</v>
      </c>
      <c r="R19" t="s">
        <v>50</v>
      </c>
      <c r="S19" t="s">
        <v>144</v>
      </c>
      <c r="T19" t="s">
        <v>47</v>
      </c>
      <c r="U19" t="s">
        <v>145</v>
      </c>
      <c r="V19" t="s">
        <v>47</v>
      </c>
      <c r="W19"/>
      <c r="X19"/>
      <c r="Y19" t="s">
        <v>557</v>
      </c>
      <c r="Z19" t="s">
        <v>47</v>
      </c>
      <c r="AA19" t="s">
        <v>47</v>
      </c>
      <c r="AB19" t="s">
        <v>47</v>
      </c>
      <c r="AC19" t="s">
        <v>47</v>
      </c>
      <c r="AD19" t="s">
        <v>47</v>
      </c>
      <c r="AE19"/>
      <c r="AF19" t="s">
        <v>47</v>
      </c>
      <c r="AG19" t="s">
        <v>47</v>
      </c>
      <c r="AH19" t="s">
        <v>47</v>
      </c>
      <c r="AI19" t="s">
        <v>47</v>
      </c>
      <c r="AJ19"/>
      <c r="AK19"/>
      <c r="AL19" t="s">
        <v>47</v>
      </c>
      <c r="AM19"/>
      <c r="AN19"/>
      <c r="AO19" t="s">
        <v>47</v>
      </c>
      <c r="AP19" t="s">
        <v>47</v>
      </c>
      <c r="AQ19" t="s">
        <v>47</v>
      </c>
      <c r="AR19"/>
      <c r="AS19"/>
      <c r="AT19"/>
      <c r="AU19"/>
      <c r="AV19" t="s">
        <v>47</v>
      </c>
      <c r="AW19" t="s">
        <v>47</v>
      </c>
      <c r="AX19">
        <v>50</v>
      </c>
      <c r="AY19">
        <v>50</v>
      </c>
      <c r="AZ19"/>
      <c r="BA19"/>
      <c r="BB19"/>
      <c r="BC19">
        <v>0</v>
      </c>
      <c r="BD19">
        <v>0</v>
      </c>
      <c r="BE19" t="s">
        <v>47</v>
      </c>
      <c r="BF19"/>
      <c r="BG19"/>
      <c r="BH19"/>
      <c r="BI19">
        <v>0</v>
      </c>
      <c r="BJ19">
        <v>0</v>
      </c>
      <c r="BK19"/>
      <c r="BL19"/>
      <c r="BM19" t="s">
        <v>47</v>
      </c>
      <c r="BN19"/>
      <c r="BO19" t="s">
        <v>683</v>
      </c>
      <c r="BP19" t="s">
        <v>47</v>
      </c>
      <c r="BQ19" t="s">
        <v>47</v>
      </c>
      <c r="BR19"/>
      <c r="BS19" t="s">
        <v>47</v>
      </c>
      <c r="BT19" t="s">
        <v>47</v>
      </c>
      <c r="BU19" t="s">
        <v>47</v>
      </c>
      <c r="BV19"/>
      <c r="BW19" t="s">
        <v>47</v>
      </c>
      <c r="BX19" t="s">
        <v>47</v>
      </c>
      <c r="BY19" t="s">
        <v>47</v>
      </c>
      <c r="BZ19" t="s">
        <v>47</v>
      </c>
      <c r="CA19" t="s">
        <v>47</v>
      </c>
      <c r="CB19" t="s">
        <v>47</v>
      </c>
      <c r="CC19" t="s">
        <v>47</v>
      </c>
      <c r="CD19" t="s">
        <v>47</v>
      </c>
      <c r="CE19" t="s">
        <v>47</v>
      </c>
      <c r="CF19" t="s">
        <v>47</v>
      </c>
      <c r="CG19" t="s">
        <v>47</v>
      </c>
      <c r="CH19" t="s">
        <v>47</v>
      </c>
      <c r="CI19" t="s">
        <v>47</v>
      </c>
      <c r="CJ19" t="s">
        <v>47</v>
      </c>
      <c r="CK19"/>
    </row>
    <row r="20" spans="1:89" s="7" customFormat="1" x14ac:dyDescent="0.25">
      <c r="A20" t="s">
        <v>1435</v>
      </c>
      <c r="B20" t="s">
        <v>1387</v>
      </c>
      <c r="C20" t="s">
        <v>1122</v>
      </c>
      <c r="D20" t="s">
        <v>1553</v>
      </c>
      <c r="E20">
        <v>56</v>
      </c>
      <c r="F20" t="s">
        <v>99</v>
      </c>
      <c r="G20">
        <v>1034</v>
      </c>
      <c r="H20" s="9">
        <v>2.9</v>
      </c>
      <c r="I20" t="s">
        <v>99</v>
      </c>
      <c r="J20" t="s">
        <v>99</v>
      </c>
      <c r="K20" t="s">
        <v>1554</v>
      </c>
      <c r="L20" t="s">
        <v>1555</v>
      </c>
      <c r="M20" s="10" t="str">
        <f>HYPERLINK(cna_product_database_catalog_website[[#This Row],[Spec Sheet Link]], cna_product_database_catalog_website[[#Headers],[Spec Sheet Link]])</f>
        <v>Spec Sheet Link</v>
      </c>
      <c r="N20" t="s">
        <v>46</v>
      </c>
      <c r="O20">
        <v>1</v>
      </c>
      <c r="P20">
        <v>1</v>
      </c>
      <c r="Q20" t="s">
        <v>92</v>
      </c>
      <c r="R20" t="s">
        <v>50</v>
      </c>
      <c r="S20" t="s">
        <v>144</v>
      </c>
      <c r="T20" t="s">
        <v>47</v>
      </c>
      <c r="U20" t="s">
        <v>145</v>
      </c>
      <c r="V20" t="s">
        <v>47</v>
      </c>
      <c r="W20"/>
      <c r="X20"/>
      <c r="Y20" t="s">
        <v>557</v>
      </c>
      <c r="Z20" t="s">
        <v>47</v>
      </c>
      <c r="AA20" t="s">
        <v>47</v>
      </c>
      <c r="AB20" t="s">
        <v>47</v>
      </c>
      <c r="AC20" t="s">
        <v>47</v>
      </c>
      <c r="AD20" t="s">
        <v>47</v>
      </c>
      <c r="AE20"/>
      <c r="AF20" t="s">
        <v>47</v>
      </c>
      <c r="AG20" t="s">
        <v>47</v>
      </c>
      <c r="AH20" t="s">
        <v>47</v>
      </c>
      <c r="AI20" t="s">
        <v>47</v>
      </c>
      <c r="AJ20"/>
      <c r="AK20"/>
      <c r="AL20" t="s">
        <v>47</v>
      </c>
      <c r="AM20"/>
      <c r="AN20"/>
      <c r="AO20" t="s">
        <v>47</v>
      </c>
      <c r="AP20" t="s">
        <v>47</v>
      </c>
      <c r="AQ20" t="s">
        <v>47</v>
      </c>
      <c r="AR20"/>
      <c r="AS20"/>
      <c r="AT20"/>
      <c r="AU20"/>
      <c r="AV20" t="s">
        <v>47</v>
      </c>
      <c r="AW20" t="s">
        <v>47</v>
      </c>
      <c r="AX20">
        <v>50</v>
      </c>
      <c r="AY20">
        <v>50</v>
      </c>
      <c r="AZ20"/>
      <c r="BA20"/>
      <c r="BB20"/>
      <c r="BC20">
        <v>0</v>
      </c>
      <c r="BD20">
        <v>0</v>
      </c>
      <c r="BE20" t="s">
        <v>47</v>
      </c>
      <c r="BF20"/>
      <c r="BG20"/>
      <c r="BH20"/>
      <c r="BI20">
        <v>0</v>
      </c>
      <c r="BJ20">
        <v>0</v>
      </c>
      <c r="BK20"/>
      <c r="BL20"/>
      <c r="BM20" t="s">
        <v>47</v>
      </c>
      <c r="BN20"/>
      <c r="BO20" t="s">
        <v>221</v>
      </c>
      <c r="BP20" t="s">
        <v>47</v>
      </c>
      <c r="BQ20" t="s">
        <v>47</v>
      </c>
      <c r="BR20"/>
      <c r="BS20" t="s">
        <v>47</v>
      </c>
      <c r="BT20" t="s">
        <v>47</v>
      </c>
      <c r="BU20" t="s">
        <v>47</v>
      </c>
      <c r="BV20"/>
      <c r="BW20" t="s">
        <v>47</v>
      </c>
      <c r="BX20" t="s">
        <v>47</v>
      </c>
      <c r="BY20" t="s">
        <v>47</v>
      </c>
      <c r="BZ20" t="s">
        <v>47</v>
      </c>
      <c r="CA20" t="s">
        <v>47</v>
      </c>
      <c r="CB20" t="s">
        <v>47</v>
      </c>
      <c r="CC20" t="s">
        <v>47</v>
      </c>
      <c r="CD20" t="s">
        <v>47</v>
      </c>
      <c r="CE20" t="s">
        <v>47</v>
      </c>
      <c r="CF20" t="s">
        <v>47</v>
      </c>
      <c r="CG20" t="s">
        <v>47</v>
      </c>
      <c r="CH20" t="s">
        <v>47</v>
      </c>
      <c r="CI20" t="s">
        <v>47</v>
      </c>
      <c r="CJ20" t="s">
        <v>47</v>
      </c>
      <c r="CK20"/>
    </row>
    <row r="21" spans="1:89" s="7" customFormat="1" x14ac:dyDescent="0.25">
      <c r="A21" t="s">
        <v>1435</v>
      </c>
      <c r="B21" t="s">
        <v>1387</v>
      </c>
      <c r="C21" t="s">
        <v>1123</v>
      </c>
      <c r="D21" t="s">
        <v>1556</v>
      </c>
      <c r="E21">
        <v>60</v>
      </c>
      <c r="F21" t="s">
        <v>1293</v>
      </c>
      <c r="G21">
        <v>1161</v>
      </c>
      <c r="H21" s="9">
        <v>8.5</v>
      </c>
      <c r="I21" t="s">
        <v>1293</v>
      </c>
      <c r="J21" t="s">
        <v>103</v>
      </c>
      <c r="K21" t="s">
        <v>1557</v>
      </c>
      <c r="L21" t="s">
        <v>1558</v>
      </c>
      <c r="M21" s="10" t="str">
        <f>HYPERLINK(cna_product_database_catalog_website[[#This Row],[Spec Sheet Link]], cna_product_database_catalog_website[[#Headers],[Spec Sheet Link]])</f>
        <v>Spec Sheet Link</v>
      </c>
      <c r="N21" t="s">
        <v>46</v>
      </c>
      <c r="O21">
        <v>1</v>
      </c>
      <c r="P21">
        <v>1</v>
      </c>
      <c r="Q21" t="s">
        <v>92</v>
      </c>
      <c r="R21" t="s">
        <v>50</v>
      </c>
      <c r="S21" t="s">
        <v>114</v>
      </c>
      <c r="T21" t="s">
        <v>47</v>
      </c>
      <c r="U21" t="s">
        <v>145</v>
      </c>
      <c r="V21" t="s">
        <v>47</v>
      </c>
      <c r="W21" t="s">
        <v>680</v>
      </c>
      <c r="X21"/>
      <c r="Y21" t="s">
        <v>557</v>
      </c>
      <c r="Z21" t="s">
        <v>47</v>
      </c>
      <c r="AA21" t="s">
        <v>47</v>
      </c>
      <c r="AB21" t="s">
        <v>47</v>
      </c>
      <c r="AC21" t="s">
        <v>47</v>
      </c>
      <c r="AD21" t="s">
        <v>47</v>
      </c>
      <c r="AE21"/>
      <c r="AF21" t="s">
        <v>47</v>
      </c>
      <c r="AG21" t="s">
        <v>47</v>
      </c>
      <c r="AH21" t="s">
        <v>47</v>
      </c>
      <c r="AI21" t="s">
        <v>47</v>
      </c>
      <c r="AJ21"/>
      <c r="AK21"/>
      <c r="AL21" t="s">
        <v>47</v>
      </c>
      <c r="AM21"/>
      <c r="AN21"/>
      <c r="AO21" t="s">
        <v>47</v>
      </c>
      <c r="AP21" t="s">
        <v>47</v>
      </c>
      <c r="AQ21" t="s">
        <v>47</v>
      </c>
      <c r="AR21">
        <v>1600</v>
      </c>
      <c r="AS21">
        <v>3.53</v>
      </c>
      <c r="AT21"/>
      <c r="AU21"/>
      <c r="AV21" t="s">
        <v>47</v>
      </c>
      <c r="AW21" t="s">
        <v>47</v>
      </c>
      <c r="AX21">
        <v>50</v>
      </c>
      <c r="AY21">
        <v>50</v>
      </c>
      <c r="AZ21"/>
      <c r="BA21"/>
      <c r="BB21"/>
      <c r="BC21">
        <v>0</v>
      </c>
      <c r="BD21">
        <v>0</v>
      </c>
      <c r="BE21" t="s">
        <v>47</v>
      </c>
      <c r="BF21"/>
      <c r="BG21"/>
      <c r="BH21"/>
      <c r="BI21">
        <v>0</v>
      </c>
      <c r="BJ21">
        <v>0</v>
      </c>
      <c r="BK21"/>
      <c r="BL21"/>
      <c r="BM21" t="s">
        <v>47</v>
      </c>
      <c r="BN21"/>
      <c r="BO21" t="s">
        <v>47</v>
      </c>
      <c r="BP21" t="s">
        <v>47</v>
      </c>
      <c r="BQ21" t="s">
        <v>47</v>
      </c>
      <c r="BR21"/>
      <c r="BS21" t="s">
        <v>47</v>
      </c>
      <c r="BT21" t="s">
        <v>47</v>
      </c>
      <c r="BU21" t="s">
        <v>47</v>
      </c>
      <c r="BV21"/>
      <c r="BW21" t="s">
        <v>47</v>
      </c>
      <c r="BX21" t="s">
        <v>47</v>
      </c>
      <c r="BY21" t="s">
        <v>47</v>
      </c>
      <c r="BZ21" t="s">
        <v>47</v>
      </c>
      <c r="CA21" t="s">
        <v>47</v>
      </c>
      <c r="CB21" t="s">
        <v>47</v>
      </c>
      <c r="CC21" t="s">
        <v>47</v>
      </c>
      <c r="CD21" t="s">
        <v>47</v>
      </c>
      <c r="CE21" t="s">
        <v>47</v>
      </c>
      <c r="CF21" t="s">
        <v>47</v>
      </c>
      <c r="CG21" t="s">
        <v>47</v>
      </c>
      <c r="CH21" t="s">
        <v>47</v>
      </c>
      <c r="CI21" t="s">
        <v>47</v>
      </c>
      <c r="CJ21" t="s">
        <v>47</v>
      </c>
      <c r="CK21"/>
    </row>
    <row r="22" spans="1:89" s="7" customFormat="1" x14ac:dyDescent="0.25">
      <c r="A22" t="s">
        <v>1435</v>
      </c>
      <c r="B22" t="s">
        <v>1387</v>
      </c>
      <c r="C22" t="s">
        <v>1124</v>
      </c>
      <c r="D22" t="s">
        <v>1559</v>
      </c>
      <c r="E22">
        <v>61</v>
      </c>
      <c r="F22" t="s">
        <v>105</v>
      </c>
      <c r="G22">
        <v>1058</v>
      </c>
      <c r="H22" s="9">
        <v>8.5</v>
      </c>
      <c r="I22" t="s">
        <v>105</v>
      </c>
      <c r="J22" t="s">
        <v>105</v>
      </c>
      <c r="K22" t="s">
        <v>1560</v>
      </c>
      <c r="L22" t="s">
        <v>1561</v>
      </c>
      <c r="M22" s="10" t="str">
        <f>HYPERLINK(cna_product_database_catalog_website[[#This Row],[Spec Sheet Link]], cna_product_database_catalog_website[[#Headers],[Spec Sheet Link]])</f>
        <v>Spec Sheet Link</v>
      </c>
      <c r="N22" t="s">
        <v>46</v>
      </c>
      <c r="O22">
        <v>1</v>
      </c>
      <c r="P22">
        <v>1</v>
      </c>
      <c r="Q22" t="s">
        <v>92</v>
      </c>
      <c r="R22" t="s">
        <v>50</v>
      </c>
      <c r="S22" t="s">
        <v>139</v>
      </c>
      <c r="T22" t="s">
        <v>141</v>
      </c>
      <c r="U22" t="s">
        <v>140</v>
      </c>
      <c r="V22" t="s">
        <v>47</v>
      </c>
      <c r="W22" t="s">
        <v>146</v>
      </c>
      <c r="X22" t="s">
        <v>95</v>
      </c>
      <c r="Y22" t="s">
        <v>556</v>
      </c>
      <c r="Z22" t="s">
        <v>552</v>
      </c>
      <c r="AA22" t="s">
        <v>54</v>
      </c>
      <c r="AB22" t="s">
        <v>589</v>
      </c>
      <c r="AC22" t="s">
        <v>155</v>
      </c>
      <c r="AD22" t="s">
        <v>681</v>
      </c>
      <c r="AE22"/>
      <c r="AF22" t="s">
        <v>47</v>
      </c>
      <c r="AG22" t="s">
        <v>47</v>
      </c>
      <c r="AH22" t="s">
        <v>47</v>
      </c>
      <c r="AI22" t="s">
        <v>47</v>
      </c>
      <c r="AJ22"/>
      <c r="AK22"/>
      <c r="AL22" t="s">
        <v>47</v>
      </c>
      <c r="AM22" t="s">
        <v>682</v>
      </c>
      <c r="AN22" t="s">
        <v>70</v>
      </c>
      <c r="AO22" t="s">
        <v>83</v>
      </c>
      <c r="AP22" t="s">
        <v>154</v>
      </c>
      <c r="AQ22" t="s">
        <v>47</v>
      </c>
      <c r="AR22"/>
      <c r="AS22"/>
      <c r="AT22"/>
      <c r="AU22"/>
      <c r="AV22" t="s">
        <v>47</v>
      </c>
      <c r="AW22" t="s">
        <v>142</v>
      </c>
      <c r="AX22">
        <v>24</v>
      </c>
      <c r="AY22">
        <v>24</v>
      </c>
      <c r="AZ22"/>
      <c r="BA22"/>
      <c r="BB22"/>
      <c r="BC22">
        <v>0</v>
      </c>
      <c r="BD22">
        <v>0</v>
      </c>
      <c r="BE22" t="s">
        <v>47</v>
      </c>
      <c r="BF22"/>
      <c r="BG22"/>
      <c r="BH22"/>
      <c r="BI22">
        <v>0</v>
      </c>
      <c r="BJ22">
        <v>0</v>
      </c>
      <c r="BK22"/>
      <c r="BL22"/>
      <c r="BM22" t="s">
        <v>47</v>
      </c>
      <c r="BN22"/>
      <c r="BO22" t="s">
        <v>686</v>
      </c>
      <c r="BP22" t="s">
        <v>47</v>
      </c>
      <c r="BQ22" t="s">
        <v>47</v>
      </c>
      <c r="BR22"/>
      <c r="BS22"/>
      <c r="BT22" t="s">
        <v>47</v>
      </c>
      <c r="BU22" t="s">
        <v>47</v>
      </c>
      <c r="BV22"/>
      <c r="BW22" t="s">
        <v>47</v>
      </c>
      <c r="BX22" t="s">
        <v>47</v>
      </c>
      <c r="BY22" t="s">
        <v>47</v>
      </c>
      <c r="BZ22" t="s">
        <v>47</v>
      </c>
      <c r="CA22" t="s">
        <v>47</v>
      </c>
      <c r="CB22" t="s">
        <v>47</v>
      </c>
      <c r="CC22" t="s">
        <v>47</v>
      </c>
      <c r="CD22" t="s">
        <v>47</v>
      </c>
      <c r="CE22" t="s">
        <v>47</v>
      </c>
      <c r="CF22" t="s">
        <v>47</v>
      </c>
      <c r="CG22" t="s">
        <v>47</v>
      </c>
      <c r="CH22" t="s">
        <v>47</v>
      </c>
      <c r="CI22" t="s">
        <v>47</v>
      </c>
      <c r="CJ22" t="s">
        <v>47</v>
      </c>
      <c r="CK22"/>
    </row>
    <row r="23" spans="1:89" s="7" customFormat="1" x14ac:dyDescent="0.25">
      <c r="A23" t="s">
        <v>1435</v>
      </c>
      <c r="B23" t="s">
        <v>1388</v>
      </c>
      <c r="C23" t="s">
        <v>1104</v>
      </c>
      <c r="D23" t="s">
        <v>1562</v>
      </c>
      <c r="E23">
        <v>80</v>
      </c>
      <c r="F23" t="s">
        <v>923</v>
      </c>
      <c r="G23">
        <v>1162</v>
      </c>
      <c r="H23" s="9">
        <v>2.25</v>
      </c>
      <c r="I23" t="s">
        <v>923</v>
      </c>
      <c r="J23" t="s">
        <v>937</v>
      </c>
      <c r="K23" t="s">
        <v>1563</v>
      </c>
      <c r="L23" t="s">
        <v>1564</v>
      </c>
      <c r="M23" s="10" t="str">
        <f>HYPERLINK(cna_product_database_catalog_website[[#This Row],[Spec Sheet Link]], cna_product_database_catalog_website[[#Headers],[Spec Sheet Link]])</f>
        <v>Spec Sheet Link</v>
      </c>
      <c r="N23" t="s">
        <v>46</v>
      </c>
      <c r="O23">
        <v>1</v>
      </c>
      <c r="P23">
        <v>1</v>
      </c>
      <c r="Q23" t="s">
        <v>92</v>
      </c>
      <c r="R23" t="s">
        <v>50</v>
      </c>
      <c r="S23" t="s">
        <v>144</v>
      </c>
      <c r="T23" t="s">
        <v>141</v>
      </c>
      <c r="U23" t="s">
        <v>145</v>
      </c>
      <c r="V23" t="s">
        <v>47</v>
      </c>
      <c r="W23" t="s">
        <v>146</v>
      </c>
      <c r="X23" t="s">
        <v>95</v>
      </c>
      <c r="Y23" t="s">
        <v>557</v>
      </c>
      <c r="Z23" t="s">
        <v>552</v>
      </c>
      <c r="AA23" t="s">
        <v>47</v>
      </c>
      <c r="AB23" t="s">
        <v>47</v>
      </c>
      <c r="AC23" t="s">
        <v>47</v>
      </c>
      <c r="AD23" t="s">
        <v>47</v>
      </c>
      <c r="AE23"/>
      <c r="AF23" t="s">
        <v>47</v>
      </c>
      <c r="AG23" t="s">
        <v>47</v>
      </c>
      <c r="AH23" t="s">
        <v>47</v>
      </c>
      <c r="AI23" t="s">
        <v>47</v>
      </c>
      <c r="AJ23"/>
      <c r="AK23"/>
      <c r="AL23" t="s">
        <v>47</v>
      </c>
      <c r="AM23"/>
      <c r="AN23"/>
      <c r="AO23" t="s">
        <v>47</v>
      </c>
      <c r="AP23" t="s">
        <v>47</v>
      </c>
      <c r="AQ23" t="s">
        <v>47</v>
      </c>
      <c r="AR23"/>
      <c r="AS23">
        <v>0</v>
      </c>
      <c r="AT23"/>
      <c r="AU23"/>
      <c r="AV23" t="s">
        <v>47</v>
      </c>
      <c r="AW23" t="s">
        <v>47</v>
      </c>
      <c r="AX23">
        <v>24</v>
      </c>
      <c r="AY23">
        <v>24</v>
      </c>
      <c r="AZ23"/>
      <c r="BA23"/>
      <c r="BB23"/>
      <c r="BC23">
        <v>0</v>
      </c>
      <c r="BD23">
        <v>0</v>
      </c>
      <c r="BE23" t="s">
        <v>47</v>
      </c>
      <c r="BF23"/>
      <c r="BG23"/>
      <c r="BH23"/>
      <c r="BI23">
        <v>0</v>
      </c>
      <c r="BJ23">
        <v>0</v>
      </c>
      <c r="BK23"/>
      <c r="BL23"/>
      <c r="BM23" t="s">
        <v>47</v>
      </c>
      <c r="BN23"/>
      <c r="BO23" t="s">
        <v>47</v>
      </c>
      <c r="BP23" t="s">
        <v>47</v>
      </c>
      <c r="BQ23" t="s">
        <v>47</v>
      </c>
      <c r="BR23"/>
      <c r="BS23" t="s">
        <v>47</v>
      </c>
      <c r="BT23" t="s">
        <v>47</v>
      </c>
      <c r="BU23" t="s">
        <v>47</v>
      </c>
      <c r="BV23"/>
      <c r="BW23" t="s">
        <v>47</v>
      </c>
      <c r="BX23" t="s">
        <v>47</v>
      </c>
      <c r="BY23" t="s">
        <v>47</v>
      </c>
      <c r="BZ23" t="s">
        <v>47</v>
      </c>
      <c r="CA23" t="s">
        <v>47</v>
      </c>
      <c r="CB23" t="s">
        <v>47</v>
      </c>
      <c r="CC23" t="s">
        <v>47</v>
      </c>
      <c r="CD23" t="s">
        <v>47</v>
      </c>
      <c r="CE23" t="s">
        <v>47</v>
      </c>
      <c r="CF23" t="s">
        <v>47</v>
      </c>
      <c r="CG23" t="s">
        <v>47</v>
      </c>
      <c r="CH23" t="s">
        <v>47</v>
      </c>
      <c r="CI23" t="s">
        <v>47</v>
      </c>
      <c r="CJ23" t="s">
        <v>47</v>
      </c>
      <c r="CK23"/>
    </row>
    <row r="24" spans="1:89" s="7" customFormat="1" x14ac:dyDescent="0.25">
      <c r="A24" t="s">
        <v>1435</v>
      </c>
      <c r="B24" t="s">
        <v>1388</v>
      </c>
      <c r="C24" t="s">
        <v>1105</v>
      </c>
      <c r="D24" t="s">
        <v>1565</v>
      </c>
      <c r="E24">
        <v>81</v>
      </c>
      <c r="F24" t="s">
        <v>922</v>
      </c>
      <c r="G24">
        <v>1163</v>
      </c>
      <c r="H24" s="9">
        <v>2.25</v>
      </c>
      <c r="I24" t="s">
        <v>922</v>
      </c>
      <c r="J24" t="s">
        <v>938</v>
      </c>
      <c r="K24" t="s">
        <v>1563</v>
      </c>
      <c r="L24" t="s">
        <v>1564</v>
      </c>
      <c r="M24" s="10" t="str">
        <f>HYPERLINK(cna_product_database_catalog_website[[#This Row],[Spec Sheet Link]], cna_product_database_catalog_website[[#Headers],[Spec Sheet Link]])</f>
        <v>Spec Sheet Link</v>
      </c>
      <c r="N24" t="s">
        <v>46</v>
      </c>
      <c r="O24">
        <v>1</v>
      </c>
      <c r="P24">
        <v>1</v>
      </c>
      <c r="Q24" t="s">
        <v>106</v>
      </c>
      <c r="R24" t="s">
        <v>50</v>
      </c>
      <c r="S24" t="s">
        <v>200</v>
      </c>
      <c r="T24" t="s">
        <v>201</v>
      </c>
      <c r="U24" t="s">
        <v>140</v>
      </c>
      <c r="V24" t="s">
        <v>47</v>
      </c>
      <c r="W24" t="s">
        <v>195</v>
      </c>
      <c r="X24" t="s">
        <v>615</v>
      </c>
      <c r="Y24" t="s">
        <v>556</v>
      </c>
      <c r="Z24" t="s">
        <v>552</v>
      </c>
      <c r="AA24" t="s">
        <v>54</v>
      </c>
      <c r="AB24" t="s">
        <v>47</v>
      </c>
      <c r="AC24" t="s">
        <v>47</v>
      </c>
      <c r="AD24" t="s">
        <v>47</v>
      </c>
      <c r="AE24"/>
      <c r="AF24" t="s">
        <v>47</v>
      </c>
      <c r="AG24" t="s">
        <v>47</v>
      </c>
      <c r="AH24" t="s">
        <v>47</v>
      </c>
      <c r="AI24" t="s">
        <v>47</v>
      </c>
      <c r="AJ24"/>
      <c r="AK24"/>
      <c r="AL24" t="s">
        <v>47</v>
      </c>
      <c r="AM24"/>
      <c r="AN24"/>
      <c r="AO24" t="s">
        <v>47</v>
      </c>
      <c r="AP24" t="s">
        <v>47</v>
      </c>
      <c r="AQ24" t="s">
        <v>47</v>
      </c>
      <c r="AR24"/>
      <c r="AS24"/>
      <c r="AT24"/>
      <c r="AU24"/>
      <c r="AV24" t="s">
        <v>47</v>
      </c>
      <c r="AW24" t="s">
        <v>47</v>
      </c>
      <c r="AX24">
        <v>10</v>
      </c>
      <c r="AY24">
        <v>10</v>
      </c>
      <c r="AZ24"/>
      <c r="BA24"/>
      <c r="BB24"/>
      <c r="BC24">
        <v>0</v>
      </c>
      <c r="BD24">
        <v>0</v>
      </c>
      <c r="BE24" t="s">
        <v>47</v>
      </c>
      <c r="BF24"/>
      <c r="BG24"/>
      <c r="BH24"/>
      <c r="BI24">
        <v>0</v>
      </c>
      <c r="BJ24">
        <v>0</v>
      </c>
      <c r="BK24"/>
      <c r="BL24"/>
      <c r="BM24" t="s">
        <v>47</v>
      </c>
      <c r="BN24" t="s">
        <v>196</v>
      </c>
      <c r="BO24" t="s">
        <v>47</v>
      </c>
      <c r="BP24" t="s">
        <v>47</v>
      </c>
      <c r="BQ24" t="s">
        <v>47</v>
      </c>
      <c r="BR24"/>
      <c r="BS24" t="s">
        <v>47</v>
      </c>
      <c r="BT24" t="s">
        <v>47</v>
      </c>
      <c r="BU24" t="s">
        <v>47</v>
      </c>
      <c r="BV24"/>
      <c r="BW24" t="s">
        <v>47</v>
      </c>
      <c r="BX24" t="s">
        <v>47</v>
      </c>
      <c r="BY24" t="s">
        <v>47</v>
      </c>
      <c r="BZ24" t="s">
        <v>47</v>
      </c>
      <c r="CA24" t="s">
        <v>47</v>
      </c>
      <c r="CB24" t="s">
        <v>47</v>
      </c>
      <c r="CC24" t="s">
        <v>47</v>
      </c>
      <c r="CD24" t="s">
        <v>47</v>
      </c>
      <c r="CE24" t="s">
        <v>47</v>
      </c>
      <c r="CF24" t="s">
        <v>47</v>
      </c>
      <c r="CG24" t="s">
        <v>47</v>
      </c>
      <c r="CH24" t="s">
        <v>47</v>
      </c>
      <c r="CI24" t="s">
        <v>47</v>
      </c>
      <c r="CJ24" t="s">
        <v>47</v>
      </c>
      <c r="CK24"/>
    </row>
    <row r="25" spans="1:89" s="7" customFormat="1" x14ac:dyDescent="0.25">
      <c r="A25" t="s">
        <v>1435</v>
      </c>
      <c r="B25" t="s">
        <v>1388</v>
      </c>
      <c r="C25" t="s">
        <v>1106</v>
      </c>
      <c r="D25" t="s">
        <v>1566</v>
      </c>
      <c r="E25">
        <v>82</v>
      </c>
      <c r="F25" t="s">
        <v>921</v>
      </c>
      <c r="G25">
        <v>1164</v>
      </c>
      <c r="H25" s="9">
        <v>2.25</v>
      </c>
      <c r="I25" t="s">
        <v>921</v>
      </c>
      <c r="J25" t="s">
        <v>939</v>
      </c>
      <c r="K25" t="s">
        <v>1563</v>
      </c>
      <c r="L25" t="s">
        <v>1564</v>
      </c>
      <c r="M25" s="10" t="str">
        <f>HYPERLINK(cna_product_database_catalog_website[[#This Row],[Spec Sheet Link]], cna_product_database_catalog_website[[#Headers],[Spec Sheet Link]])</f>
        <v>Spec Sheet Link</v>
      </c>
      <c r="N25" t="s">
        <v>46</v>
      </c>
      <c r="O25">
        <v>1</v>
      </c>
      <c r="P25">
        <v>1</v>
      </c>
      <c r="Q25" t="s">
        <v>203</v>
      </c>
      <c r="R25" t="s">
        <v>50</v>
      </c>
      <c r="S25" t="s">
        <v>204</v>
      </c>
      <c r="T25" t="s">
        <v>205</v>
      </c>
      <c r="U25" t="s">
        <v>140</v>
      </c>
      <c r="V25" t="s">
        <v>47</v>
      </c>
      <c r="W25" t="s">
        <v>195</v>
      </c>
      <c r="X25" t="s">
        <v>615</v>
      </c>
      <c r="Y25" t="s">
        <v>556</v>
      </c>
      <c r="Z25" t="s">
        <v>552</v>
      </c>
      <c r="AA25" t="s">
        <v>54</v>
      </c>
      <c r="AB25" t="s">
        <v>636</v>
      </c>
      <c r="AC25" t="s">
        <v>220</v>
      </c>
      <c r="AD25" t="s">
        <v>157</v>
      </c>
      <c r="AE25"/>
      <c r="AF25" t="s">
        <v>47</v>
      </c>
      <c r="AG25" t="s">
        <v>47</v>
      </c>
      <c r="AH25" t="s">
        <v>47</v>
      </c>
      <c r="AI25" t="s">
        <v>47</v>
      </c>
      <c r="AJ25"/>
      <c r="AK25"/>
      <c r="AL25" t="s">
        <v>47</v>
      </c>
      <c r="AM25"/>
      <c r="AN25"/>
      <c r="AO25" t="s">
        <v>47</v>
      </c>
      <c r="AP25" t="s">
        <v>47</v>
      </c>
      <c r="AQ25" t="s">
        <v>47</v>
      </c>
      <c r="AR25">
        <v>850</v>
      </c>
      <c r="AS25">
        <v>1.87</v>
      </c>
      <c r="AT25"/>
      <c r="AU25"/>
      <c r="AV25" t="s">
        <v>47</v>
      </c>
      <c r="AW25" t="s">
        <v>47</v>
      </c>
      <c r="AX25">
        <v>10</v>
      </c>
      <c r="AY25">
        <v>10</v>
      </c>
      <c r="AZ25"/>
      <c r="BA25"/>
      <c r="BB25"/>
      <c r="BC25">
        <v>0</v>
      </c>
      <c r="BD25">
        <v>0</v>
      </c>
      <c r="BE25" t="s">
        <v>47</v>
      </c>
      <c r="BF25"/>
      <c r="BG25"/>
      <c r="BH25"/>
      <c r="BI25">
        <v>0</v>
      </c>
      <c r="BJ25">
        <v>0</v>
      </c>
      <c r="BK25"/>
      <c r="BL25"/>
      <c r="BM25" t="s">
        <v>47</v>
      </c>
      <c r="BN25" t="s">
        <v>196</v>
      </c>
      <c r="BO25" t="s">
        <v>47</v>
      </c>
      <c r="BP25" t="s">
        <v>47</v>
      </c>
      <c r="BQ25" t="s">
        <v>47</v>
      </c>
      <c r="BR25"/>
      <c r="BS25" t="s">
        <v>47</v>
      </c>
      <c r="BT25" t="s">
        <v>47</v>
      </c>
      <c r="BU25" t="s">
        <v>47</v>
      </c>
      <c r="BV25"/>
      <c r="BW25" t="s">
        <v>47</v>
      </c>
      <c r="BX25" t="s">
        <v>47</v>
      </c>
      <c r="BY25" t="s">
        <v>47</v>
      </c>
      <c r="BZ25" t="s">
        <v>47</v>
      </c>
      <c r="CA25" t="s">
        <v>47</v>
      </c>
      <c r="CB25" t="s">
        <v>47</v>
      </c>
      <c r="CC25" t="s">
        <v>47</v>
      </c>
      <c r="CD25" t="s">
        <v>47</v>
      </c>
      <c r="CE25" t="s">
        <v>47</v>
      </c>
      <c r="CF25" t="s">
        <v>47</v>
      </c>
      <c r="CG25" t="s">
        <v>47</v>
      </c>
      <c r="CH25" t="s">
        <v>47</v>
      </c>
      <c r="CI25" t="s">
        <v>47</v>
      </c>
      <c r="CJ25" t="s">
        <v>47</v>
      </c>
      <c r="CK25"/>
    </row>
    <row r="26" spans="1:89" s="7" customFormat="1" x14ac:dyDescent="0.25">
      <c r="A26" t="s">
        <v>1435</v>
      </c>
      <c r="B26" t="s">
        <v>1388</v>
      </c>
      <c r="C26" t="s">
        <v>1107</v>
      </c>
      <c r="D26" t="s">
        <v>1567</v>
      </c>
      <c r="E26">
        <v>83</v>
      </c>
      <c r="F26" t="s">
        <v>920</v>
      </c>
      <c r="G26">
        <v>1165</v>
      </c>
      <c r="H26" s="9">
        <v>2.25</v>
      </c>
      <c r="I26" t="s">
        <v>920</v>
      </c>
      <c r="J26" t="s">
        <v>940</v>
      </c>
      <c r="K26" t="s">
        <v>1563</v>
      </c>
      <c r="L26" t="s">
        <v>1564</v>
      </c>
      <c r="M26" s="10" t="str">
        <f>HYPERLINK(cna_product_database_catalog_website[[#This Row],[Spec Sheet Link]], cna_product_database_catalog_website[[#Headers],[Spec Sheet Link]])</f>
        <v>Spec Sheet Link</v>
      </c>
      <c r="N26" t="s">
        <v>46</v>
      </c>
      <c r="O26">
        <v>1</v>
      </c>
      <c r="P26">
        <v>1</v>
      </c>
      <c r="Q26" t="s">
        <v>203</v>
      </c>
      <c r="R26" t="s">
        <v>50</v>
      </c>
      <c r="S26" t="s">
        <v>204</v>
      </c>
      <c r="T26" t="s">
        <v>207</v>
      </c>
      <c r="U26" t="s">
        <v>140</v>
      </c>
      <c r="V26" t="s">
        <v>47</v>
      </c>
      <c r="W26" t="s">
        <v>195</v>
      </c>
      <c r="X26" t="s">
        <v>95</v>
      </c>
      <c r="Y26" t="s">
        <v>556</v>
      </c>
      <c r="Z26" t="s">
        <v>552</v>
      </c>
      <c r="AA26" t="s">
        <v>54</v>
      </c>
      <c r="AB26" t="s">
        <v>636</v>
      </c>
      <c r="AC26" t="s">
        <v>220</v>
      </c>
      <c r="AD26" t="s">
        <v>157</v>
      </c>
      <c r="AE26"/>
      <c r="AF26" t="s">
        <v>47</v>
      </c>
      <c r="AG26" t="s">
        <v>47</v>
      </c>
      <c r="AH26" t="s">
        <v>47</v>
      </c>
      <c r="AI26" t="s">
        <v>47</v>
      </c>
      <c r="AJ26"/>
      <c r="AK26"/>
      <c r="AL26" t="s">
        <v>47</v>
      </c>
      <c r="AM26"/>
      <c r="AN26"/>
      <c r="AO26" t="s">
        <v>47</v>
      </c>
      <c r="AP26" t="s">
        <v>47</v>
      </c>
      <c r="AQ26" t="s">
        <v>47</v>
      </c>
      <c r="AR26"/>
      <c r="AS26"/>
      <c r="AT26"/>
      <c r="AU26"/>
      <c r="AV26" t="s">
        <v>47</v>
      </c>
      <c r="AW26" t="s">
        <v>47</v>
      </c>
      <c r="AX26">
        <v>10</v>
      </c>
      <c r="AY26">
        <v>10</v>
      </c>
      <c r="AZ26"/>
      <c r="BA26"/>
      <c r="BB26"/>
      <c r="BC26">
        <v>0</v>
      </c>
      <c r="BD26">
        <v>0</v>
      </c>
      <c r="BE26" t="s">
        <v>47</v>
      </c>
      <c r="BF26"/>
      <c r="BG26"/>
      <c r="BH26"/>
      <c r="BI26">
        <v>0</v>
      </c>
      <c r="BJ26">
        <v>0</v>
      </c>
      <c r="BK26"/>
      <c r="BL26"/>
      <c r="BM26" t="s">
        <v>47</v>
      </c>
      <c r="BN26" t="s">
        <v>196</v>
      </c>
      <c r="BO26" t="s">
        <v>47</v>
      </c>
      <c r="BP26" t="s">
        <v>47</v>
      </c>
      <c r="BQ26" t="s">
        <v>47</v>
      </c>
      <c r="BR26"/>
      <c r="BS26" t="s">
        <v>47</v>
      </c>
      <c r="BT26" t="s">
        <v>47</v>
      </c>
      <c r="BU26" t="s">
        <v>47</v>
      </c>
      <c r="BV26"/>
      <c r="BW26" t="s">
        <v>47</v>
      </c>
      <c r="BX26" t="s">
        <v>47</v>
      </c>
      <c r="BY26" t="s">
        <v>47</v>
      </c>
      <c r="BZ26" t="s">
        <v>47</v>
      </c>
      <c r="CA26" t="s">
        <v>47</v>
      </c>
      <c r="CB26" t="s">
        <v>47</v>
      </c>
      <c r="CC26" t="s">
        <v>47</v>
      </c>
      <c r="CD26" t="s">
        <v>47</v>
      </c>
      <c r="CE26" t="s">
        <v>47</v>
      </c>
      <c r="CF26" t="s">
        <v>47</v>
      </c>
      <c r="CG26" t="s">
        <v>47</v>
      </c>
      <c r="CH26" t="s">
        <v>47</v>
      </c>
      <c r="CI26" t="s">
        <v>47</v>
      </c>
      <c r="CJ26" t="s">
        <v>47</v>
      </c>
      <c r="CK26"/>
    </row>
    <row r="27" spans="1:89" s="7" customFormat="1" x14ac:dyDescent="0.25">
      <c r="A27" t="s">
        <v>1435</v>
      </c>
      <c r="B27" t="s">
        <v>1388</v>
      </c>
      <c r="C27" t="s">
        <v>1232</v>
      </c>
      <c r="D27" t="s">
        <v>1568</v>
      </c>
      <c r="E27">
        <v>84</v>
      </c>
      <c r="F27" t="s">
        <v>944</v>
      </c>
      <c r="G27">
        <v>1195</v>
      </c>
      <c r="H27" s="9">
        <v>2.7</v>
      </c>
      <c r="I27" t="s">
        <v>944</v>
      </c>
      <c r="J27" t="s">
        <v>945</v>
      </c>
      <c r="K27" t="s">
        <v>1569</v>
      </c>
      <c r="L27" t="s">
        <v>1570</v>
      </c>
      <c r="M27" s="10" t="str">
        <f>HYPERLINK(cna_product_database_catalog_website[[#This Row],[Spec Sheet Link]], cna_product_database_catalog_website[[#Headers],[Spec Sheet Link]])</f>
        <v>Spec Sheet Link</v>
      </c>
      <c r="N27" t="s">
        <v>46</v>
      </c>
      <c r="O27">
        <v>1</v>
      </c>
      <c r="P27">
        <v>1</v>
      </c>
      <c r="Q27" t="s">
        <v>84</v>
      </c>
      <c r="R27" t="s">
        <v>50</v>
      </c>
      <c r="S27" t="s">
        <v>85</v>
      </c>
      <c r="T27" t="s">
        <v>613</v>
      </c>
      <c r="U27" t="s">
        <v>140</v>
      </c>
      <c r="V27"/>
      <c r="W27" t="s">
        <v>195</v>
      </c>
      <c r="X27" t="s">
        <v>95</v>
      </c>
      <c r="Y27" t="s">
        <v>556</v>
      </c>
      <c r="Z27" t="s">
        <v>552</v>
      </c>
      <c r="AA27" t="s">
        <v>54</v>
      </c>
      <c r="AB27" t="s">
        <v>636</v>
      </c>
      <c r="AC27" t="s">
        <v>220</v>
      </c>
      <c r="AD27" t="s">
        <v>157</v>
      </c>
      <c r="AE27"/>
      <c r="AF27"/>
      <c r="AG27"/>
      <c r="AH27"/>
      <c r="AI27"/>
      <c r="AJ27"/>
      <c r="AK27"/>
      <c r="AL27"/>
      <c r="AM27" t="s">
        <v>1027</v>
      </c>
      <c r="AN27" t="s">
        <v>634</v>
      </c>
      <c r="AO27" t="s">
        <v>1030</v>
      </c>
      <c r="AP27" t="s">
        <v>1024</v>
      </c>
      <c r="AQ27"/>
      <c r="AR27"/>
      <c r="AS27"/>
      <c r="AT27"/>
      <c r="AU27"/>
      <c r="AV27"/>
      <c r="AW27" t="s">
        <v>142</v>
      </c>
      <c r="AX27">
        <v>40</v>
      </c>
      <c r="AY27">
        <v>40</v>
      </c>
      <c r="AZ27"/>
      <c r="BA27"/>
      <c r="BB27"/>
      <c r="BC27">
        <v>0</v>
      </c>
      <c r="BD27">
        <v>0</v>
      </c>
      <c r="BE27"/>
      <c r="BF27"/>
      <c r="BG27"/>
      <c r="BH27"/>
      <c r="BI27">
        <v>0</v>
      </c>
      <c r="BJ27">
        <v>0</v>
      </c>
      <c r="BK27"/>
      <c r="BL27"/>
      <c r="BM27"/>
      <c r="BN27" t="s">
        <v>1037</v>
      </c>
      <c r="BO27" t="s">
        <v>197</v>
      </c>
      <c r="BP27"/>
      <c r="BQ27"/>
      <c r="BR27"/>
      <c r="BS27" t="s">
        <v>214</v>
      </c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 spans="1:89" s="7" customFormat="1" x14ac:dyDescent="0.25">
      <c r="A28" t="s">
        <v>1435</v>
      </c>
      <c r="B28" t="s">
        <v>1389</v>
      </c>
      <c r="C28" t="s">
        <v>1234</v>
      </c>
      <c r="D28" t="s">
        <v>1571</v>
      </c>
      <c r="E28">
        <v>90</v>
      </c>
      <c r="F28" t="s">
        <v>603</v>
      </c>
      <c r="G28">
        <v>1118</v>
      </c>
      <c r="H28" s="9">
        <v>2.2999999999999998</v>
      </c>
      <c r="I28" t="s">
        <v>603</v>
      </c>
      <c r="J28" t="s">
        <v>603</v>
      </c>
      <c r="K28" t="s">
        <v>1572</v>
      </c>
      <c r="L28" t="s">
        <v>1573</v>
      </c>
      <c r="M28" s="10" t="str">
        <f>HYPERLINK(cna_product_database_catalog_website[[#This Row],[Spec Sheet Link]], cna_product_database_catalog_website[[#Headers],[Spec Sheet Link]])</f>
        <v>Spec Sheet Link</v>
      </c>
      <c r="N28" t="s">
        <v>46</v>
      </c>
      <c r="O28">
        <v>1</v>
      </c>
      <c r="P28">
        <v>1</v>
      </c>
      <c r="Q28" t="s">
        <v>152</v>
      </c>
      <c r="R28" t="s">
        <v>50</v>
      </c>
      <c r="S28" t="s">
        <v>1013</v>
      </c>
      <c r="T28" t="s">
        <v>613</v>
      </c>
      <c r="U28" t="s">
        <v>140</v>
      </c>
      <c r="V28"/>
      <c r="W28" t="s">
        <v>195</v>
      </c>
      <c r="X28" t="s">
        <v>95</v>
      </c>
      <c r="Y28" t="s">
        <v>556</v>
      </c>
      <c r="Z28" t="s">
        <v>552</v>
      </c>
      <c r="AA28" t="s">
        <v>54</v>
      </c>
      <c r="AB28" t="s">
        <v>636</v>
      </c>
      <c r="AC28" t="s">
        <v>220</v>
      </c>
      <c r="AD28" t="s">
        <v>157</v>
      </c>
      <c r="AE28"/>
      <c r="AF28"/>
      <c r="AG28"/>
      <c r="AH28"/>
      <c r="AI28"/>
      <c r="AJ28"/>
      <c r="AK28"/>
      <c r="AL28"/>
      <c r="AM28" t="s">
        <v>1027</v>
      </c>
      <c r="AN28" t="s">
        <v>634</v>
      </c>
      <c r="AO28" t="s">
        <v>1031</v>
      </c>
      <c r="AP28" t="s">
        <v>1023</v>
      </c>
      <c r="AQ28"/>
      <c r="AR28"/>
      <c r="AS28"/>
      <c r="AT28"/>
      <c r="AU28"/>
      <c r="AV28"/>
      <c r="AW28" t="s">
        <v>142</v>
      </c>
      <c r="AX28">
        <v>40</v>
      </c>
      <c r="AY28">
        <v>40</v>
      </c>
      <c r="AZ28"/>
      <c r="BA28"/>
      <c r="BB28"/>
      <c r="BC28">
        <v>0</v>
      </c>
      <c r="BD28">
        <v>0</v>
      </c>
      <c r="BE28"/>
      <c r="BF28"/>
      <c r="BG28"/>
      <c r="BH28"/>
      <c r="BI28">
        <v>0</v>
      </c>
      <c r="BJ28">
        <v>0</v>
      </c>
      <c r="BK28"/>
      <c r="BL28"/>
      <c r="BM28"/>
      <c r="BN28" t="s">
        <v>1037</v>
      </c>
      <c r="BO28" t="s">
        <v>1034</v>
      </c>
      <c r="BP28"/>
      <c r="BQ28"/>
      <c r="BR28"/>
      <c r="BS28" t="s">
        <v>214</v>
      </c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 spans="1:89" s="7" customFormat="1" x14ac:dyDescent="0.25">
      <c r="A29" t="s">
        <v>1435</v>
      </c>
      <c r="B29" t="s">
        <v>1389</v>
      </c>
      <c r="C29" t="s">
        <v>1233</v>
      </c>
      <c r="D29" t="s">
        <v>1574</v>
      </c>
      <c r="E29">
        <v>91</v>
      </c>
      <c r="F29" t="s">
        <v>604</v>
      </c>
      <c r="G29">
        <v>1119</v>
      </c>
      <c r="H29" s="9">
        <v>2.6</v>
      </c>
      <c r="I29" t="s">
        <v>604</v>
      </c>
      <c r="J29" t="s">
        <v>604</v>
      </c>
      <c r="K29" t="s">
        <v>1575</v>
      </c>
      <c r="L29" t="s">
        <v>1576</v>
      </c>
      <c r="M29" s="10" t="str">
        <f>HYPERLINK(cna_product_database_catalog_website[[#This Row],[Spec Sheet Link]], cna_product_database_catalog_website[[#Headers],[Spec Sheet Link]])</f>
        <v>Spec Sheet Link</v>
      </c>
      <c r="N29" t="s">
        <v>46</v>
      </c>
      <c r="O29">
        <v>1</v>
      </c>
      <c r="P29">
        <v>1</v>
      </c>
      <c r="Q29" t="s">
        <v>152</v>
      </c>
      <c r="R29" t="s">
        <v>50</v>
      </c>
      <c r="S29" t="s">
        <v>1013</v>
      </c>
      <c r="T29" t="s">
        <v>613</v>
      </c>
      <c r="U29" t="s">
        <v>140</v>
      </c>
      <c r="V29"/>
      <c r="W29" t="s">
        <v>195</v>
      </c>
      <c r="X29" t="s">
        <v>95</v>
      </c>
      <c r="Y29" t="s">
        <v>556</v>
      </c>
      <c r="Z29" t="s">
        <v>552</v>
      </c>
      <c r="AA29" t="s">
        <v>54</v>
      </c>
      <c r="AB29" t="s">
        <v>636</v>
      </c>
      <c r="AC29" t="s">
        <v>220</v>
      </c>
      <c r="AD29" t="s">
        <v>157</v>
      </c>
      <c r="AE29"/>
      <c r="AF29"/>
      <c r="AG29"/>
      <c r="AH29"/>
      <c r="AI29"/>
      <c r="AJ29"/>
      <c r="AK29"/>
      <c r="AL29"/>
      <c r="AM29" t="s">
        <v>1027</v>
      </c>
      <c r="AN29" t="s">
        <v>634</v>
      </c>
      <c r="AO29" t="s">
        <v>1031</v>
      </c>
      <c r="AP29" t="s">
        <v>1023</v>
      </c>
      <c r="AQ29"/>
      <c r="AR29"/>
      <c r="AS29"/>
      <c r="AT29"/>
      <c r="AU29"/>
      <c r="AV29"/>
      <c r="AW29" t="s">
        <v>142</v>
      </c>
      <c r="AX29">
        <v>40</v>
      </c>
      <c r="AY29">
        <v>40</v>
      </c>
      <c r="AZ29"/>
      <c r="BA29"/>
      <c r="BB29"/>
      <c r="BC29">
        <v>0</v>
      </c>
      <c r="BD29">
        <v>0</v>
      </c>
      <c r="BE29"/>
      <c r="BF29"/>
      <c r="BG29"/>
      <c r="BH29"/>
      <c r="BI29">
        <v>0</v>
      </c>
      <c r="BJ29">
        <v>0</v>
      </c>
      <c r="BK29"/>
      <c r="BL29"/>
      <c r="BM29"/>
      <c r="BN29" t="s">
        <v>1037</v>
      </c>
      <c r="BO29" t="s">
        <v>197</v>
      </c>
      <c r="BP29"/>
      <c r="BQ29"/>
      <c r="BR29"/>
      <c r="BS29" t="s">
        <v>214</v>
      </c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</row>
    <row r="30" spans="1:89" s="7" customFormat="1" x14ac:dyDescent="0.25">
      <c r="A30" t="s">
        <v>1435</v>
      </c>
      <c r="B30" t="s">
        <v>1389</v>
      </c>
      <c r="C30" t="s">
        <v>1235</v>
      </c>
      <c r="D30" t="s">
        <v>1577</v>
      </c>
      <c r="E30">
        <v>92</v>
      </c>
      <c r="F30" t="s">
        <v>605</v>
      </c>
      <c r="G30">
        <v>1213</v>
      </c>
      <c r="H30" s="9">
        <v>2.9</v>
      </c>
      <c r="I30" t="s">
        <v>605</v>
      </c>
      <c r="J30" t="s">
        <v>605</v>
      </c>
      <c r="K30" t="s">
        <v>1578</v>
      </c>
      <c r="L30" t="s">
        <v>1579</v>
      </c>
      <c r="M30" s="10" t="str">
        <f>HYPERLINK(cna_product_database_catalog_website[[#This Row],[Spec Sheet Link]], cna_product_database_catalog_website[[#Headers],[Spec Sheet Link]])</f>
        <v>Spec Sheet Link</v>
      </c>
      <c r="N30" t="s">
        <v>46</v>
      </c>
      <c r="O30">
        <v>1</v>
      </c>
      <c r="P30">
        <v>1</v>
      </c>
      <c r="Q30" t="s">
        <v>299</v>
      </c>
      <c r="R30" t="s">
        <v>50</v>
      </c>
      <c r="S30" t="s">
        <v>597</v>
      </c>
      <c r="T30" t="s">
        <v>613</v>
      </c>
      <c r="U30" t="s">
        <v>140</v>
      </c>
      <c r="V30"/>
      <c r="W30" t="s">
        <v>195</v>
      </c>
      <c r="X30" t="s">
        <v>95</v>
      </c>
      <c r="Y30" t="s">
        <v>556</v>
      </c>
      <c r="Z30" t="s">
        <v>552</v>
      </c>
      <c r="AA30" t="s">
        <v>54</v>
      </c>
      <c r="AB30" t="s">
        <v>636</v>
      </c>
      <c r="AC30" t="s">
        <v>220</v>
      </c>
      <c r="AD30" t="s">
        <v>157</v>
      </c>
      <c r="AE30"/>
      <c r="AF30"/>
      <c r="AG30"/>
      <c r="AH30"/>
      <c r="AI30"/>
      <c r="AJ30"/>
      <c r="AK30"/>
      <c r="AL30"/>
      <c r="AM30" t="s">
        <v>1027</v>
      </c>
      <c r="AN30" t="s">
        <v>634</v>
      </c>
      <c r="AO30" t="s">
        <v>1032</v>
      </c>
      <c r="AP30" t="s">
        <v>1036</v>
      </c>
      <c r="AQ30"/>
      <c r="AR30"/>
      <c r="AS30"/>
      <c r="AT30"/>
      <c r="AU30"/>
      <c r="AV30"/>
      <c r="AW30" t="s">
        <v>142</v>
      </c>
      <c r="AX30">
        <v>20</v>
      </c>
      <c r="AY30">
        <v>20</v>
      </c>
      <c r="AZ30"/>
      <c r="BA30"/>
      <c r="BB30"/>
      <c r="BC30">
        <v>0</v>
      </c>
      <c r="BD30">
        <v>0</v>
      </c>
      <c r="BE30"/>
      <c r="BF30"/>
      <c r="BG30"/>
      <c r="BH30"/>
      <c r="BI30">
        <v>0</v>
      </c>
      <c r="BJ30">
        <v>0</v>
      </c>
      <c r="BK30"/>
      <c r="BL30"/>
      <c r="BM30"/>
      <c r="BN30" t="s">
        <v>1037</v>
      </c>
      <c r="BO30" t="s">
        <v>1034</v>
      </c>
      <c r="BP30"/>
      <c r="BQ30"/>
      <c r="BR30"/>
      <c r="BS30" t="s">
        <v>214</v>
      </c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</row>
    <row r="31" spans="1:89" s="7" customFormat="1" x14ac:dyDescent="0.25">
      <c r="A31" t="s">
        <v>1435</v>
      </c>
      <c r="B31" t="s">
        <v>1389</v>
      </c>
      <c r="C31" t="s">
        <v>1236</v>
      </c>
      <c r="D31" t="s">
        <v>1580</v>
      </c>
      <c r="E31">
        <v>95</v>
      </c>
      <c r="F31" t="s">
        <v>600</v>
      </c>
      <c r="G31">
        <v>814</v>
      </c>
      <c r="H31" s="9">
        <v>2.9</v>
      </c>
      <c r="I31" t="s">
        <v>600</v>
      </c>
      <c r="J31" t="s">
        <v>600</v>
      </c>
      <c r="K31" t="s">
        <v>1581</v>
      </c>
      <c r="L31" t="s">
        <v>1582</v>
      </c>
      <c r="M31" s="10" t="str">
        <f>HYPERLINK(cna_product_database_catalog_website[[#This Row],[Spec Sheet Link]], cna_product_database_catalog_website[[#Headers],[Spec Sheet Link]])</f>
        <v>Spec Sheet Link</v>
      </c>
      <c r="N31" t="s">
        <v>46</v>
      </c>
      <c r="O31">
        <v>1</v>
      </c>
      <c r="P31">
        <v>1</v>
      </c>
      <c r="Q31" t="s">
        <v>299</v>
      </c>
      <c r="R31" t="s">
        <v>50</v>
      </c>
      <c r="S31" t="s">
        <v>597</v>
      </c>
      <c r="T31" t="s">
        <v>613</v>
      </c>
      <c r="U31" t="s">
        <v>140</v>
      </c>
      <c r="V31"/>
      <c r="W31" t="s">
        <v>195</v>
      </c>
      <c r="X31" t="s">
        <v>95</v>
      </c>
      <c r="Y31" t="s">
        <v>556</v>
      </c>
      <c r="Z31" t="s">
        <v>552</v>
      </c>
      <c r="AA31" t="s">
        <v>54</v>
      </c>
      <c r="AB31" t="s">
        <v>636</v>
      </c>
      <c r="AC31" t="s">
        <v>220</v>
      </c>
      <c r="AD31" t="s">
        <v>157</v>
      </c>
      <c r="AE31"/>
      <c r="AF31"/>
      <c r="AG31"/>
      <c r="AH31"/>
      <c r="AI31"/>
      <c r="AJ31"/>
      <c r="AK31"/>
      <c r="AL31"/>
      <c r="AM31" t="s">
        <v>1027</v>
      </c>
      <c r="AN31" t="s">
        <v>634</v>
      </c>
      <c r="AO31" t="s">
        <v>1032</v>
      </c>
      <c r="AP31" t="s">
        <v>1036</v>
      </c>
      <c r="AQ31"/>
      <c r="AR31"/>
      <c r="AS31"/>
      <c r="AT31"/>
      <c r="AU31"/>
      <c r="AV31"/>
      <c r="AW31" t="s">
        <v>142</v>
      </c>
      <c r="AX31">
        <v>20</v>
      </c>
      <c r="AY31">
        <v>20</v>
      </c>
      <c r="AZ31"/>
      <c r="BA31"/>
      <c r="BB31"/>
      <c r="BC31">
        <v>0</v>
      </c>
      <c r="BD31">
        <v>0</v>
      </c>
      <c r="BE31"/>
      <c r="BF31"/>
      <c r="BG31"/>
      <c r="BH31"/>
      <c r="BI31">
        <v>0</v>
      </c>
      <c r="BJ31">
        <v>0</v>
      </c>
      <c r="BK31"/>
      <c r="BL31"/>
      <c r="BM31"/>
      <c r="BN31" t="s">
        <v>1037</v>
      </c>
      <c r="BO31" t="s">
        <v>197</v>
      </c>
      <c r="BP31"/>
      <c r="BQ31"/>
      <c r="BR31"/>
      <c r="BS31" t="s">
        <v>214</v>
      </c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</row>
    <row r="32" spans="1:89" s="7" customFormat="1" x14ac:dyDescent="0.25">
      <c r="A32" t="s">
        <v>1435</v>
      </c>
      <c r="B32" t="s">
        <v>1389</v>
      </c>
      <c r="C32" t="s">
        <v>1108</v>
      </c>
      <c r="D32" t="s">
        <v>1583</v>
      </c>
      <c r="E32">
        <v>96</v>
      </c>
      <c r="F32" t="s">
        <v>607</v>
      </c>
      <c r="G32">
        <v>1127</v>
      </c>
      <c r="H32" s="9">
        <v>3.5</v>
      </c>
      <c r="I32" t="s">
        <v>607</v>
      </c>
      <c r="J32" t="s">
        <v>607</v>
      </c>
      <c r="K32" t="s">
        <v>1584</v>
      </c>
      <c r="L32" t="s">
        <v>1585</v>
      </c>
      <c r="M32" s="10" t="str">
        <f>HYPERLINK(cna_product_database_catalog_website[[#This Row],[Spec Sheet Link]], cna_product_database_catalog_website[[#Headers],[Spec Sheet Link]])</f>
        <v>Spec Sheet Link</v>
      </c>
      <c r="N32" t="s">
        <v>46</v>
      </c>
      <c r="O32">
        <v>1</v>
      </c>
      <c r="P32">
        <v>1</v>
      </c>
      <c r="Q32" t="s">
        <v>106</v>
      </c>
      <c r="R32" t="s">
        <v>50</v>
      </c>
      <c r="S32" t="s">
        <v>1014</v>
      </c>
      <c r="T32" t="s">
        <v>613</v>
      </c>
      <c r="U32" t="s">
        <v>140</v>
      </c>
      <c r="V32"/>
      <c r="W32" t="s">
        <v>195</v>
      </c>
      <c r="X32" t="s">
        <v>95</v>
      </c>
      <c r="Y32" t="s">
        <v>556</v>
      </c>
      <c r="Z32" t="s">
        <v>552</v>
      </c>
      <c r="AA32" t="s">
        <v>54</v>
      </c>
      <c r="AB32" t="s">
        <v>636</v>
      </c>
      <c r="AC32" t="s">
        <v>220</v>
      </c>
      <c r="AD32" t="s">
        <v>157</v>
      </c>
      <c r="AE32"/>
      <c r="AF32"/>
      <c r="AG32"/>
      <c r="AH32"/>
      <c r="AI32"/>
      <c r="AJ32"/>
      <c r="AK32"/>
      <c r="AL32"/>
      <c r="AM32" t="s">
        <v>1027</v>
      </c>
      <c r="AN32" t="s">
        <v>634</v>
      </c>
      <c r="AO32" t="s">
        <v>1033</v>
      </c>
      <c r="AP32" t="s">
        <v>1035</v>
      </c>
      <c r="AQ32"/>
      <c r="AR32"/>
      <c r="AS32"/>
      <c r="AT32"/>
      <c r="AU32"/>
      <c r="AV32"/>
      <c r="AW32" t="s">
        <v>142</v>
      </c>
      <c r="AX32">
        <v>10</v>
      </c>
      <c r="AY32">
        <v>10</v>
      </c>
      <c r="AZ32"/>
      <c r="BA32"/>
      <c r="BB32"/>
      <c r="BC32">
        <v>0</v>
      </c>
      <c r="BD32">
        <v>0</v>
      </c>
      <c r="BE32"/>
      <c r="BF32"/>
      <c r="BG32"/>
      <c r="BH32"/>
      <c r="BI32">
        <v>0</v>
      </c>
      <c r="BJ32">
        <v>0</v>
      </c>
      <c r="BK32"/>
      <c r="BL32"/>
      <c r="BM32"/>
      <c r="BN32" t="s">
        <v>1037</v>
      </c>
      <c r="BO32" t="s">
        <v>1034</v>
      </c>
      <c r="BP32"/>
      <c r="BQ32"/>
      <c r="BR32"/>
      <c r="BS32" t="s">
        <v>214</v>
      </c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</row>
    <row r="33" spans="1:89" s="7" customFormat="1" x14ac:dyDescent="0.25">
      <c r="A33" t="s">
        <v>1435</v>
      </c>
      <c r="B33" t="s">
        <v>1389</v>
      </c>
      <c r="C33" t="s">
        <v>1109</v>
      </c>
      <c r="D33" t="s">
        <v>1586</v>
      </c>
      <c r="E33">
        <v>97</v>
      </c>
      <c r="F33" t="s">
        <v>606</v>
      </c>
      <c r="G33">
        <v>1120</v>
      </c>
      <c r="H33" s="9">
        <v>3.5</v>
      </c>
      <c r="I33" t="s">
        <v>606</v>
      </c>
      <c r="J33" t="s">
        <v>606</v>
      </c>
      <c r="K33" t="s">
        <v>1584</v>
      </c>
      <c r="L33" t="s">
        <v>1587</v>
      </c>
      <c r="M33" s="10" t="str">
        <f>HYPERLINK(cna_product_database_catalog_website[[#This Row],[Spec Sheet Link]], cna_product_database_catalog_website[[#Headers],[Spec Sheet Link]])</f>
        <v>Spec Sheet Link</v>
      </c>
      <c r="N33" t="s">
        <v>46</v>
      </c>
      <c r="O33">
        <v>1</v>
      </c>
      <c r="P33">
        <v>1</v>
      </c>
      <c r="Q33" t="s">
        <v>106</v>
      </c>
      <c r="R33" t="s">
        <v>50</v>
      </c>
      <c r="S33" t="s">
        <v>1014</v>
      </c>
      <c r="T33" t="s">
        <v>613</v>
      </c>
      <c r="U33" t="s">
        <v>140</v>
      </c>
      <c r="V33"/>
      <c r="W33" t="s">
        <v>195</v>
      </c>
      <c r="X33" t="s">
        <v>95</v>
      </c>
      <c r="Y33" t="s">
        <v>556</v>
      </c>
      <c r="Z33" t="s">
        <v>552</v>
      </c>
      <c r="AA33" t="s">
        <v>54</v>
      </c>
      <c r="AB33" t="s">
        <v>636</v>
      </c>
      <c r="AC33" t="s">
        <v>220</v>
      </c>
      <c r="AD33" t="s">
        <v>157</v>
      </c>
      <c r="AE33"/>
      <c r="AF33"/>
      <c r="AG33"/>
      <c r="AH33"/>
      <c r="AI33"/>
      <c r="AJ33"/>
      <c r="AK33"/>
      <c r="AL33"/>
      <c r="AM33" t="s">
        <v>1027</v>
      </c>
      <c r="AN33" t="s">
        <v>634</v>
      </c>
      <c r="AO33" t="s">
        <v>1033</v>
      </c>
      <c r="AP33" t="s">
        <v>1035</v>
      </c>
      <c r="AQ33"/>
      <c r="AR33"/>
      <c r="AS33"/>
      <c r="AT33"/>
      <c r="AU33"/>
      <c r="AV33"/>
      <c r="AW33" t="s">
        <v>142</v>
      </c>
      <c r="AX33">
        <v>10</v>
      </c>
      <c r="AY33">
        <v>10</v>
      </c>
      <c r="AZ33"/>
      <c r="BA33"/>
      <c r="BB33"/>
      <c r="BC33">
        <v>0</v>
      </c>
      <c r="BD33">
        <v>0</v>
      </c>
      <c r="BE33"/>
      <c r="BF33"/>
      <c r="BG33"/>
      <c r="BH33"/>
      <c r="BI33">
        <v>0</v>
      </c>
      <c r="BJ33">
        <v>0</v>
      </c>
      <c r="BK33"/>
      <c r="BL33"/>
      <c r="BM33"/>
      <c r="BN33" t="s">
        <v>1037</v>
      </c>
      <c r="BO33" t="s">
        <v>197</v>
      </c>
      <c r="BP33"/>
      <c r="BQ33"/>
      <c r="BR33"/>
      <c r="BS33" t="s">
        <v>214</v>
      </c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</row>
    <row r="34" spans="1:89" s="7" customFormat="1" x14ac:dyDescent="0.25">
      <c r="A34" t="s">
        <v>1435</v>
      </c>
      <c r="B34" t="s">
        <v>1390</v>
      </c>
      <c r="C34" t="s">
        <v>1237</v>
      </c>
      <c r="D34" t="s">
        <v>1588</v>
      </c>
      <c r="E34">
        <v>105</v>
      </c>
      <c r="F34" t="s">
        <v>65</v>
      </c>
      <c r="G34">
        <v>1207</v>
      </c>
      <c r="H34" s="9">
        <v>1.5</v>
      </c>
      <c r="I34" t="s">
        <v>65</v>
      </c>
      <c r="J34" t="s">
        <v>65</v>
      </c>
      <c r="K34" t="s">
        <v>1589</v>
      </c>
      <c r="L34" t="s">
        <v>1590</v>
      </c>
      <c r="M34" s="10" t="str">
        <f>HYPERLINK(cna_product_database_catalog_website[[#This Row],[Spec Sheet Link]], cna_product_database_catalog_website[[#Headers],[Spec Sheet Link]])</f>
        <v>Spec Sheet Link</v>
      </c>
      <c r="N34" t="s">
        <v>46</v>
      </c>
      <c r="O34">
        <v>1</v>
      </c>
      <c r="P34">
        <v>1</v>
      </c>
      <c r="Q34" t="s">
        <v>472</v>
      </c>
      <c r="R34" t="s">
        <v>50</v>
      </c>
      <c r="S34" t="s">
        <v>1021</v>
      </c>
      <c r="T34" t="s">
        <v>613</v>
      </c>
      <c r="U34" t="s">
        <v>140</v>
      </c>
      <c r="V34"/>
      <c r="W34" t="s">
        <v>195</v>
      </c>
      <c r="X34" t="s">
        <v>95</v>
      </c>
      <c r="Y34" t="s">
        <v>556</v>
      </c>
      <c r="Z34" t="s">
        <v>552</v>
      </c>
      <c r="AA34" t="s">
        <v>54</v>
      </c>
      <c r="AB34" t="s">
        <v>636</v>
      </c>
      <c r="AC34" t="s">
        <v>220</v>
      </c>
      <c r="AD34" t="s">
        <v>157</v>
      </c>
      <c r="AE34"/>
      <c r="AF34"/>
      <c r="AG34"/>
      <c r="AH34"/>
      <c r="AI34"/>
      <c r="AJ34"/>
      <c r="AK34"/>
      <c r="AL34"/>
      <c r="AM34" t="s">
        <v>1027</v>
      </c>
      <c r="AN34" t="s">
        <v>634</v>
      </c>
      <c r="AO34" t="s">
        <v>1029</v>
      </c>
      <c r="AP34" t="s">
        <v>1025</v>
      </c>
      <c r="AQ34"/>
      <c r="AR34"/>
      <c r="AS34"/>
      <c r="AT34"/>
      <c r="AU34"/>
      <c r="AV34"/>
      <c r="AW34" t="s">
        <v>142</v>
      </c>
      <c r="AX34">
        <v>10</v>
      </c>
      <c r="AY34">
        <v>10</v>
      </c>
      <c r="AZ34"/>
      <c r="BA34"/>
      <c r="BB34"/>
      <c r="BC34">
        <v>0</v>
      </c>
      <c r="BD34">
        <v>0</v>
      </c>
      <c r="BE34"/>
      <c r="BF34"/>
      <c r="BG34"/>
      <c r="BH34"/>
      <c r="BI34">
        <v>0</v>
      </c>
      <c r="BJ34">
        <v>0</v>
      </c>
      <c r="BK34"/>
      <c r="BL34"/>
      <c r="BM34"/>
      <c r="BN34" t="s">
        <v>1037</v>
      </c>
      <c r="BO34" t="s">
        <v>197</v>
      </c>
      <c r="BP34"/>
      <c r="BQ34"/>
      <c r="BR34"/>
      <c r="BS34" t="s">
        <v>214</v>
      </c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</row>
    <row r="35" spans="1:89" s="7" customFormat="1" x14ac:dyDescent="0.25">
      <c r="A35" t="s">
        <v>1435</v>
      </c>
      <c r="B35" t="s">
        <v>1390</v>
      </c>
      <c r="C35" t="s">
        <v>1238</v>
      </c>
      <c r="D35" t="s">
        <v>1591</v>
      </c>
      <c r="E35">
        <v>110</v>
      </c>
      <c r="F35" t="s">
        <v>75</v>
      </c>
      <c r="G35">
        <v>983</v>
      </c>
      <c r="H35" s="9">
        <v>2.7</v>
      </c>
      <c r="I35" t="s">
        <v>75</v>
      </c>
      <c r="J35" t="s">
        <v>75</v>
      </c>
      <c r="K35" t="s">
        <v>1592</v>
      </c>
      <c r="L35" t="s">
        <v>1593</v>
      </c>
      <c r="M35" s="10" t="str">
        <f>HYPERLINK(cna_product_database_catalog_website[[#This Row],[Spec Sheet Link]], cna_product_database_catalog_website[[#Headers],[Spec Sheet Link]])</f>
        <v>Spec Sheet Link</v>
      </c>
      <c r="N35" t="s">
        <v>46</v>
      </c>
      <c r="O35">
        <v>1</v>
      </c>
      <c r="P35">
        <v>1</v>
      </c>
      <c r="Q35" t="s">
        <v>305</v>
      </c>
      <c r="R35" t="s">
        <v>50</v>
      </c>
      <c r="S35" t="s">
        <v>1022</v>
      </c>
      <c r="T35" t="s">
        <v>613</v>
      </c>
      <c r="U35" t="s">
        <v>140</v>
      </c>
      <c r="V35"/>
      <c r="W35" t="s">
        <v>195</v>
      </c>
      <c r="X35" t="s">
        <v>95</v>
      </c>
      <c r="Y35" t="s">
        <v>556</v>
      </c>
      <c r="Z35" t="s">
        <v>552</v>
      </c>
      <c r="AA35" t="s">
        <v>54</v>
      </c>
      <c r="AB35" t="s">
        <v>636</v>
      </c>
      <c r="AC35" t="s">
        <v>220</v>
      </c>
      <c r="AD35" t="s">
        <v>157</v>
      </c>
      <c r="AE35"/>
      <c r="AF35"/>
      <c r="AG35"/>
      <c r="AH35"/>
      <c r="AI35"/>
      <c r="AJ35"/>
      <c r="AK35"/>
      <c r="AL35"/>
      <c r="AM35" t="s">
        <v>1027</v>
      </c>
      <c r="AN35" t="s">
        <v>634</v>
      </c>
      <c r="AO35" t="s">
        <v>1028</v>
      </c>
      <c r="AP35" t="s">
        <v>1026</v>
      </c>
      <c r="AQ35"/>
      <c r="AR35"/>
      <c r="AS35"/>
      <c r="AT35"/>
      <c r="AU35"/>
      <c r="AV35"/>
      <c r="AW35" t="s">
        <v>142</v>
      </c>
      <c r="AX35">
        <v>10</v>
      </c>
      <c r="AY35">
        <v>10</v>
      </c>
      <c r="AZ35"/>
      <c r="BA35"/>
      <c r="BB35"/>
      <c r="BC35">
        <v>0</v>
      </c>
      <c r="BD35">
        <v>0</v>
      </c>
      <c r="BE35"/>
      <c r="BF35"/>
      <c r="BG35"/>
      <c r="BH35"/>
      <c r="BI35">
        <v>0</v>
      </c>
      <c r="BJ35">
        <v>0</v>
      </c>
      <c r="BK35"/>
      <c r="BL35"/>
      <c r="BM35"/>
      <c r="BN35" t="s">
        <v>1037</v>
      </c>
      <c r="BO35" t="s">
        <v>197</v>
      </c>
      <c r="BP35"/>
      <c r="BQ35"/>
      <c r="BR35"/>
      <c r="BS35" t="s">
        <v>214</v>
      </c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</row>
    <row r="36" spans="1:89" s="7" customFormat="1" x14ac:dyDescent="0.25">
      <c r="A36" t="s">
        <v>1435</v>
      </c>
      <c r="B36" t="s">
        <v>1390</v>
      </c>
      <c r="C36" t="s">
        <v>1110</v>
      </c>
      <c r="D36" t="s">
        <v>1594</v>
      </c>
      <c r="E36">
        <v>112</v>
      </c>
      <c r="F36" t="s">
        <v>1386</v>
      </c>
      <c r="G36">
        <v>1166</v>
      </c>
      <c r="H36" s="9">
        <v>2.7</v>
      </c>
      <c r="I36" t="s">
        <v>1386</v>
      </c>
      <c r="J36" t="s">
        <v>1386</v>
      </c>
      <c r="K36" t="s">
        <v>45</v>
      </c>
      <c r="L36"/>
      <c r="M36" s="10"/>
      <c r="N36" t="s">
        <v>46</v>
      </c>
      <c r="O36">
        <v>1</v>
      </c>
      <c r="P36">
        <v>1</v>
      </c>
      <c r="Q36" t="s">
        <v>299</v>
      </c>
      <c r="R36" t="s">
        <v>50</v>
      </c>
      <c r="S36" t="s">
        <v>127</v>
      </c>
      <c r="T36" t="s">
        <v>206</v>
      </c>
      <c r="U36" t="s">
        <v>140</v>
      </c>
      <c r="V36"/>
      <c r="W36" t="s">
        <v>151</v>
      </c>
      <c r="X36" t="s">
        <v>1259</v>
      </c>
      <c r="Y36"/>
      <c r="Z36">
        <v>80</v>
      </c>
      <c r="AA36" t="s">
        <v>54</v>
      </c>
      <c r="AB36" t="s">
        <v>589</v>
      </c>
      <c r="AC36" t="s">
        <v>220</v>
      </c>
      <c r="AD36" t="s">
        <v>157</v>
      </c>
      <c r="AE36"/>
      <c r="AF36"/>
      <c r="AG36"/>
      <c r="AH36"/>
      <c r="AI36"/>
      <c r="AJ36"/>
      <c r="AK36"/>
      <c r="AL36" t="s">
        <v>1379</v>
      </c>
      <c r="AM36"/>
      <c r="AN36" t="s">
        <v>1379</v>
      </c>
      <c r="AO36"/>
      <c r="AP36" t="s">
        <v>1380</v>
      </c>
      <c r="AQ36" t="s">
        <v>1380</v>
      </c>
      <c r="AR36"/>
      <c r="AS36"/>
      <c r="AT36"/>
      <c r="AU36"/>
      <c r="AV36"/>
      <c r="AW36" t="s">
        <v>142</v>
      </c>
      <c r="AX36">
        <v>10</v>
      </c>
      <c r="AY36">
        <v>10</v>
      </c>
      <c r="AZ36"/>
      <c r="BA36"/>
      <c r="BB36"/>
      <c r="BC36">
        <v>0</v>
      </c>
      <c r="BD36">
        <v>0</v>
      </c>
      <c r="BE36">
        <v>12.7</v>
      </c>
      <c r="BF36"/>
      <c r="BG36"/>
      <c r="BH36"/>
      <c r="BI36">
        <v>0</v>
      </c>
      <c r="BJ36">
        <v>0</v>
      </c>
      <c r="BK36"/>
      <c r="BL36"/>
      <c r="BM36"/>
      <c r="BN36"/>
      <c r="BO36" t="s">
        <v>197</v>
      </c>
      <c r="BP36"/>
      <c r="BQ36"/>
      <c r="BR36"/>
      <c r="BS36" t="s">
        <v>225</v>
      </c>
      <c r="BT36" t="s">
        <v>963</v>
      </c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</row>
    <row r="37" spans="1:89" s="7" customFormat="1" x14ac:dyDescent="0.25">
      <c r="A37" t="s">
        <v>1435</v>
      </c>
      <c r="B37" t="s">
        <v>1390</v>
      </c>
      <c r="C37" t="s">
        <v>1111</v>
      </c>
      <c r="D37" t="s">
        <v>1595</v>
      </c>
      <c r="E37">
        <v>113</v>
      </c>
      <c r="F37" t="s">
        <v>608</v>
      </c>
      <c r="G37">
        <v>1167</v>
      </c>
      <c r="H37" s="9">
        <v>2.7</v>
      </c>
      <c r="I37" t="s">
        <v>608</v>
      </c>
      <c r="J37" t="s">
        <v>608</v>
      </c>
      <c r="K37" t="s">
        <v>1596</v>
      </c>
      <c r="L37" t="s">
        <v>1597</v>
      </c>
      <c r="M37" s="10" t="str">
        <f>HYPERLINK(cna_product_database_catalog_website[[#This Row],[Spec Sheet Link]], cna_product_database_catalog_website[[#Headers],[Spec Sheet Link]])</f>
        <v>Spec Sheet Link</v>
      </c>
      <c r="N37" t="s">
        <v>46</v>
      </c>
      <c r="O37">
        <v>1</v>
      </c>
      <c r="P37">
        <v>1</v>
      </c>
      <c r="Q37" t="s">
        <v>104</v>
      </c>
      <c r="R37" t="s">
        <v>50</v>
      </c>
      <c r="S37" t="s">
        <v>101</v>
      </c>
      <c r="T37" t="s">
        <v>217</v>
      </c>
      <c r="U37" t="s">
        <v>140</v>
      </c>
      <c r="V37" t="s">
        <v>47</v>
      </c>
      <c r="W37" t="s">
        <v>151</v>
      </c>
      <c r="X37" t="s">
        <v>95</v>
      </c>
      <c r="Y37" t="s">
        <v>47</v>
      </c>
      <c r="Z37" t="s">
        <v>552</v>
      </c>
      <c r="AA37" t="s">
        <v>54</v>
      </c>
      <c r="AB37" t="s">
        <v>47</v>
      </c>
      <c r="AC37" t="s">
        <v>47</v>
      </c>
      <c r="AD37" t="s">
        <v>47</v>
      </c>
      <c r="AE37"/>
      <c r="AF37" t="s">
        <v>47</v>
      </c>
      <c r="AG37" t="s">
        <v>47</v>
      </c>
      <c r="AH37" t="s">
        <v>47</v>
      </c>
      <c r="AI37" t="s">
        <v>47</v>
      </c>
      <c r="AJ37"/>
      <c r="AK37"/>
      <c r="AL37" t="s">
        <v>47</v>
      </c>
      <c r="AM37"/>
      <c r="AN37" t="s">
        <v>961</v>
      </c>
      <c r="AO37" t="s">
        <v>47</v>
      </c>
      <c r="AP37" t="s">
        <v>960</v>
      </c>
      <c r="AQ37" t="s">
        <v>960</v>
      </c>
      <c r="AR37">
        <v>200</v>
      </c>
      <c r="AS37">
        <v>0.44</v>
      </c>
      <c r="AT37"/>
      <c r="AU37"/>
      <c r="AV37" t="s">
        <v>47</v>
      </c>
      <c r="AW37" t="s">
        <v>142</v>
      </c>
      <c r="AX37">
        <v>6</v>
      </c>
      <c r="AY37">
        <v>6</v>
      </c>
      <c r="AZ37"/>
      <c r="BA37"/>
      <c r="BB37"/>
      <c r="BC37">
        <v>0</v>
      </c>
      <c r="BD37">
        <v>0</v>
      </c>
      <c r="BE37" t="s">
        <v>47</v>
      </c>
      <c r="BF37"/>
      <c r="BG37"/>
      <c r="BH37"/>
      <c r="BI37">
        <v>0</v>
      </c>
      <c r="BJ37">
        <v>0</v>
      </c>
      <c r="BK37"/>
      <c r="BL37"/>
      <c r="BM37" t="s">
        <v>47</v>
      </c>
      <c r="BN37"/>
      <c r="BO37" t="s">
        <v>962</v>
      </c>
      <c r="BP37" t="s">
        <v>47</v>
      </c>
      <c r="BQ37" t="s">
        <v>47</v>
      </c>
      <c r="BR37"/>
      <c r="BS37" t="s">
        <v>225</v>
      </c>
      <c r="BT37" t="s">
        <v>963</v>
      </c>
      <c r="BU37" t="s">
        <v>47</v>
      </c>
      <c r="BV37"/>
      <c r="BW37" t="s">
        <v>47</v>
      </c>
      <c r="BX37" t="s">
        <v>47</v>
      </c>
      <c r="BY37" t="s">
        <v>47</v>
      </c>
      <c r="BZ37" t="s">
        <v>47</v>
      </c>
      <c r="CA37" t="s">
        <v>47</v>
      </c>
      <c r="CB37" t="s">
        <v>47</v>
      </c>
      <c r="CC37" t="s">
        <v>47</v>
      </c>
      <c r="CD37" t="s">
        <v>47</v>
      </c>
      <c r="CE37" t="s">
        <v>47</v>
      </c>
      <c r="CF37" t="s">
        <v>47</v>
      </c>
      <c r="CG37" t="s">
        <v>47</v>
      </c>
      <c r="CH37" t="s">
        <v>47</v>
      </c>
      <c r="CI37" t="s">
        <v>47</v>
      </c>
      <c r="CJ37" t="s">
        <v>47</v>
      </c>
      <c r="CK37"/>
    </row>
    <row r="38" spans="1:89" s="7" customFormat="1" x14ac:dyDescent="0.25">
      <c r="A38" t="s">
        <v>1435</v>
      </c>
      <c r="B38" t="s">
        <v>1390</v>
      </c>
      <c r="C38" t="s">
        <v>1112</v>
      </c>
      <c r="D38" t="s">
        <v>1598</v>
      </c>
      <c r="E38">
        <v>114</v>
      </c>
      <c r="F38" t="s">
        <v>609</v>
      </c>
      <c r="G38">
        <v>1168</v>
      </c>
      <c r="H38" s="9">
        <v>2.7</v>
      </c>
      <c r="I38" t="s">
        <v>609</v>
      </c>
      <c r="J38" t="s">
        <v>609</v>
      </c>
      <c r="K38" t="s">
        <v>1596</v>
      </c>
      <c r="L38" t="s">
        <v>1597</v>
      </c>
      <c r="M38" s="10" t="str">
        <f>HYPERLINK(cna_product_database_catalog_website[[#This Row],[Spec Sheet Link]], cna_product_database_catalog_website[[#Headers],[Spec Sheet Link]])</f>
        <v>Spec Sheet Link</v>
      </c>
      <c r="N38" t="s">
        <v>46</v>
      </c>
      <c r="O38">
        <v>1</v>
      </c>
      <c r="P38">
        <v>1</v>
      </c>
      <c r="Q38" t="s">
        <v>129</v>
      </c>
      <c r="R38" t="s">
        <v>50</v>
      </c>
      <c r="S38" t="s">
        <v>215</v>
      </c>
      <c r="T38" t="s">
        <v>216</v>
      </c>
      <c r="U38" t="s">
        <v>140</v>
      </c>
      <c r="V38" t="s">
        <v>47</v>
      </c>
      <c r="W38" t="s">
        <v>151</v>
      </c>
      <c r="X38" t="s">
        <v>95</v>
      </c>
      <c r="Y38" t="s">
        <v>47</v>
      </c>
      <c r="Z38" t="s">
        <v>552</v>
      </c>
      <c r="AA38" t="s">
        <v>54</v>
      </c>
      <c r="AB38" t="s">
        <v>47</v>
      </c>
      <c r="AC38" t="s">
        <v>220</v>
      </c>
      <c r="AD38" t="s">
        <v>157</v>
      </c>
      <c r="AE38"/>
      <c r="AF38" t="s">
        <v>47</v>
      </c>
      <c r="AG38" t="s">
        <v>47</v>
      </c>
      <c r="AH38" t="s">
        <v>47</v>
      </c>
      <c r="AI38" t="s">
        <v>47</v>
      </c>
      <c r="AJ38"/>
      <c r="AK38"/>
      <c r="AL38" t="s">
        <v>47</v>
      </c>
      <c r="AM38"/>
      <c r="AN38" t="s">
        <v>60</v>
      </c>
      <c r="AO38" t="s">
        <v>47</v>
      </c>
      <c r="AP38" t="s">
        <v>959</v>
      </c>
      <c r="AQ38" t="s">
        <v>959</v>
      </c>
      <c r="AR38">
        <v>400</v>
      </c>
      <c r="AS38">
        <v>0.88</v>
      </c>
      <c r="AT38"/>
      <c r="AU38"/>
      <c r="AV38" t="s">
        <v>47</v>
      </c>
      <c r="AW38" t="s">
        <v>142</v>
      </c>
      <c r="AX38">
        <v>6</v>
      </c>
      <c r="AY38">
        <v>6</v>
      </c>
      <c r="AZ38"/>
      <c r="BA38"/>
      <c r="BB38"/>
      <c r="BC38">
        <v>0</v>
      </c>
      <c r="BD38">
        <v>0</v>
      </c>
      <c r="BE38" t="s">
        <v>47</v>
      </c>
      <c r="BF38"/>
      <c r="BG38"/>
      <c r="BH38"/>
      <c r="BI38">
        <v>0</v>
      </c>
      <c r="BJ38">
        <v>0</v>
      </c>
      <c r="BK38"/>
      <c r="BL38"/>
      <c r="BM38" t="s">
        <v>47</v>
      </c>
      <c r="BN38"/>
      <c r="BO38" t="s">
        <v>221</v>
      </c>
      <c r="BP38" t="s">
        <v>47</v>
      </c>
      <c r="BQ38" t="s">
        <v>47</v>
      </c>
      <c r="BR38"/>
      <c r="BS38" t="s">
        <v>225</v>
      </c>
      <c r="BT38" t="s">
        <v>963</v>
      </c>
      <c r="BU38" t="s">
        <v>47</v>
      </c>
      <c r="BV38"/>
      <c r="BW38" t="s">
        <v>47</v>
      </c>
      <c r="BX38" t="s">
        <v>47</v>
      </c>
      <c r="BY38" t="s">
        <v>47</v>
      </c>
      <c r="BZ38" t="s">
        <v>47</v>
      </c>
      <c r="CA38" t="s">
        <v>47</v>
      </c>
      <c r="CB38" t="s">
        <v>47</v>
      </c>
      <c r="CC38" t="s">
        <v>47</v>
      </c>
      <c r="CD38" t="s">
        <v>47</v>
      </c>
      <c r="CE38" t="s">
        <v>47</v>
      </c>
      <c r="CF38" t="s">
        <v>47</v>
      </c>
      <c r="CG38" t="s">
        <v>47</v>
      </c>
      <c r="CH38" t="s">
        <v>47</v>
      </c>
      <c r="CI38" t="s">
        <v>47</v>
      </c>
      <c r="CJ38" t="s">
        <v>47</v>
      </c>
      <c r="CK38"/>
    </row>
    <row r="39" spans="1:89" s="7" customFormat="1" x14ac:dyDescent="0.25">
      <c r="A39" t="s">
        <v>1435</v>
      </c>
      <c r="B39" t="s">
        <v>1390</v>
      </c>
      <c r="C39" t="s">
        <v>1113</v>
      </c>
      <c r="D39" t="s">
        <v>1599</v>
      </c>
      <c r="E39">
        <v>115</v>
      </c>
      <c r="F39" t="s">
        <v>610</v>
      </c>
      <c r="G39">
        <v>1169</v>
      </c>
      <c r="H39" s="9">
        <v>2.7</v>
      </c>
      <c r="I39" t="s">
        <v>610</v>
      </c>
      <c r="J39" t="s">
        <v>610</v>
      </c>
      <c r="K39" t="s">
        <v>1596</v>
      </c>
      <c r="L39" t="s">
        <v>1597</v>
      </c>
      <c r="M39" s="10" t="str">
        <f>HYPERLINK(cna_product_database_catalog_website[[#This Row],[Spec Sheet Link]], cna_product_database_catalog_website[[#Headers],[Spec Sheet Link]])</f>
        <v>Spec Sheet Link</v>
      </c>
      <c r="N39" t="s">
        <v>46</v>
      </c>
      <c r="O39">
        <v>1</v>
      </c>
      <c r="P39">
        <v>1</v>
      </c>
      <c r="Q39" t="s">
        <v>129</v>
      </c>
      <c r="R39" t="s">
        <v>50</v>
      </c>
      <c r="S39" t="s">
        <v>215</v>
      </c>
      <c r="T39" t="s">
        <v>216</v>
      </c>
      <c r="U39" t="s">
        <v>140</v>
      </c>
      <c r="V39" t="s">
        <v>47</v>
      </c>
      <c r="W39" t="s">
        <v>151</v>
      </c>
      <c r="X39" t="s">
        <v>95</v>
      </c>
      <c r="Y39" t="s">
        <v>47</v>
      </c>
      <c r="Z39" t="s">
        <v>552</v>
      </c>
      <c r="AA39" t="s">
        <v>54</v>
      </c>
      <c r="AB39" t="s">
        <v>47</v>
      </c>
      <c r="AC39" t="s">
        <v>220</v>
      </c>
      <c r="AD39" t="s">
        <v>157</v>
      </c>
      <c r="AE39"/>
      <c r="AF39" t="s">
        <v>47</v>
      </c>
      <c r="AG39" t="s">
        <v>47</v>
      </c>
      <c r="AH39" t="s">
        <v>47</v>
      </c>
      <c r="AI39" t="s">
        <v>47</v>
      </c>
      <c r="AJ39"/>
      <c r="AK39"/>
      <c r="AL39" t="s">
        <v>47</v>
      </c>
      <c r="AM39"/>
      <c r="AN39" t="s">
        <v>60</v>
      </c>
      <c r="AO39" t="s">
        <v>47</v>
      </c>
      <c r="AP39" t="s">
        <v>959</v>
      </c>
      <c r="AQ39" t="s">
        <v>959</v>
      </c>
      <c r="AR39">
        <v>400</v>
      </c>
      <c r="AS39">
        <v>0.88</v>
      </c>
      <c r="AT39"/>
      <c r="AU39"/>
      <c r="AV39" t="s">
        <v>47</v>
      </c>
      <c r="AW39" t="s">
        <v>142</v>
      </c>
      <c r="AX39">
        <v>6</v>
      </c>
      <c r="AY39">
        <v>6</v>
      </c>
      <c r="AZ39"/>
      <c r="BA39"/>
      <c r="BB39"/>
      <c r="BC39">
        <v>0</v>
      </c>
      <c r="BD39">
        <v>0</v>
      </c>
      <c r="BE39" t="s">
        <v>47</v>
      </c>
      <c r="BF39"/>
      <c r="BG39"/>
      <c r="BH39"/>
      <c r="BI39">
        <v>0</v>
      </c>
      <c r="BJ39">
        <v>0</v>
      </c>
      <c r="BK39"/>
      <c r="BL39"/>
      <c r="BM39" t="s">
        <v>47</v>
      </c>
      <c r="BN39"/>
      <c r="BO39" t="s">
        <v>224</v>
      </c>
      <c r="BP39" t="s">
        <v>47</v>
      </c>
      <c r="BQ39" t="s">
        <v>47</v>
      </c>
      <c r="BR39"/>
      <c r="BS39" t="s">
        <v>225</v>
      </c>
      <c r="BT39" t="s">
        <v>963</v>
      </c>
      <c r="BU39" t="s">
        <v>47</v>
      </c>
      <c r="BV39"/>
      <c r="BW39" t="s">
        <v>47</v>
      </c>
      <c r="BX39" t="s">
        <v>47</v>
      </c>
      <c r="BY39" t="s">
        <v>47</v>
      </c>
      <c r="BZ39" t="s">
        <v>47</v>
      </c>
      <c r="CA39" t="s">
        <v>47</v>
      </c>
      <c r="CB39" t="s">
        <v>47</v>
      </c>
      <c r="CC39" t="s">
        <v>47</v>
      </c>
      <c r="CD39" t="s">
        <v>47</v>
      </c>
      <c r="CE39" t="s">
        <v>47</v>
      </c>
      <c r="CF39" t="s">
        <v>47</v>
      </c>
      <c r="CG39" t="s">
        <v>47</v>
      </c>
      <c r="CH39" t="s">
        <v>47</v>
      </c>
      <c r="CI39" t="s">
        <v>47</v>
      </c>
      <c r="CJ39" t="s">
        <v>47</v>
      </c>
      <c r="CK39"/>
    </row>
    <row r="40" spans="1:89" s="7" customFormat="1" x14ac:dyDescent="0.25">
      <c r="A40" t="s">
        <v>1435</v>
      </c>
      <c r="B40" t="s">
        <v>1390</v>
      </c>
      <c r="C40" t="s">
        <v>1239</v>
      </c>
      <c r="D40" t="s">
        <v>1600</v>
      </c>
      <c r="E40">
        <v>120</v>
      </c>
      <c r="F40" t="s">
        <v>946</v>
      </c>
      <c r="G40">
        <v>1197</v>
      </c>
      <c r="H40" s="9">
        <v>3.5</v>
      </c>
      <c r="I40" t="s">
        <v>946</v>
      </c>
      <c r="J40" t="s">
        <v>947</v>
      </c>
      <c r="K40" t="s">
        <v>1601</v>
      </c>
      <c r="L40" t="s">
        <v>1602</v>
      </c>
      <c r="M40" s="10" t="str">
        <f>HYPERLINK(cna_product_database_catalog_website[[#This Row],[Spec Sheet Link]], cna_product_database_catalog_website[[#Headers],[Spec Sheet Link]])</f>
        <v>Spec Sheet Link</v>
      </c>
      <c r="N40" t="s">
        <v>46</v>
      </c>
      <c r="O40">
        <v>1</v>
      </c>
      <c r="P40">
        <v>1</v>
      </c>
      <c r="Q40" t="s">
        <v>955</v>
      </c>
      <c r="R40" t="s">
        <v>50</v>
      </c>
      <c r="S40" t="s">
        <v>956</v>
      </c>
      <c r="T40" t="s">
        <v>206</v>
      </c>
      <c r="U40" t="s">
        <v>140</v>
      </c>
      <c r="V40" t="s">
        <v>47</v>
      </c>
      <c r="W40" t="s">
        <v>151</v>
      </c>
      <c r="X40" t="s">
        <v>95</v>
      </c>
      <c r="Y40" t="s">
        <v>47</v>
      </c>
      <c r="Z40" t="s">
        <v>552</v>
      </c>
      <c r="AA40" t="s">
        <v>54</v>
      </c>
      <c r="AB40" t="s">
        <v>47</v>
      </c>
      <c r="AC40" t="s">
        <v>220</v>
      </c>
      <c r="AD40" t="s">
        <v>157</v>
      </c>
      <c r="AE40"/>
      <c r="AF40" t="s">
        <v>47</v>
      </c>
      <c r="AG40" t="s">
        <v>47</v>
      </c>
      <c r="AH40" t="s">
        <v>47</v>
      </c>
      <c r="AI40" t="s">
        <v>47</v>
      </c>
      <c r="AJ40"/>
      <c r="AK40"/>
      <c r="AL40" t="s">
        <v>47</v>
      </c>
      <c r="AM40"/>
      <c r="AN40" t="s">
        <v>958</v>
      </c>
      <c r="AO40" t="s">
        <v>47</v>
      </c>
      <c r="AP40" t="s">
        <v>957</v>
      </c>
      <c r="AQ40" t="s">
        <v>957</v>
      </c>
      <c r="AR40"/>
      <c r="AS40"/>
      <c r="AT40"/>
      <c r="AU40"/>
      <c r="AV40" t="s">
        <v>47</v>
      </c>
      <c r="AW40" t="s">
        <v>142</v>
      </c>
      <c r="AX40">
        <v>6</v>
      </c>
      <c r="AY40">
        <v>6</v>
      </c>
      <c r="AZ40"/>
      <c r="BA40"/>
      <c r="BB40"/>
      <c r="BC40">
        <v>0</v>
      </c>
      <c r="BD40">
        <v>0</v>
      </c>
      <c r="BE40" t="s">
        <v>47</v>
      </c>
      <c r="BF40"/>
      <c r="BG40"/>
      <c r="BH40"/>
      <c r="BI40">
        <v>0</v>
      </c>
      <c r="BJ40">
        <v>0</v>
      </c>
      <c r="BK40"/>
      <c r="BL40"/>
      <c r="BM40" t="s">
        <v>47</v>
      </c>
      <c r="BN40"/>
      <c r="BO40" t="s">
        <v>221</v>
      </c>
      <c r="BP40" t="s">
        <v>47</v>
      </c>
      <c r="BQ40" t="s">
        <v>47</v>
      </c>
      <c r="BR40"/>
      <c r="BS40" t="s">
        <v>225</v>
      </c>
      <c r="BT40" t="s">
        <v>963</v>
      </c>
      <c r="BU40" t="s">
        <v>47</v>
      </c>
      <c r="BV40"/>
      <c r="BW40" t="s">
        <v>47</v>
      </c>
      <c r="BX40" t="s">
        <v>47</v>
      </c>
      <c r="BY40" t="s">
        <v>47</v>
      </c>
      <c r="BZ40" t="s">
        <v>47</v>
      </c>
      <c r="CA40" t="s">
        <v>47</v>
      </c>
      <c r="CB40" t="s">
        <v>47</v>
      </c>
      <c r="CC40" t="s">
        <v>47</v>
      </c>
      <c r="CD40" t="s">
        <v>47</v>
      </c>
      <c r="CE40" t="s">
        <v>47</v>
      </c>
      <c r="CF40" t="s">
        <v>47</v>
      </c>
      <c r="CG40" t="s">
        <v>47</v>
      </c>
      <c r="CH40" t="s">
        <v>47</v>
      </c>
      <c r="CI40" t="s">
        <v>47</v>
      </c>
      <c r="CJ40" t="s">
        <v>47</v>
      </c>
      <c r="CK40"/>
    </row>
    <row r="41" spans="1:89" s="7" customFormat="1" x14ac:dyDescent="0.25">
      <c r="A41" t="s">
        <v>1435</v>
      </c>
      <c r="B41" t="s">
        <v>1390</v>
      </c>
      <c r="C41" t="s">
        <v>1240</v>
      </c>
      <c r="D41" t="s">
        <v>1603</v>
      </c>
      <c r="E41">
        <v>125</v>
      </c>
      <c r="F41" t="s">
        <v>929</v>
      </c>
      <c r="G41">
        <v>1172</v>
      </c>
      <c r="H41" s="9">
        <v>3.75</v>
      </c>
      <c r="I41" t="s">
        <v>929</v>
      </c>
      <c r="J41" t="s">
        <v>941</v>
      </c>
      <c r="K41" t="s">
        <v>1604</v>
      </c>
      <c r="L41" t="s">
        <v>1597</v>
      </c>
      <c r="M41" s="10" t="str">
        <f>HYPERLINK(cna_product_database_catalog_website[[#This Row],[Spec Sheet Link]], cna_product_database_catalog_website[[#Headers],[Spec Sheet Link]])</f>
        <v>Spec Sheet Link</v>
      </c>
      <c r="N41" t="s">
        <v>46</v>
      </c>
      <c r="O41">
        <v>1</v>
      </c>
      <c r="P41">
        <v>1</v>
      </c>
      <c r="Q41" t="s">
        <v>955</v>
      </c>
      <c r="R41" t="s">
        <v>50</v>
      </c>
      <c r="S41" t="s">
        <v>956</v>
      </c>
      <c r="T41" t="s">
        <v>206</v>
      </c>
      <c r="U41" t="s">
        <v>140</v>
      </c>
      <c r="V41" t="s">
        <v>47</v>
      </c>
      <c r="W41" t="s">
        <v>151</v>
      </c>
      <c r="X41" t="s">
        <v>95</v>
      </c>
      <c r="Y41" t="s">
        <v>47</v>
      </c>
      <c r="Z41" t="s">
        <v>552</v>
      </c>
      <c r="AA41" t="s">
        <v>54</v>
      </c>
      <c r="AB41" t="s">
        <v>47</v>
      </c>
      <c r="AC41" t="s">
        <v>220</v>
      </c>
      <c r="AD41" t="s">
        <v>157</v>
      </c>
      <c r="AE41"/>
      <c r="AF41" t="s">
        <v>47</v>
      </c>
      <c r="AG41" t="s">
        <v>47</v>
      </c>
      <c r="AH41" t="s">
        <v>47</v>
      </c>
      <c r="AI41" t="s">
        <v>47</v>
      </c>
      <c r="AJ41"/>
      <c r="AK41"/>
      <c r="AL41" t="s">
        <v>47</v>
      </c>
      <c r="AM41"/>
      <c r="AN41" t="s">
        <v>958</v>
      </c>
      <c r="AO41" t="s">
        <v>47</v>
      </c>
      <c r="AP41" t="s">
        <v>957</v>
      </c>
      <c r="AQ41" t="s">
        <v>957</v>
      </c>
      <c r="AR41"/>
      <c r="AS41"/>
      <c r="AT41"/>
      <c r="AU41"/>
      <c r="AV41" t="s">
        <v>47</v>
      </c>
      <c r="AW41" t="s">
        <v>142</v>
      </c>
      <c r="AX41">
        <v>6</v>
      </c>
      <c r="AY41">
        <v>6</v>
      </c>
      <c r="AZ41"/>
      <c r="BA41"/>
      <c r="BB41"/>
      <c r="BC41">
        <v>0</v>
      </c>
      <c r="BD41">
        <v>0</v>
      </c>
      <c r="BE41" t="s">
        <v>47</v>
      </c>
      <c r="BF41"/>
      <c r="BG41"/>
      <c r="BH41"/>
      <c r="BI41">
        <v>0</v>
      </c>
      <c r="BJ41">
        <v>0</v>
      </c>
      <c r="BK41"/>
      <c r="BL41"/>
      <c r="BM41" t="s">
        <v>47</v>
      </c>
      <c r="BN41"/>
      <c r="BO41" t="s">
        <v>224</v>
      </c>
      <c r="BP41" t="s">
        <v>47</v>
      </c>
      <c r="BQ41" t="s">
        <v>47</v>
      </c>
      <c r="BR41"/>
      <c r="BS41" t="s">
        <v>225</v>
      </c>
      <c r="BT41" t="s">
        <v>963</v>
      </c>
      <c r="BU41" t="s">
        <v>47</v>
      </c>
      <c r="BV41"/>
      <c r="BW41" t="s">
        <v>47</v>
      </c>
      <c r="BX41" t="s">
        <v>47</v>
      </c>
      <c r="BY41" t="s">
        <v>47</v>
      </c>
      <c r="BZ41" t="s">
        <v>47</v>
      </c>
      <c r="CA41" t="s">
        <v>47</v>
      </c>
      <c r="CB41" t="s">
        <v>47</v>
      </c>
      <c r="CC41" t="s">
        <v>47</v>
      </c>
      <c r="CD41" t="s">
        <v>47</v>
      </c>
      <c r="CE41" t="s">
        <v>47</v>
      </c>
      <c r="CF41" t="s">
        <v>47</v>
      </c>
      <c r="CG41" t="s">
        <v>47</v>
      </c>
      <c r="CH41" t="s">
        <v>47</v>
      </c>
      <c r="CI41" t="s">
        <v>47</v>
      </c>
      <c r="CJ41" t="s">
        <v>47</v>
      </c>
      <c r="CK41"/>
    </row>
    <row r="42" spans="1:89" s="7" customFormat="1" x14ac:dyDescent="0.25">
      <c r="A42" t="s">
        <v>1435</v>
      </c>
      <c r="B42" t="s">
        <v>1391</v>
      </c>
      <c r="C42" t="s">
        <v>1114</v>
      </c>
      <c r="D42" t="s">
        <v>1605</v>
      </c>
      <c r="E42">
        <v>135</v>
      </c>
      <c r="F42" t="s">
        <v>82</v>
      </c>
      <c r="G42">
        <v>831</v>
      </c>
      <c r="H42" s="9">
        <v>3.5</v>
      </c>
      <c r="I42" t="s">
        <v>82</v>
      </c>
      <c r="J42" t="s">
        <v>82</v>
      </c>
      <c r="K42" t="s">
        <v>1606</v>
      </c>
      <c r="L42" t="s">
        <v>1607</v>
      </c>
      <c r="M42" s="10" t="str">
        <f>HYPERLINK(cna_product_database_catalog_website[[#This Row],[Spec Sheet Link]], cna_product_database_catalog_website[[#Headers],[Spec Sheet Link]])</f>
        <v>Spec Sheet Link</v>
      </c>
      <c r="N42" t="s">
        <v>46</v>
      </c>
      <c r="O42">
        <v>1</v>
      </c>
      <c r="P42">
        <v>1</v>
      </c>
      <c r="Q42" t="s">
        <v>485</v>
      </c>
      <c r="R42" t="s">
        <v>50</v>
      </c>
      <c r="S42" t="s">
        <v>1014</v>
      </c>
      <c r="T42" t="s">
        <v>1258</v>
      </c>
      <c r="U42" t="s">
        <v>140</v>
      </c>
      <c r="V42"/>
      <c r="W42" t="s">
        <v>151</v>
      </c>
      <c r="X42" t="s">
        <v>1259</v>
      </c>
      <c r="Y42" t="s">
        <v>558</v>
      </c>
      <c r="Z42">
        <v>80</v>
      </c>
      <c r="AA42" t="s">
        <v>54</v>
      </c>
      <c r="AB42" t="s">
        <v>589</v>
      </c>
      <c r="AC42" t="s">
        <v>220</v>
      </c>
      <c r="AD42" t="s">
        <v>157</v>
      </c>
      <c r="AE42"/>
      <c r="AF42"/>
      <c r="AG42"/>
      <c r="AH42"/>
      <c r="AI42"/>
      <c r="AJ42"/>
      <c r="AK42"/>
      <c r="AL42"/>
      <c r="AM42" t="s">
        <v>1263</v>
      </c>
      <c r="AN42" t="s">
        <v>1264</v>
      </c>
      <c r="AO42" t="s">
        <v>1260</v>
      </c>
      <c r="AP42" t="s">
        <v>1261</v>
      </c>
      <c r="AQ42" t="s">
        <v>1262</v>
      </c>
      <c r="AR42"/>
      <c r="AS42"/>
      <c r="AT42"/>
      <c r="AU42"/>
      <c r="AV42"/>
      <c r="AW42" t="s">
        <v>142</v>
      </c>
      <c r="AX42">
        <v>5</v>
      </c>
      <c r="AY42">
        <v>5</v>
      </c>
      <c r="AZ42"/>
      <c r="BA42"/>
      <c r="BB42"/>
      <c r="BC42">
        <v>0</v>
      </c>
      <c r="BD42">
        <v>0</v>
      </c>
      <c r="BE42"/>
      <c r="BF42"/>
      <c r="BG42"/>
      <c r="BH42"/>
      <c r="BI42">
        <v>0</v>
      </c>
      <c r="BJ42">
        <v>0</v>
      </c>
      <c r="BK42"/>
      <c r="BL42"/>
      <c r="BM42"/>
      <c r="BN42"/>
      <c r="BO42" t="s">
        <v>1265</v>
      </c>
      <c r="BP42"/>
      <c r="BQ42"/>
      <c r="BR42"/>
      <c r="BS42" t="s">
        <v>225</v>
      </c>
      <c r="BT42" t="s">
        <v>963</v>
      </c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</row>
    <row r="43" spans="1:89" s="7" customFormat="1" x14ac:dyDescent="0.25">
      <c r="A43" t="s">
        <v>1435</v>
      </c>
      <c r="B43" t="s">
        <v>1391</v>
      </c>
      <c r="C43" t="s">
        <v>1241</v>
      </c>
      <c r="D43" t="s">
        <v>1608</v>
      </c>
      <c r="E43">
        <v>140</v>
      </c>
      <c r="F43" t="s">
        <v>601</v>
      </c>
      <c r="G43">
        <v>1050</v>
      </c>
      <c r="H43" s="9">
        <v>2.5</v>
      </c>
      <c r="I43" t="s">
        <v>601</v>
      </c>
      <c r="J43" t="s">
        <v>601</v>
      </c>
      <c r="K43" t="s">
        <v>1609</v>
      </c>
      <c r="L43" t="s">
        <v>1610</v>
      </c>
      <c r="M43" s="10" t="str">
        <f>HYPERLINK(cna_product_database_catalog_website[[#This Row],[Spec Sheet Link]], cna_product_database_catalog_website[[#Headers],[Spec Sheet Link]])</f>
        <v>Spec Sheet Link</v>
      </c>
      <c r="N43" t="s">
        <v>46</v>
      </c>
      <c r="O43">
        <v>1</v>
      </c>
      <c r="P43">
        <v>1</v>
      </c>
      <c r="Q43" t="s">
        <v>485</v>
      </c>
      <c r="R43" t="s">
        <v>50</v>
      </c>
      <c r="S43" t="s">
        <v>1256</v>
      </c>
      <c r="T43" t="s">
        <v>1258</v>
      </c>
      <c r="U43" t="s">
        <v>140</v>
      </c>
      <c r="V43"/>
      <c r="W43" t="s">
        <v>151</v>
      </c>
      <c r="X43" t="s">
        <v>1259</v>
      </c>
      <c r="Y43" t="s">
        <v>558</v>
      </c>
      <c r="Z43">
        <v>80</v>
      </c>
      <c r="AA43" t="s">
        <v>54</v>
      </c>
      <c r="AB43" t="s">
        <v>589</v>
      </c>
      <c r="AC43" t="s">
        <v>220</v>
      </c>
      <c r="AD43" t="s">
        <v>157</v>
      </c>
      <c r="AE43"/>
      <c r="AF43"/>
      <c r="AG43"/>
      <c r="AH43"/>
      <c r="AI43"/>
      <c r="AJ43"/>
      <c r="AK43"/>
      <c r="AL43"/>
      <c r="AM43" t="s">
        <v>1263</v>
      </c>
      <c r="AN43" t="s">
        <v>1264</v>
      </c>
      <c r="AO43" t="s">
        <v>1260</v>
      </c>
      <c r="AP43" t="s">
        <v>1261</v>
      </c>
      <c r="AQ43" t="s">
        <v>1262</v>
      </c>
      <c r="AR43"/>
      <c r="AS43"/>
      <c r="AT43"/>
      <c r="AU43"/>
      <c r="AV43"/>
      <c r="AW43" t="s">
        <v>142</v>
      </c>
      <c r="AX43">
        <v>5</v>
      </c>
      <c r="AY43">
        <v>5</v>
      </c>
      <c r="AZ43"/>
      <c r="BA43"/>
      <c r="BB43"/>
      <c r="BC43">
        <v>0</v>
      </c>
      <c r="BD43">
        <v>0</v>
      </c>
      <c r="BE43"/>
      <c r="BF43"/>
      <c r="BG43"/>
      <c r="BH43"/>
      <c r="BI43">
        <v>0</v>
      </c>
      <c r="BJ43">
        <v>0</v>
      </c>
      <c r="BK43"/>
      <c r="BL43"/>
      <c r="BM43"/>
      <c r="BN43"/>
      <c r="BO43" t="s">
        <v>1266</v>
      </c>
      <c r="BP43"/>
      <c r="BQ43"/>
      <c r="BR43"/>
      <c r="BS43" t="s">
        <v>225</v>
      </c>
      <c r="BT43" t="s">
        <v>963</v>
      </c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</row>
    <row r="44" spans="1:89" s="7" customFormat="1" x14ac:dyDescent="0.25">
      <c r="A44" t="s">
        <v>1435</v>
      </c>
      <c r="B44" t="s">
        <v>1391</v>
      </c>
      <c r="C44" t="s">
        <v>1242</v>
      </c>
      <c r="D44" t="s">
        <v>1611</v>
      </c>
      <c r="E44">
        <v>141</v>
      </c>
      <c r="F44" t="s">
        <v>620</v>
      </c>
      <c r="G44">
        <v>1137</v>
      </c>
      <c r="H44" s="9">
        <v>2.5</v>
      </c>
      <c r="I44" t="s">
        <v>620</v>
      </c>
      <c r="J44" t="s">
        <v>620</v>
      </c>
      <c r="K44" t="s">
        <v>1612</v>
      </c>
      <c r="L44" t="s">
        <v>1613</v>
      </c>
      <c r="M44" s="10" t="str">
        <f>HYPERLINK(cna_product_database_catalog_website[[#This Row],[Spec Sheet Link]], cna_product_database_catalog_website[[#Headers],[Spec Sheet Link]])</f>
        <v>Spec Sheet Link</v>
      </c>
      <c r="N44" t="s">
        <v>46</v>
      </c>
      <c r="O44">
        <v>1</v>
      </c>
      <c r="P44">
        <v>1</v>
      </c>
      <c r="Q44" t="s">
        <v>485</v>
      </c>
      <c r="R44" t="s">
        <v>50</v>
      </c>
      <c r="S44" t="s">
        <v>1257</v>
      </c>
      <c r="T44" t="s">
        <v>1258</v>
      </c>
      <c r="U44" t="s">
        <v>140</v>
      </c>
      <c r="V44"/>
      <c r="W44" t="s">
        <v>151</v>
      </c>
      <c r="X44" t="s">
        <v>1259</v>
      </c>
      <c r="Y44" t="s">
        <v>558</v>
      </c>
      <c r="Z44">
        <v>80</v>
      </c>
      <c r="AA44" t="s">
        <v>54</v>
      </c>
      <c r="AB44" t="s">
        <v>589</v>
      </c>
      <c r="AC44" t="s">
        <v>220</v>
      </c>
      <c r="AD44" t="s">
        <v>157</v>
      </c>
      <c r="AE44"/>
      <c r="AF44"/>
      <c r="AG44"/>
      <c r="AH44"/>
      <c r="AI44"/>
      <c r="AJ44"/>
      <c r="AK44"/>
      <c r="AL44"/>
      <c r="AM44" t="s">
        <v>1263</v>
      </c>
      <c r="AN44" t="s">
        <v>1264</v>
      </c>
      <c r="AO44" t="s">
        <v>1260</v>
      </c>
      <c r="AP44" t="s">
        <v>1261</v>
      </c>
      <c r="AQ44" t="s">
        <v>1262</v>
      </c>
      <c r="AR44"/>
      <c r="AS44"/>
      <c r="AT44"/>
      <c r="AU44"/>
      <c r="AV44"/>
      <c r="AW44" t="s">
        <v>142</v>
      </c>
      <c r="AX44">
        <v>5</v>
      </c>
      <c r="AY44">
        <v>5</v>
      </c>
      <c r="AZ44"/>
      <c r="BA44"/>
      <c r="BB44"/>
      <c r="BC44">
        <v>0</v>
      </c>
      <c r="BD44">
        <v>0</v>
      </c>
      <c r="BE44"/>
      <c r="BF44"/>
      <c r="BG44"/>
      <c r="BH44"/>
      <c r="BI44">
        <v>0</v>
      </c>
      <c r="BJ44">
        <v>0</v>
      </c>
      <c r="BK44"/>
      <c r="BL44"/>
      <c r="BM44"/>
      <c r="BN44"/>
      <c r="BO44" t="s">
        <v>1267</v>
      </c>
      <c r="BP44"/>
      <c r="BQ44"/>
      <c r="BR44"/>
      <c r="BS44" t="s">
        <v>225</v>
      </c>
      <c r="BT44" t="s">
        <v>963</v>
      </c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</row>
    <row r="45" spans="1:89" s="7" customFormat="1" x14ac:dyDescent="0.25">
      <c r="A45" t="s">
        <v>1435</v>
      </c>
      <c r="B45" t="s">
        <v>1391</v>
      </c>
      <c r="C45" t="s">
        <v>1243</v>
      </c>
      <c r="D45" t="s">
        <v>1614</v>
      </c>
      <c r="E45">
        <v>145</v>
      </c>
      <c r="F45" t="s">
        <v>602</v>
      </c>
      <c r="G45">
        <v>1046</v>
      </c>
      <c r="H45" s="9">
        <v>7.25</v>
      </c>
      <c r="I45" t="s">
        <v>602</v>
      </c>
      <c r="J45" t="s">
        <v>602</v>
      </c>
      <c r="K45" t="s">
        <v>1615</v>
      </c>
      <c r="L45" t="s">
        <v>1616</v>
      </c>
      <c r="M45" s="10" t="str">
        <f>HYPERLINK(cna_product_database_catalog_website[[#This Row],[Spec Sheet Link]], cna_product_database_catalog_website[[#Headers],[Spec Sheet Link]])</f>
        <v>Spec Sheet Link</v>
      </c>
      <c r="N45" t="s">
        <v>46</v>
      </c>
      <c r="O45">
        <v>1</v>
      </c>
      <c r="P45">
        <v>1</v>
      </c>
      <c r="Q45" t="s">
        <v>125</v>
      </c>
      <c r="R45" t="s">
        <v>50</v>
      </c>
      <c r="S45" t="s">
        <v>114</v>
      </c>
      <c r="T45" t="s">
        <v>194</v>
      </c>
      <c r="U45" t="s">
        <v>140</v>
      </c>
      <c r="V45" t="s">
        <v>47</v>
      </c>
      <c r="W45" t="s">
        <v>151</v>
      </c>
      <c r="X45" t="s">
        <v>63</v>
      </c>
      <c r="Y45" t="s">
        <v>47</v>
      </c>
      <c r="Z45" t="s">
        <v>552</v>
      </c>
      <c r="AA45" t="s">
        <v>69</v>
      </c>
      <c r="AB45" t="s">
        <v>589</v>
      </c>
      <c r="AC45" t="s">
        <v>220</v>
      </c>
      <c r="AD45" t="s">
        <v>157</v>
      </c>
      <c r="AE45"/>
      <c r="AF45" t="s">
        <v>47</v>
      </c>
      <c r="AG45" t="s">
        <v>47</v>
      </c>
      <c r="AH45" t="s">
        <v>47</v>
      </c>
      <c r="AI45" t="s">
        <v>47</v>
      </c>
      <c r="AJ45"/>
      <c r="AK45"/>
      <c r="AL45" t="s">
        <v>47</v>
      </c>
      <c r="AM45"/>
      <c r="AN45"/>
      <c r="AO45" t="s">
        <v>47</v>
      </c>
      <c r="AP45" t="s">
        <v>47</v>
      </c>
      <c r="AQ45" t="s">
        <v>47</v>
      </c>
      <c r="AR45"/>
      <c r="AS45"/>
      <c r="AT45"/>
      <c r="AU45"/>
      <c r="AV45" t="s">
        <v>47</v>
      </c>
      <c r="AW45" t="s">
        <v>142</v>
      </c>
      <c r="AX45">
        <v>20</v>
      </c>
      <c r="AY45">
        <v>20</v>
      </c>
      <c r="AZ45"/>
      <c r="BA45"/>
      <c r="BB45"/>
      <c r="BC45">
        <v>0</v>
      </c>
      <c r="BD45">
        <v>0</v>
      </c>
      <c r="BE45" t="s">
        <v>47</v>
      </c>
      <c r="BF45"/>
      <c r="BG45"/>
      <c r="BH45"/>
      <c r="BI45">
        <v>0</v>
      </c>
      <c r="BJ45">
        <v>0</v>
      </c>
      <c r="BK45"/>
      <c r="BL45"/>
      <c r="BM45" t="s">
        <v>47</v>
      </c>
      <c r="BN45" t="s">
        <v>47</v>
      </c>
      <c r="BO45" t="s">
        <v>197</v>
      </c>
      <c r="BP45" t="s">
        <v>47</v>
      </c>
      <c r="BQ45" t="s">
        <v>47</v>
      </c>
      <c r="BR45"/>
      <c r="BS45" t="s">
        <v>47</v>
      </c>
      <c r="BT45" t="s">
        <v>47</v>
      </c>
      <c r="BU45" t="s">
        <v>47</v>
      </c>
      <c r="BV45"/>
      <c r="BW45" t="s">
        <v>47</v>
      </c>
      <c r="BX45" t="s">
        <v>47</v>
      </c>
      <c r="BY45" t="s">
        <v>47</v>
      </c>
      <c r="BZ45" t="s">
        <v>32</v>
      </c>
      <c r="CA45" t="s">
        <v>1099</v>
      </c>
      <c r="CB45" t="s">
        <v>47</v>
      </c>
      <c r="CC45" t="s">
        <v>47</v>
      </c>
      <c r="CD45" t="s">
        <v>47</v>
      </c>
      <c r="CE45" t="s">
        <v>47</v>
      </c>
      <c r="CF45" t="s">
        <v>47</v>
      </c>
      <c r="CG45" t="s">
        <v>47</v>
      </c>
      <c r="CH45" t="s">
        <v>47</v>
      </c>
      <c r="CI45" t="s">
        <v>47</v>
      </c>
      <c r="CJ45" t="s">
        <v>47</v>
      </c>
      <c r="CK45"/>
    </row>
    <row r="46" spans="1:89" s="7" customFormat="1" x14ac:dyDescent="0.25">
      <c r="A46" t="s">
        <v>1435</v>
      </c>
      <c r="B46" t="s">
        <v>1392</v>
      </c>
      <c r="C46" t="s">
        <v>1245</v>
      </c>
      <c r="D46" t="s">
        <v>1617</v>
      </c>
      <c r="E46">
        <v>150</v>
      </c>
      <c r="F46" t="s">
        <v>107</v>
      </c>
      <c r="G46">
        <v>899</v>
      </c>
      <c r="H46" s="9">
        <v>5.5</v>
      </c>
      <c r="I46" t="s">
        <v>107</v>
      </c>
      <c r="J46" t="s">
        <v>107</v>
      </c>
      <c r="K46" t="s">
        <v>1618</v>
      </c>
      <c r="L46" t="s">
        <v>1619</v>
      </c>
      <c r="M46" s="10" t="str">
        <f>HYPERLINK(cna_product_database_catalog_website[[#This Row],[Spec Sheet Link]], cna_product_database_catalog_website[[#Headers],[Spec Sheet Link]])</f>
        <v>Spec Sheet Link</v>
      </c>
      <c r="N46" t="s">
        <v>46</v>
      </c>
      <c r="O46">
        <v>1</v>
      </c>
      <c r="P46">
        <v>1</v>
      </c>
      <c r="Q46" t="s">
        <v>299</v>
      </c>
      <c r="R46" t="s">
        <v>50</v>
      </c>
      <c r="S46" t="s">
        <v>1094</v>
      </c>
      <c r="T46" t="s">
        <v>611</v>
      </c>
      <c r="U46" t="s">
        <v>140</v>
      </c>
      <c r="V46" t="s">
        <v>47</v>
      </c>
      <c r="W46" t="s">
        <v>151</v>
      </c>
      <c r="X46" t="s">
        <v>95</v>
      </c>
      <c r="Y46" t="s">
        <v>558</v>
      </c>
      <c r="Z46">
        <v>80</v>
      </c>
      <c r="AA46" t="s">
        <v>69</v>
      </c>
      <c r="AB46" t="s">
        <v>589</v>
      </c>
      <c r="AC46" t="s">
        <v>220</v>
      </c>
      <c r="AD46" t="s">
        <v>157</v>
      </c>
      <c r="AE46"/>
      <c r="AF46" t="s">
        <v>47</v>
      </c>
      <c r="AG46" t="s">
        <v>47</v>
      </c>
      <c r="AH46" t="s">
        <v>47</v>
      </c>
      <c r="AI46" t="s">
        <v>47</v>
      </c>
      <c r="AJ46"/>
      <c r="AK46"/>
      <c r="AL46" t="s">
        <v>47</v>
      </c>
      <c r="AM46" t="s">
        <v>80</v>
      </c>
      <c r="AN46" t="s">
        <v>81</v>
      </c>
      <c r="AO46" t="s">
        <v>1095</v>
      </c>
      <c r="AP46" t="s">
        <v>1096</v>
      </c>
      <c r="AQ46" t="s">
        <v>47</v>
      </c>
      <c r="AR46"/>
      <c r="AS46"/>
      <c r="AT46"/>
      <c r="AU46"/>
      <c r="AV46" t="s">
        <v>47</v>
      </c>
      <c r="AW46" t="s">
        <v>276</v>
      </c>
      <c r="AX46">
        <v>20</v>
      </c>
      <c r="AY46">
        <v>20</v>
      </c>
      <c r="AZ46"/>
      <c r="BA46"/>
      <c r="BB46"/>
      <c r="BC46">
        <v>0</v>
      </c>
      <c r="BD46">
        <v>0</v>
      </c>
      <c r="BE46" t="s">
        <v>47</v>
      </c>
      <c r="BF46"/>
      <c r="BG46"/>
      <c r="BH46"/>
      <c r="BI46">
        <v>0</v>
      </c>
      <c r="BJ46">
        <v>0</v>
      </c>
      <c r="BK46"/>
      <c r="BL46"/>
      <c r="BM46" t="s">
        <v>47</v>
      </c>
      <c r="BN46" t="s">
        <v>47</v>
      </c>
      <c r="BO46" t="s">
        <v>197</v>
      </c>
      <c r="BP46" t="s">
        <v>47</v>
      </c>
      <c r="BQ46" t="s">
        <v>47</v>
      </c>
      <c r="BR46"/>
      <c r="BS46" t="s">
        <v>47</v>
      </c>
      <c r="BT46" t="s">
        <v>47</v>
      </c>
      <c r="BU46" t="s">
        <v>47</v>
      </c>
      <c r="BV46"/>
      <c r="BW46" t="s">
        <v>47</v>
      </c>
      <c r="BX46" t="s">
        <v>47</v>
      </c>
      <c r="BY46" t="s">
        <v>47</v>
      </c>
      <c r="BZ46" t="s">
        <v>1097</v>
      </c>
      <c r="CA46" t="s">
        <v>1098</v>
      </c>
      <c r="CB46" t="s">
        <v>47</v>
      </c>
      <c r="CC46" t="s">
        <v>47</v>
      </c>
      <c r="CD46" t="s">
        <v>47</v>
      </c>
      <c r="CE46" t="s">
        <v>47</v>
      </c>
      <c r="CF46" t="s">
        <v>47</v>
      </c>
      <c r="CG46" t="s">
        <v>47</v>
      </c>
      <c r="CH46" t="s">
        <v>47</v>
      </c>
      <c r="CI46" t="s">
        <v>47</v>
      </c>
      <c r="CJ46" t="s">
        <v>47</v>
      </c>
      <c r="CK46"/>
    </row>
    <row r="47" spans="1:89" s="7" customFormat="1" x14ac:dyDescent="0.25">
      <c r="A47" t="s">
        <v>1435</v>
      </c>
      <c r="B47" t="s">
        <v>1392</v>
      </c>
      <c r="C47" t="s">
        <v>1246</v>
      </c>
      <c r="D47" t="s">
        <v>1620</v>
      </c>
      <c r="E47">
        <v>151</v>
      </c>
      <c r="F47" t="s">
        <v>110</v>
      </c>
      <c r="G47">
        <v>929</v>
      </c>
      <c r="H47" s="9">
        <v>5.5</v>
      </c>
      <c r="I47" t="s">
        <v>110</v>
      </c>
      <c r="J47" t="s">
        <v>110</v>
      </c>
      <c r="K47" t="s">
        <v>1621</v>
      </c>
      <c r="L47" t="s">
        <v>1622</v>
      </c>
      <c r="M47" s="10" t="str">
        <f>HYPERLINK(cna_product_database_catalog_website[[#This Row],[Spec Sheet Link]], cna_product_database_catalog_website[[#Headers],[Spec Sheet Link]])</f>
        <v>Spec Sheet Link</v>
      </c>
      <c r="N47" t="s">
        <v>46</v>
      </c>
      <c r="O47">
        <v>1</v>
      </c>
      <c r="P47">
        <v>1</v>
      </c>
      <c r="Q47" t="s">
        <v>125</v>
      </c>
      <c r="R47" t="s">
        <v>50</v>
      </c>
      <c r="S47" t="s">
        <v>114</v>
      </c>
      <c r="T47" t="s">
        <v>194</v>
      </c>
      <c r="U47" t="s">
        <v>140</v>
      </c>
      <c r="V47" t="s">
        <v>47</v>
      </c>
      <c r="W47" t="s">
        <v>209</v>
      </c>
      <c r="X47" t="s">
        <v>63</v>
      </c>
      <c r="Y47" t="s">
        <v>556</v>
      </c>
      <c r="Z47" t="s">
        <v>552</v>
      </c>
      <c r="AA47" t="s">
        <v>196</v>
      </c>
      <c r="AB47" t="s">
        <v>555</v>
      </c>
      <c r="AC47" t="s">
        <v>155</v>
      </c>
      <c r="AD47" t="s">
        <v>157</v>
      </c>
      <c r="AE47"/>
      <c r="AF47" t="s">
        <v>47</v>
      </c>
      <c r="AG47" t="s">
        <v>1038</v>
      </c>
      <c r="AH47" t="s">
        <v>163</v>
      </c>
      <c r="AI47" t="s">
        <v>47</v>
      </c>
      <c r="AJ47" t="s">
        <v>1038</v>
      </c>
      <c r="AK47" t="s">
        <v>163</v>
      </c>
      <c r="AL47" t="s">
        <v>47</v>
      </c>
      <c r="AM47" t="s">
        <v>1040</v>
      </c>
      <c r="AN47" t="s">
        <v>634</v>
      </c>
      <c r="AO47" t="s">
        <v>47</v>
      </c>
      <c r="AP47" t="s">
        <v>47</v>
      </c>
      <c r="AQ47"/>
      <c r="AR47">
        <v>410</v>
      </c>
      <c r="AS47">
        <v>0.9</v>
      </c>
      <c r="AT47"/>
      <c r="AU47"/>
      <c r="AV47" t="s">
        <v>47</v>
      </c>
      <c r="AW47" t="s">
        <v>142</v>
      </c>
      <c r="AX47">
        <v>20</v>
      </c>
      <c r="AY47">
        <v>20</v>
      </c>
      <c r="AZ47"/>
      <c r="BA47"/>
      <c r="BB47"/>
      <c r="BC47">
        <v>0</v>
      </c>
      <c r="BD47">
        <v>0</v>
      </c>
      <c r="BE47" t="s">
        <v>47</v>
      </c>
      <c r="BF47"/>
      <c r="BG47"/>
      <c r="BH47"/>
      <c r="BI47">
        <v>0</v>
      </c>
      <c r="BJ47">
        <v>0</v>
      </c>
      <c r="BK47"/>
      <c r="BL47"/>
      <c r="BM47" t="s">
        <v>47</v>
      </c>
      <c r="BN47" t="s">
        <v>196</v>
      </c>
      <c r="BO47" t="s">
        <v>197</v>
      </c>
      <c r="BP47" t="s">
        <v>47</v>
      </c>
      <c r="BQ47" t="s">
        <v>47</v>
      </c>
      <c r="BR47"/>
      <c r="BS47" t="s">
        <v>198</v>
      </c>
      <c r="BT47" t="s">
        <v>47</v>
      </c>
      <c r="BU47" t="s">
        <v>47</v>
      </c>
      <c r="BV47"/>
      <c r="BW47" t="s">
        <v>47</v>
      </c>
      <c r="BX47" t="s">
        <v>47</v>
      </c>
      <c r="BY47" t="s">
        <v>47</v>
      </c>
      <c r="BZ47" t="s">
        <v>47</v>
      </c>
      <c r="CA47" t="s">
        <v>47</v>
      </c>
      <c r="CB47" t="s">
        <v>47</v>
      </c>
      <c r="CC47" t="s">
        <v>47</v>
      </c>
      <c r="CD47" t="s">
        <v>47</v>
      </c>
      <c r="CE47" t="s">
        <v>47</v>
      </c>
      <c r="CF47" t="s">
        <v>47</v>
      </c>
      <c r="CG47" t="s">
        <v>47</v>
      </c>
      <c r="CH47" t="s">
        <v>47</v>
      </c>
      <c r="CI47" t="s">
        <v>47</v>
      </c>
      <c r="CJ47" t="s">
        <v>47</v>
      </c>
      <c r="CK47"/>
    </row>
    <row r="48" spans="1:89" s="7" customFormat="1" x14ac:dyDescent="0.25">
      <c r="A48" t="s">
        <v>1435</v>
      </c>
      <c r="B48" t="s">
        <v>1392</v>
      </c>
      <c r="C48" t="s">
        <v>1126</v>
      </c>
      <c r="D48" t="s">
        <v>1623</v>
      </c>
      <c r="E48">
        <v>152</v>
      </c>
      <c r="F48" t="s">
        <v>111</v>
      </c>
      <c r="G48">
        <v>878</v>
      </c>
      <c r="H48" s="9">
        <v>2.5</v>
      </c>
      <c r="I48" t="s">
        <v>111</v>
      </c>
      <c r="J48" t="s">
        <v>111</v>
      </c>
      <c r="K48" t="s">
        <v>1624</v>
      </c>
      <c r="L48" t="s">
        <v>1625</v>
      </c>
      <c r="M48" s="10" t="str">
        <f>HYPERLINK(cna_product_database_catalog_website[[#This Row],[Spec Sheet Link]], cna_product_database_catalog_website[[#Headers],[Spec Sheet Link]])</f>
        <v>Spec Sheet Link</v>
      </c>
      <c r="N48" t="s">
        <v>46</v>
      </c>
      <c r="O48">
        <v>1</v>
      </c>
      <c r="P48">
        <v>1</v>
      </c>
      <c r="Q48" t="s">
        <v>129</v>
      </c>
      <c r="R48" t="s">
        <v>50</v>
      </c>
      <c r="S48" t="s">
        <v>199</v>
      </c>
      <c r="T48" t="s">
        <v>194</v>
      </c>
      <c r="U48" t="s">
        <v>140</v>
      </c>
      <c r="V48" t="s">
        <v>47</v>
      </c>
      <c r="W48" t="s">
        <v>195</v>
      </c>
      <c r="X48" t="s">
        <v>63</v>
      </c>
      <c r="Y48" t="s">
        <v>556</v>
      </c>
      <c r="Z48" t="s">
        <v>552</v>
      </c>
      <c r="AA48" t="s">
        <v>196</v>
      </c>
      <c r="AB48" t="s">
        <v>555</v>
      </c>
      <c r="AC48" t="s">
        <v>155</v>
      </c>
      <c r="AD48" t="s">
        <v>157</v>
      </c>
      <c r="AE48"/>
      <c r="AF48" t="s">
        <v>47</v>
      </c>
      <c r="AG48" t="s">
        <v>1039</v>
      </c>
      <c r="AH48" t="s">
        <v>190</v>
      </c>
      <c r="AI48" t="s">
        <v>47</v>
      </c>
      <c r="AJ48" t="s">
        <v>1039</v>
      </c>
      <c r="AK48" t="s">
        <v>190</v>
      </c>
      <c r="AL48" t="s">
        <v>47</v>
      </c>
      <c r="AM48"/>
      <c r="AN48" t="s">
        <v>190</v>
      </c>
      <c r="AO48" t="s">
        <v>47</v>
      </c>
      <c r="AP48" t="s">
        <v>47</v>
      </c>
      <c r="AQ48" t="s">
        <v>47</v>
      </c>
      <c r="AR48">
        <v>35</v>
      </c>
      <c r="AS48">
        <v>0.08</v>
      </c>
      <c r="AT48"/>
      <c r="AU48"/>
      <c r="AV48" t="s">
        <v>47</v>
      </c>
      <c r="AW48" t="s">
        <v>142</v>
      </c>
      <c r="AX48">
        <v>20</v>
      </c>
      <c r="AY48">
        <v>20</v>
      </c>
      <c r="AZ48"/>
      <c r="BA48"/>
      <c r="BB48"/>
      <c r="BC48">
        <v>0</v>
      </c>
      <c r="BD48">
        <v>0</v>
      </c>
      <c r="BE48" t="s">
        <v>47</v>
      </c>
      <c r="BF48"/>
      <c r="BG48"/>
      <c r="BH48"/>
      <c r="BI48">
        <v>0</v>
      </c>
      <c r="BJ48">
        <v>0</v>
      </c>
      <c r="BK48"/>
      <c r="BL48"/>
      <c r="BM48" t="s">
        <v>47</v>
      </c>
      <c r="BN48" t="s">
        <v>196</v>
      </c>
      <c r="BO48" t="s">
        <v>197</v>
      </c>
      <c r="BP48" t="s">
        <v>47</v>
      </c>
      <c r="BQ48" t="s">
        <v>47</v>
      </c>
      <c r="BR48"/>
      <c r="BS48" t="s">
        <v>198</v>
      </c>
      <c r="BT48" t="s">
        <v>47</v>
      </c>
      <c r="BU48" t="s">
        <v>47</v>
      </c>
      <c r="BV48"/>
      <c r="BW48" t="s">
        <v>47</v>
      </c>
      <c r="BX48" t="s">
        <v>47</v>
      </c>
      <c r="BY48" t="s">
        <v>47</v>
      </c>
      <c r="BZ48" t="s">
        <v>47</v>
      </c>
      <c r="CA48" t="s">
        <v>47</v>
      </c>
      <c r="CB48" t="s">
        <v>47</v>
      </c>
      <c r="CC48" t="s">
        <v>47</v>
      </c>
      <c r="CD48" t="s">
        <v>47</v>
      </c>
      <c r="CE48" t="s">
        <v>47</v>
      </c>
      <c r="CF48" t="s">
        <v>47</v>
      </c>
      <c r="CG48" t="s">
        <v>47</v>
      </c>
      <c r="CH48" t="s">
        <v>47</v>
      </c>
      <c r="CI48" t="s">
        <v>47</v>
      </c>
      <c r="CJ48" t="s">
        <v>47</v>
      </c>
      <c r="CK48"/>
    </row>
    <row r="49" spans="1:89" s="7" customFormat="1" x14ac:dyDescent="0.25">
      <c r="A49" t="s">
        <v>1435</v>
      </c>
      <c r="B49" t="s">
        <v>1392</v>
      </c>
      <c r="C49" t="s">
        <v>1125</v>
      </c>
      <c r="D49" t="s">
        <v>1626</v>
      </c>
      <c r="E49">
        <v>153</v>
      </c>
      <c r="F49" t="s">
        <v>113</v>
      </c>
      <c r="G49">
        <v>879</v>
      </c>
      <c r="H49" s="9">
        <v>2.5</v>
      </c>
      <c r="I49" t="s">
        <v>113</v>
      </c>
      <c r="J49" t="s">
        <v>113</v>
      </c>
      <c r="K49" t="s">
        <v>1627</v>
      </c>
      <c r="L49" t="s">
        <v>1625</v>
      </c>
      <c r="M49" s="10" t="str">
        <f>HYPERLINK(cna_product_database_catalog_website[[#This Row],[Spec Sheet Link]], cna_product_database_catalog_website[[#Headers],[Spec Sheet Link]])</f>
        <v>Spec Sheet Link</v>
      </c>
      <c r="N49" t="s">
        <v>46</v>
      </c>
      <c r="O49">
        <v>1</v>
      </c>
      <c r="P49">
        <v>1</v>
      </c>
      <c r="Q49"/>
      <c r="R49"/>
      <c r="S49"/>
      <c r="T49"/>
      <c r="U49"/>
      <c r="V49"/>
      <c r="W49"/>
      <c r="X49"/>
      <c r="Y49"/>
      <c r="Z49" t="s">
        <v>47</v>
      </c>
      <c r="AA49" t="s">
        <v>47</v>
      </c>
      <c r="AB49" t="s">
        <v>47</v>
      </c>
      <c r="AC49" t="s">
        <v>47</v>
      </c>
      <c r="AD49" t="s">
        <v>47</v>
      </c>
      <c r="AE49"/>
      <c r="AF49" t="s">
        <v>47</v>
      </c>
      <c r="AG49" t="s">
        <v>47</v>
      </c>
      <c r="AH49" t="s">
        <v>47</v>
      </c>
      <c r="AI49" t="s">
        <v>47</v>
      </c>
      <c r="AJ49"/>
      <c r="AK49"/>
      <c r="AL49" t="s">
        <v>47</v>
      </c>
      <c r="AM49"/>
      <c r="AN49"/>
      <c r="AO49" t="s">
        <v>47</v>
      </c>
      <c r="AP49" t="s">
        <v>47</v>
      </c>
      <c r="AQ49" t="s">
        <v>47</v>
      </c>
      <c r="AR49"/>
      <c r="AS49"/>
      <c r="AT49"/>
      <c r="AU49"/>
      <c r="AV49" t="s">
        <v>47</v>
      </c>
      <c r="AW49" t="s">
        <v>47</v>
      </c>
      <c r="AX49">
        <v>50</v>
      </c>
      <c r="AY49">
        <v>50</v>
      </c>
      <c r="AZ49"/>
      <c r="BA49"/>
      <c r="BB49"/>
      <c r="BC49">
        <v>0</v>
      </c>
      <c r="BD49">
        <v>0</v>
      </c>
      <c r="BE49" t="s">
        <v>47</v>
      </c>
      <c r="BF49"/>
      <c r="BG49"/>
      <c r="BH49"/>
      <c r="BI49">
        <v>0</v>
      </c>
      <c r="BJ49">
        <v>0</v>
      </c>
      <c r="BK49"/>
      <c r="BL49"/>
      <c r="BM49" t="s">
        <v>47</v>
      </c>
      <c r="BN49"/>
      <c r="BO49" t="s">
        <v>683</v>
      </c>
      <c r="BP49" t="s">
        <v>47</v>
      </c>
      <c r="BQ49" t="s">
        <v>47</v>
      </c>
      <c r="BR49"/>
      <c r="BS49" t="s">
        <v>47</v>
      </c>
      <c r="BT49" t="s">
        <v>47</v>
      </c>
      <c r="BU49" t="s">
        <v>47</v>
      </c>
      <c r="BV49"/>
      <c r="BW49" t="s">
        <v>47</v>
      </c>
      <c r="BX49" t="s">
        <v>47</v>
      </c>
      <c r="BY49" t="s">
        <v>47</v>
      </c>
      <c r="BZ49" t="s">
        <v>47</v>
      </c>
      <c r="CA49" t="s">
        <v>47</v>
      </c>
      <c r="CB49" t="s">
        <v>47</v>
      </c>
      <c r="CC49" t="s">
        <v>47</v>
      </c>
      <c r="CD49" t="s">
        <v>47</v>
      </c>
      <c r="CE49" t="s">
        <v>47</v>
      </c>
      <c r="CF49" t="s">
        <v>47</v>
      </c>
      <c r="CG49" t="s">
        <v>47</v>
      </c>
      <c r="CH49" t="s">
        <v>47</v>
      </c>
      <c r="CI49" t="s">
        <v>47</v>
      </c>
      <c r="CJ49" t="s">
        <v>47</v>
      </c>
      <c r="CK49"/>
    </row>
    <row r="50" spans="1:89" s="7" customFormat="1" x14ac:dyDescent="0.25">
      <c r="A50" t="s">
        <v>1435</v>
      </c>
      <c r="B50" t="s">
        <v>1392</v>
      </c>
      <c r="C50" t="s">
        <v>1127</v>
      </c>
      <c r="D50" t="s">
        <v>1628</v>
      </c>
      <c r="E50">
        <v>154</v>
      </c>
      <c r="F50" t="s">
        <v>614</v>
      </c>
      <c r="G50">
        <v>1080</v>
      </c>
      <c r="H50" s="9">
        <v>2.5</v>
      </c>
      <c r="I50" t="s">
        <v>614</v>
      </c>
      <c r="J50" t="s">
        <v>614</v>
      </c>
      <c r="K50" t="s">
        <v>1627</v>
      </c>
      <c r="L50" t="s">
        <v>1625</v>
      </c>
      <c r="M50" s="10" t="str">
        <f>HYPERLINK(cna_product_database_catalog_website[[#This Row],[Spec Sheet Link]], cna_product_database_catalog_website[[#Headers],[Spec Sheet Link]])</f>
        <v>Spec Sheet Link</v>
      </c>
      <c r="N50" t="s">
        <v>46</v>
      </c>
      <c r="O50">
        <v>1</v>
      </c>
      <c r="P50">
        <v>1</v>
      </c>
      <c r="Q50" t="s">
        <v>92</v>
      </c>
      <c r="R50" t="s">
        <v>50</v>
      </c>
      <c r="S50" t="s">
        <v>144</v>
      </c>
      <c r="T50" t="s">
        <v>141</v>
      </c>
      <c r="U50" t="s">
        <v>145</v>
      </c>
      <c r="V50" t="s">
        <v>47</v>
      </c>
      <c r="W50"/>
      <c r="X50"/>
      <c r="Y50"/>
      <c r="Z50" t="s">
        <v>47</v>
      </c>
      <c r="AA50" t="s">
        <v>47</v>
      </c>
      <c r="AB50" t="s">
        <v>47</v>
      </c>
      <c r="AC50" t="s">
        <v>47</v>
      </c>
      <c r="AD50" t="s">
        <v>47</v>
      </c>
      <c r="AE50"/>
      <c r="AF50" t="s">
        <v>47</v>
      </c>
      <c r="AG50" t="s">
        <v>47</v>
      </c>
      <c r="AH50" t="s">
        <v>47</v>
      </c>
      <c r="AI50" t="s">
        <v>47</v>
      </c>
      <c r="AJ50"/>
      <c r="AK50"/>
      <c r="AL50" t="s">
        <v>47</v>
      </c>
      <c r="AM50"/>
      <c r="AN50"/>
      <c r="AO50" t="s">
        <v>47</v>
      </c>
      <c r="AP50" t="s">
        <v>47</v>
      </c>
      <c r="AQ50" t="s">
        <v>47</v>
      </c>
      <c r="AR50"/>
      <c r="AS50"/>
      <c r="AT50"/>
      <c r="AU50"/>
      <c r="AV50" t="s">
        <v>47</v>
      </c>
      <c r="AW50" t="s">
        <v>47</v>
      </c>
      <c r="AX50">
        <v>50</v>
      </c>
      <c r="AY50">
        <v>50</v>
      </c>
      <c r="AZ50"/>
      <c r="BA50"/>
      <c r="BB50"/>
      <c r="BC50">
        <v>0</v>
      </c>
      <c r="BD50">
        <v>0</v>
      </c>
      <c r="BE50" t="s">
        <v>47</v>
      </c>
      <c r="BF50"/>
      <c r="BG50"/>
      <c r="BH50"/>
      <c r="BI50">
        <v>0</v>
      </c>
      <c r="BJ50">
        <v>0</v>
      </c>
      <c r="BK50"/>
      <c r="BL50"/>
      <c r="BM50" t="s">
        <v>47</v>
      </c>
      <c r="BN50"/>
      <c r="BO50" t="s">
        <v>221</v>
      </c>
      <c r="BP50" t="s">
        <v>47</v>
      </c>
      <c r="BQ50" t="s">
        <v>47</v>
      </c>
      <c r="BR50"/>
      <c r="BS50" t="s">
        <v>47</v>
      </c>
      <c r="BT50" t="s">
        <v>47</v>
      </c>
      <c r="BU50" t="s">
        <v>47</v>
      </c>
      <c r="BV50"/>
      <c r="BW50" t="s">
        <v>47</v>
      </c>
      <c r="BX50" t="s">
        <v>47</v>
      </c>
      <c r="BY50" t="s">
        <v>47</v>
      </c>
      <c r="BZ50" t="s">
        <v>47</v>
      </c>
      <c r="CA50" t="s">
        <v>47</v>
      </c>
      <c r="CB50" t="s">
        <v>47</v>
      </c>
      <c r="CC50" t="s">
        <v>47</v>
      </c>
      <c r="CD50" t="s">
        <v>47</v>
      </c>
      <c r="CE50" t="s">
        <v>47</v>
      </c>
      <c r="CF50" t="s">
        <v>47</v>
      </c>
      <c r="CG50" t="s">
        <v>47</v>
      </c>
      <c r="CH50" t="s">
        <v>47</v>
      </c>
      <c r="CI50" t="s">
        <v>47</v>
      </c>
      <c r="CJ50" t="s">
        <v>47</v>
      </c>
      <c r="CK50"/>
    </row>
    <row r="51" spans="1:89" s="7" customFormat="1" x14ac:dyDescent="0.25">
      <c r="A51" t="s">
        <v>1435</v>
      </c>
      <c r="B51" t="s">
        <v>1392</v>
      </c>
      <c r="C51" t="s">
        <v>1128</v>
      </c>
      <c r="D51" t="s">
        <v>1629</v>
      </c>
      <c r="E51">
        <v>160</v>
      </c>
      <c r="F51" t="s">
        <v>1294</v>
      </c>
      <c r="G51">
        <v>1179</v>
      </c>
      <c r="H51" s="9">
        <v>2.8</v>
      </c>
      <c r="I51" t="s">
        <v>1294</v>
      </c>
      <c r="J51" t="s">
        <v>949</v>
      </c>
      <c r="K51" t="s">
        <v>1630</v>
      </c>
      <c r="L51" t="s">
        <v>1631</v>
      </c>
      <c r="M51" s="10" t="str">
        <f>HYPERLINK(cna_product_database_catalog_website[[#This Row],[Spec Sheet Link]], cna_product_database_catalog_website[[#Headers],[Spec Sheet Link]])</f>
        <v>Spec Sheet Link</v>
      </c>
      <c r="N51" t="s">
        <v>46</v>
      </c>
      <c r="O51">
        <v>1</v>
      </c>
      <c r="P51">
        <v>1</v>
      </c>
      <c r="Q51" t="s">
        <v>92</v>
      </c>
      <c r="R51" t="s">
        <v>50</v>
      </c>
      <c r="S51" t="s">
        <v>144</v>
      </c>
      <c r="T51" t="s">
        <v>141</v>
      </c>
      <c r="U51" t="s">
        <v>145</v>
      </c>
      <c r="V51" t="s">
        <v>47</v>
      </c>
      <c r="W51" t="s">
        <v>680</v>
      </c>
      <c r="X51"/>
      <c r="Y51"/>
      <c r="Z51" t="s">
        <v>47</v>
      </c>
      <c r="AA51" t="s">
        <v>47</v>
      </c>
      <c r="AB51" t="s">
        <v>47</v>
      </c>
      <c r="AC51" t="s">
        <v>47</v>
      </c>
      <c r="AD51" t="s">
        <v>47</v>
      </c>
      <c r="AE51"/>
      <c r="AF51" t="s">
        <v>47</v>
      </c>
      <c r="AG51" t="s">
        <v>47</v>
      </c>
      <c r="AH51" t="s">
        <v>47</v>
      </c>
      <c r="AI51" t="s">
        <v>47</v>
      </c>
      <c r="AJ51"/>
      <c r="AK51"/>
      <c r="AL51" t="s">
        <v>47</v>
      </c>
      <c r="AM51"/>
      <c r="AN51"/>
      <c r="AO51" t="s">
        <v>47</v>
      </c>
      <c r="AP51" t="s">
        <v>47</v>
      </c>
      <c r="AQ51" t="s">
        <v>47</v>
      </c>
      <c r="AR51">
        <v>1600</v>
      </c>
      <c r="AS51">
        <v>3.53</v>
      </c>
      <c r="AT51"/>
      <c r="AU51"/>
      <c r="AV51" t="s">
        <v>47</v>
      </c>
      <c r="AW51" t="s">
        <v>47</v>
      </c>
      <c r="AX51">
        <v>50</v>
      </c>
      <c r="AY51">
        <v>50</v>
      </c>
      <c r="AZ51"/>
      <c r="BA51"/>
      <c r="BB51"/>
      <c r="BC51">
        <v>0</v>
      </c>
      <c r="BD51">
        <v>0</v>
      </c>
      <c r="BE51" t="s">
        <v>47</v>
      </c>
      <c r="BF51"/>
      <c r="BG51"/>
      <c r="BH51"/>
      <c r="BI51">
        <v>0</v>
      </c>
      <c r="BJ51">
        <v>0</v>
      </c>
      <c r="BK51"/>
      <c r="BL51"/>
      <c r="BM51" t="s">
        <v>47</v>
      </c>
      <c r="BN51"/>
      <c r="BO51" t="s">
        <v>47</v>
      </c>
      <c r="BP51" t="s">
        <v>47</v>
      </c>
      <c r="BQ51" t="s">
        <v>47</v>
      </c>
      <c r="BR51"/>
      <c r="BS51" t="s">
        <v>47</v>
      </c>
      <c r="BT51" t="s">
        <v>47</v>
      </c>
      <c r="BU51" t="s">
        <v>47</v>
      </c>
      <c r="BV51"/>
      <c r="BW51" t="s">
        <v>47</v>
      </c>
      <c r="BX51" t="s">
        <v>47</v>
      </c>
      <c r="BY51" t="s">
        <v>47</v>
      </c>
      <c r="BZ51" t="s">
        <v>47</v>
      </c>
      <c r="CA51" t="s">
        <v>47</v>
      </c>
      <c r="CB51" t="s">
        <v>47</v>
      </c>
      <c r="CC51" t="s">
        <v>47</v>
      </c>
      <c r="CD51" t="s">
        <v>47</v>
      </c>
      <c r="CE51" t="s">
        <v>47</v>
      </c>
      <c r="CF51" t="s">
        <v>47</v>
      </c>
      <c r="CG51" t="s">
        <v>47</v>
      </c>
      <c r="CH51" t="s">
        <v>47</v>
      </c>
      <c r="CI51" t="s">
        <v>47</v>
      </c>
      <c r="CJ51" t="s">
        <v>47</v>
      </c>
      <c r="CK51"/>
    </row>
    <row r="52" spans="1:89" s="7" customFormat="1" x14ac:dyDescent="0.25">
      <c r="A52" t="s">
        <v>1435</v>
      </c>
      <c r="B52" t="s">
        <v>1392</v>
      </c>
      <c r="C52" t="s">
        <v>1129</v>
      </c>
      <c r="D52" t="s">
        <v>1632</v>
      </c>
      <c r="E52">
        <v>161</v>
      </c>
      <c r="F52" t="s">
        <v>1295</v>
      </c>
      <c r="G52">
        <v>1180</v>
      </c>
      <c r="H52" s="9">
        <v>2.8</v>
      </c>
      <c r="I52" t="s">
        <v>1295</v>
      </c>
      <c r="J52" t="s">
        <v>950</v>
      </c>
      <c r="K52" t="s">
        <v>1630</v>
      </c>
      <c r="L52" t="s">
        <v>1631</v>
      </c>
      <c r="M52" s="10" t="str">
        <f>HYPERLINK(cna_product_database_catalog_website[[#This Row],[Spec Sheet Link]], cna_product_database_catalog_website[[#Headers],[Spec Sheet Link]])</f>
        <v>Spec Sheet Link</v>
      </c>
      <c r="N52" t="s">
        <v>46</v>
      </c>
      <c r="O52">
        <v>1</v>
      </c>
      <c r="P52">
        <v>1</v>
      </c>
      <c r="Q52" t="s">
        <v>47</v>
      </c>
      <c r="R52" t="s">
        <v>47</v>
      </c>
      <c r="S52" t="s">
        <v>47</v>
      </c>
      <c r="T52" t="s">
        <v>47</v>
      </c>
      <c r="U52" t="s">
        <v>47</v>
      </c>
      <c r="V52" t="s">
        <v>47</v>
      </c>
      <c r="W52" t="s">
        <v>47</v>
      </c>
      <c r="X52" t="s">
        <v>47</v>
      </c>
      <c r="Y52" t="s">
        <v>47</v>
      </c>
      <c r="Z52" t="s">
        <v>47</v>
      </c>
      <c r="AA52" t="s">
        <v>47</v>
      </c>
      <c r="AB52" t="s">
        <v>47</v>
      </c>
      <c r="AC52" t="s">
        <v>47</v>
      </c>
      <c r="AD52" t="s">
        <v>47</v>
      </c>
      <c r="AE52"/>
      <c r="AF52" t="s">
        <v>47</v>
      </c>
      <c r="AG52" t="s">
        <v>47</v>
      </c>
      <c r="AH52" t="s">
        <v>47</v>
      </c>
      <c r="AI52" t="s">
        <v>47</v>
      </c>
      <c r="AJ52"/>
      <c r="AK52"/>
      <c r="AL52" t="s">
        <v>47</v>
      </c>
      <c r="AM52"/>
      <c r="AN52"/>
      <c r="AO52" t="s">
        <v>47</v>
      </c>
      <c r="AP52" t="s">
        <v>47</v>
      </c>
      <c r="AQ52" t="s">
        <v>47</v>
      </c>
      <c r="AR52"/>
      <c r="AS52"/>
      <c r="AT52"/>
      <c r="AU52"/>
      <c r="AV52" t="s">
        <v>47</v>
      </c>
      <c r="AW52" t="s">
        <v>47</v>
      </c>
      <c r="AX52">
        <v>1</v>
      </c>
      <c r="AY52">
        <v>1</v>
      </c>
      <c r="AZ52"/>
      <c r="BA52"/>
      <c r="BB52"/>
      <c r="BC52">
        <v>0</v>
      </c>
      <c r="BD52">
        <v>0</v>
      </c>
      <c r="BE52" t="s">
        <v>47</v>
      </c>
      <c r="BF52"/>
      <c r="BG52"/>
      <c r="BH52"/>
      <c r="BI52">
        <v>0</v>
      </c>
      <c r="BJ52">
        <v>0</v>
      </c>
      <c r="BK52"/>
      <c r="BL52"/>
      <c r="BM52" t="s">
        <v>47</v>
      </c>
      <c r="BN52"/>
      <c r="BO52" t="s">
        <v>47</v>
      </c>
      <c r="BP52" t="s">
        <v>47</v>
      </c>
      <c r="BQ52" t="s">
        <v>47</v>
      </c>
      <c r="BR52"/>
      <c r="BS52" t="s">
        <v>47</v>
      </c>
      <c r="BT52" t="s">
        <v>47</v>
      </c>
      <c r="BU52" t="s">
        <v>47</v>
      </c>
      <c r="BV52"/>
      <c r="BW52" t="s">
        <v>47</v>
      </c>
      <c r="BX52" t="s">
        <v>47</v>
      </c>
      <c r="BY52" t="s">
        <v>47</v>
      </c>
      <c r="BZ52" t="s">
        <v>47</v>
      </c>
      <c r="CA52" t="s">
        <v>47</v>
      </c>
      <c r="CB52" t="s">
        <v>47</v>
      </c>
      <c r="CC52" t="s">
        <v>47</v>
      </c>
      <c r="CD52" t="s">
        <v>47</v>
      </c>
      <c r="CE52" t="s">
        <v>47</v>
      </c>
      <c r="CF52" t="s">
        <v>47</v>
      </c>
      <c r="CG52" t="s">
        <v>47</v>
      </c>
      <c r="CH52" t="s">
        <v>47</v>
      </c>
      <c r="CI52" t="s">
        <v>47</v>
      </c>
      <c r="CJ52" t="s">
        <v>47</v>
      </c>
      <c r="CK52"/>
    </row>
    <row r="53" spans="1:89" s="7" customFormat="1" x14ac:dyDescent="0.25">
      <c r="A53" t="s">
        <v>1435</v>
      </c>
      <c r="B53" t="s">
        <v>1385</v>
      </c>
      <c r="C53" t="s">
        <v>1247</v>
      </c>
      <c r="D53" t="s">
        <v>1633</v>
      </c>
      <c r="E53">
        <v>170</v>
      </c>
      <c r="F53" t="s">
        <v>954</v>
      </c>
      <c r="G53">
        <v>1130</v>
      </c>
      <c r="H53" s="9">
        <v>4.5</v>
      </c>
      <c r="I53" t="s">
        <v>954</v>
      </c>
      <c r="J53" t="s">
        <v>954</v>
      </c>
      <c r="K53" t="s">
        <v>1634</v>
      </c>
      <c r="L53" t="s">
        <v>1635</v>
      </c>
      <c r="M53" s="10" t="str">
        <f>HYPERLINK(cna_product_database_catalog_website[[#This Row],[Spec Sheet Link]], cna_product_database_catalog_website[[#Headers],[Spec Sheet Link]])</f>
        <v>Spec Sheet Link</v>
      </c>
      <c r="N53" t="s">
        <v>46</v>
      </c>
      <c r="O53">
        <v>1</v>
      </c>
      <c r="P53">
        <v>1</v>
      </c>
      <c r="Q53" t="s">
        <v>47</v>
      </c>
      <c r="R53" t="s">
        <v>47</v>
      </c>
      <c r="S53" t="s">
        <v>47</v>
      </c>
      <c r="T53" t="s">
        <v>47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 t="s">
        <v>47</v>
      </c>
      <c r="AA53" t="s">
        <v>47</v>
      </c>
      <c r="AB53" t="s">
        <v>47</v>
      </c>
      <c r="AC53" t="s">
        <v>47</v>
      </c>
      <c r="AD53" t="s">
        <v>47</v>
      </c>
      <c r="AE53"/>
      <c r="AF53" t="s">
        <v>47</v>
      </c>
      <c r="AG53" t="s">
        <v>47</v>
      </c>
      <c r="AH53" t="s">
        <v>47</v>
      </c>
      <c r="AI53" t="s">
        <v>47</v>
      </c>
      <c r="AJ53"/>
      <c r="AK53"/>
      <c r="AL53" t="s">
        <v>47</v>
      </c>
      <c r="AM53"/>
      <c r="AN53"/>
      <c r="AO53" t="s">
        <v>47</v>
      </c>
      <c r="AP53" t="s">
        <v>47</v>
      </c>
      <c r="AQ53" t="s">
        <v>47</v>
      </c>
      <c r="AR53"/>
      <c r="AS53"/>
      <c r="AT53"/>
      <c r="AU53"/>
      <c r="AV53" t="s">
        <v>47</v>
      </c>
      <c r="AW53" t="s">
        <v>47</v>
      </c>
      <c r="AX53">
        <v>1</v>
      </c>
      <c r="AY53">
        <v>1</v>
      </c>
      <c r="AZ53"/>
      <c r="BA53"/>
      <c r="BB53"/>
      <c r="BC53">
        <v>0</v>
      </c>
      <c r="BD53">
        <v>0</v>
      </c>
      <c r="BE53" t="s">
        <v>47</v>
      </c>
      <c r="BF53"/>
      <c r="BG53"/>
      <c r="BH53"/>
      <c r="BI53">
        <v>0</v>
      </c>
      <c r="BJ53">
        <v>0</v>
      </c>
      <c r="BK53"/>
      <c r="BL53"/>
      <c r="BM53" t="s">
        <v>47</v>
      </c>
      <c r="BN53"/>
      <c r="BO53" t="s">
        <v>47</v>
      </c>
      <c r="BP53" t="s">
        <v>47</v>
      </c>
      <c r="BQ53" t="s">
        <v>47</v>
      </c>
      <c r="BR53"/>
      <c r="BS53" t="s">
        <v>47</v>
      </c>
      <c r="BT53" t="s">
        <v>47</v>
      </c>
      <c r="BU53" t="s">
        <v>47</v>
      </c>
      <c r="BV53"/>
      <c r="BW53" t="s">
        <v>47</v>
      </c>
      <c r="BX53" t="s">
        <v>47</v>
      </c>
      <c r="BY53" t="s">
        <v>47</v>
      </c>
      <c r="BZ53" t="s">
        <v>47</v>
      </c>
      <c r="CA53" t="s">
        <v>47</v>
      </c>
      <c r="CB53" t="s">
        <v>47</v>
      </c>
      <c r="CC53" t="s">
        <v>47</v>
      </c>
      <c r="CD53" t="s">
        <v>47</v>
      </c>
      <c r="CE53" t="s">
        <v>47</v>
      </c>
      <c r="CF53" t="s">
        <v>47</v>
      </c>
      <c r="CG53" t="s">
        <v>47</v>
      </c>
      <c r="CH53" t="s">
        <v>47</v>
      </c>
      <c r="CI53" t="s">
        <v>47</v>
      </c>
      <c r="CJ53" t="s">
        <v>47</v>
      </c>
      <c r="CK53"/>
    </row>
    <row r="54" spans="1:89" s="7" customFormat="1" x14ac:dyDescent="0.25">
      <c r="A54" t="s">
        <v>1435</v>
      </c>
      <c r="B54" t="s">
        <v>1385</v>
      </c>
      <c r="C54" t="s">
        <v>1248</v>
      </c>
      <c r="D54" t="s">
        <v>1636</v>
      </c>
      <c r="E54">
        <v>171</v>
      </c>
      <c r="F54" t="s">
        <v>953</v>
      </c>
      <c r="G54">
        <v>1131</v>
      </c>
      <c r="H54" s="9">
        <v>4.5</v>
      </c>
      <c r="I54" t="s">
        <v>953</v>
      </c>
      <c r="J54" t="s">
        <v>953</v>
      </c>
      <c r="K54" t="s">
        <v>1637</v>
      </c>
      <c r="L54" t="s">
        <v>1638</v>
      </c>
      <c r="M54" s="10" t="str">
        <f>HYPERLINK(cna_product_database_catalog_website[[#This Row],[Spec Sheet Link]], cna_product_database_catalog_website[[#Headers],[Spec Sheet Link]])</f>
        <v>Spec Sheet Link</v>
      </c>
      <c r="N54" t="s">
        <v>46</v>
      </c>
      <c r="O54">
        <v>1</v>
      </c>
      <c r="P54">
        <v>1</v>
      </c>
      <c r="Q54" t="s">
        <v>406</v>
      </c>
      <c r="R54" t="s">
        <v>50</v>
      </c>
      <c r="S54" t="s">
        <v>1014</v>
      </c>
      <c r="T54" t="s">
        <v>217</v>
      </c>
      <c r="U54" t="s">
        <v>140</v>
      </c>
      <c r="V54"/>
      <c r="W54" t="s">
        <v>151</v>
      </c>
      <c r="X54" t="s">
        <v>95</v>
      </c>
      <c r="Y54"/>
      <c r="Z54">
        <v>80</v>
      </c>
      <c r="AA54" t="s">
        <v>54</v>
      </c>
      <c r="AB54"/>
      <c r="AC54" t="s">
        <v>220</v>
      </c>
      <c r="AD54" t="s">
        <v>157</v>
      </c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</row>
    <row r="55" spans="1:89" s="7" customFormat="1" x14ac:dyDescent="0.25">
      <c r="A55" t="s">
        <v>1435</v>
      </c>
      <c r="B55" t="s">
        <v>1385</v>
      </c>
      <c r="C55" t="s">
        <v>1249</v>
      </c>
      <c r="D55" t="s">
        <v>1639</v>
      </c>
      <c r="E55">
        <v>175</v>
      </c>
      <c r="F55" t="s">
        <v>116</v>
      </c>
      <c r="G55">
        <v>956</v>
      </c>
      <c r="H55" s="9">
        <v>7.5</v>
      </c>
      <c r="I55" t="s">
        <v>116</v>
      </c>
      <c r="J55" t="s">
        <v>116</v>
      </c>
      <c r="K55" t="s">
        <v>1640</v>
      </c>
      <c r="L55" t="s">
        <v>1641</v>
      </c>
      <c r="M55" s="10" t="str">
        <f>HYPERLINK(cna_product_database_catalog_website[[#This Row],[Spec Sheet Link]], cna_product_database_catalog_website[[#Headers],[Spec Sheet Link]])</f>
        <v>Spec Sheet Link</v>
      </c>
      <c r="N55" t="s">
        <v>46</v>
      </c>
      <c r="O55">
        <v>1</v>
      </c>
      <c r="P55">
        <v>1</v>
      </c>
      <c r="Q55" t="s">
        <v>406</v>
      </c>
      <c r="R55" t="s">
        <v>50</v>
      </c>
      <c r="S55" t="s">
        <v>1014</v>
      </c>
      <c r="T55" t="s">
        <v>217</v>
      </c>
      <c r="U55" t="s">
        <v>140</v>
      </c>
      <c r="V55"/>
      <c r="W55" t="s">
        <v>151</v>
      </c>
      <c r="X55" t="s">
        <v>95</v>
      </c>
      <c r="Y55"/>
      <c r="Z55">
        <v>80</v>
      </c>
      <c r="AA55" t="s">
        <v>54</v>
      </c>
      <c r="AB55"/>
      <c r="AC55" t="s">
        <v>220</v>
      </c>
      <c r="AD55" t="s">
        <v>157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</row>
    <row r="56" spans="1:89" s="7" customFormat="1" x14ac:dyDescent="0.25">
      <c r="A56" t="s">
        <v>1435</v>
      </c>
      <c r="B56" t="s">
        <v>1385</v>
      </c>
      <c r="C56" t="s">
        <v>1250</v>
      </c>
      <c r="D56" t="s">
        <v>1642</v>
      </c>
      <c r="E56">
        <v>176</v>
      </c>
      <c r="F56" t="s">
        <v>117</v>
      </c>
      <c r="G56">
        <v>957</v>
      </c>
      <c r="H56" s="9">
        <v>7.5</v>
      </c>
      <c r="I56" t="s">
        <v>117</v>
      </c>
      <c r="J56" t="s">
        <v>117</v>
      </c>
      <c r="K56" t="s">
        <v>1640</v>
      </c>
      <c r="L56" t="s">
        <v>1641</v>
      </c>
      <c r="M56" s="10" t="str">
        <f>HYPERLINK(cna_product_database_catalog_website[[#This Row],[Spec Sheet Link]], cna_product_database_catalog_website[[#Headers],[Spec Sheet Link]])</f>
        <v>Spec Sheet Link</v>
      </c>
      <c r="N56" t="s">
        <v>46</v>
      </c>
      <c r="O56">
        <v>1</v>
      </c>
      <c r="P56">
        <v>1</v>
      </c>
      <c r="Q56" t="s">
        <v>203</v>
      </c>
      <c r="R56" t="s">
        <v>50</v>
      </c>
      <c r="S56" t="s">
        <v>1843</v>
      </c>
      <c r="T56" t="s">
        <v>613</v>
      </c>
      <c r="U56" t="s">
        <v>140</v>
      </c>
      <c r="V56"/>
      <c r="W56" t="s">
        <v>151</v>
      </c>
      <c r="X56" t="s">
        <v>95</v>
      </c>
      <c r="Y56"/>
      <c r="Z56">
        <v>80</v>
      </c>
      <c r="AA56" t="s">
        <v>54</v>
      </c>
      <c r="AB56"/>
      <c r="AC56" t="s">
        <v>220</v>
      </c>
      <c r="AD56" t="s">
        <v>157</v>
      </c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</row>
    <row r="57" spans="1:89" s="7" customFormat="1" x14ac:dyDescent="0.25">
      <c r="A57" t="s">
        <v>1435</v>
      </c>
      <c r="B57" t="s">
        <v>1385</v>
      </c>
      <c r="C57" t="s">
        <v>1251</v>
      </c>
      <c r="D57" t="s">
        <v>1643</v>
      </c>
      <c r="E57">
        <v>180</v>
      </c>
      <c r="F57" t="s">
        <v>118</v>
      </c>
      <c r="G57">
        <v>981</v>
      </c>
      <c r="H57" s="9">
        <v>9.9</v>
      </c>
      <c r="I57" t="s">
        <v>118</v>
      </c>
      <c r="J57" t="s">
        <v>118</v>
      </c>
      <c r="K57" t="s">
        <v>1644</v>
      </c>
      <c r="L57" t="s">
        <v>1645</v>
      </c>
      <c r="M57" s="10" t="str">
        <f>HYPERLINK(cna_product_database_catalog_website[[#This Row],[Spec Sheet Link]], cna_product_database_catalog_website[[#Headers],[Spec Sheet Link]])</f>
        <v>Spec Sheet Link</v>
      </c>
      <c r="N57" t="s">
        <v>46</v>
      </c>
      <c r="O57">
        <v>1</v>
      </c>
      <c r="P57">
        <v>1</v>
      </c>
      <c r="Q57" t="s">
        <v>203</v>
      </c>
      <c r="R57" t="s">
        <v>50</v>
      </c>
      <c r="S57" t="s">
        <v>1843</v>
      </c>
      <c r="T57" t="s">
        <v>613</v>
      </c>
      <c r="U57" t="s">
        <v>140</v>
      </c>
      <c r="V57"/>
      <c r="W57" t="s">
        <v>151</v>
      </c>
      <c r="X57" t="s">
        <v>95</v>
      </c>
      <c r="Y57"/>
      <c r="Z57">
        <v>80</v>
      </c>
      <c r="AA57" t="s">
        <v>54</v>
      </c>
      <c r="AB57"/>
      <c r="AC57" t="s">
        <v>220</v>
      </c>
      <c r="AD57" t="s">
        <v>157</v>
      </c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</row>
    <row r="58" spans="1:89" s="7" customFormat="1" x14ac:dyDescent="0.25">
      <c r="A58" t="s">
        <v>1435</v>
      </c>
      <c r="B58" t="s">
        <v>1385</v>
      </c>
      <c r="C58" t="s">
        <v>1252</v>
      </c>
      <c r="D58" t="s">
        <v>1646</v>
      </c>
      <c r="E58">
        <v>182</v>
      </c>
      <c r="F58" t="s">
        <v>952</v>
      </c>
      <c r="G58">
        <v>1132</v>
      </c>
      <c r="H58" s="9">
        <v>9.9</v>
      </c>
      <c r="I58" t="s">
        <v>952</v>
      </c>
      <c r="J58" t="s">
        <v>952</v>
      </c>
      <c r="K58" t="s">
        <v>1644</v>
      </c>
      <c r="L58" t="s">
        <v>1645</v>
      </c>
      <c r="M58" s="10" t="str">
        <f>HYPERLINK(cna_product_database_catalog_website[[#This Row],[Spec Sheet Link]], cna_product_database_catalog_website[[#Headers],[Spec Sheet Link]])</f>
        <v>Spec Sheet Link</v>
      </c>
      <c r="N58" t="s">
        <v>46</v>
      </c>
      <c r="O58">
        <v>1</v>
      </c>
      <c r="P58">
        <v>1</v>
      </c>
      <c r="Q58" t="s">
        <v>980</v>
      </c>
      <c r="R58" t="s">
        <v>291</v>
      </c>
      <c r="S58" t="s">
        <v>1064</v>
      </c>
      <c r="T58" t="s">
        <v>217</v>
      </c>
      <c r="U58" t="s">
        <v>150</v>
      </c>
      <c r="V58" t="s">
        <v>1067</v>
      </c>
      <c r="W58" t="s">
        <v>151</v>
      </c>
      <c r="X58" t="s">
        <v>63</v>
      </c>
      <c r="Y58" t="s">
        <v>2214</v>
      </c>
      <c r="Z58">
        <v>80</v>
      </c>
      <c r="AA58" t="s">
        <v>54</v>
      </c>
      <c r="AB58" t="s">
        <v>636</v>
      </c>
      <c r="AC58" t="s">
        <v>47</v>
      </c>
      <c r="AD58" t="s">
        <v>157</v>
      </c>
      <c r="AE58"/>
      <c r="AF58" t="s">
        <v>47</v>
      </c>
      <c r="AG58" t="s">
        <v>47</v>
      </c>
      <c r="AH58" t="s">
        <v>47</v>
      </c>
      <c r="AI58" t="s">
        <v>47</v>
      </c>
      <c r="AJ58"/>
      <c r="AK58"/>
      <c r="AL58" t="s">
        <v>47</v>
      </c>
      <c r="AM58"/>
      <c r="AN58" t="s">
        <v>56</v>
      </c>
      <c r="AO58" t="s">
        <v>47</v>
      </c>
      <c r="AP58" t="s">
        <v>81</v>
      </c>
      <c r="AQ58" t="s">
        <v>47</v>
      </c>
      <c r="AR58">
        <v>49</v>
      </c>
      <c r="AS58"/>
      <c r="AT58"/>
      <c r="AU58"/>
      <c r="AV58" t="s">
        <v>1092</v>
      </c>
      <c r="AW58" t="s">
        <v>276</v>
      </c>
      <c r="AX58">
        <v>210</v>
      </c>
      <c r="AY58">
        <v>210</v>
      </c>
      <c r="AZ58"/>
      <c r="BA58"/>
      <c r="BB58"/>
      <c r="BC58">
        <v>0</v>
      </c>
      <c r="BD58">
        <v>0</v>
      </c>
      <c r="BE58" t="s">
        <v>47</v>
      </c>
      <c r="BF58"/>
      <c r="BG58"/>
      <c r="BH58"/>
      <c r="BI58">
        <v>0</v>
      </c>
      <c r="BJ58">
        <v>0</v>
      </c>
      <c r="BK58"/>
      <c r="BL58"/>
      <c r="BM58" t="s">
        <v>47</v>
      </c>
      <c r="BN58" t="s">
        <v>47</v>
      </c>
      <c r="BO58" t="s">
        <v>47</v>
      </c>
      <c r="BP58" t="s">
        <v>47</v>
      </c>
      <c r="BQ58" t="s">
        <v>47</v>
      </c>
      <c r="BR58"/>
      <c r="BS58" t="s">
        <v>47</v>
      </c>
      <c r="BT58" t="s">
        <v>47</v>
      </c>
      <c r="BU58" t="s">
        <v>47</v>
      </c>
      <c r="BV58"/>
      <c r="BW58" t="s">
        <v>47</v>
      </c>
      <c r="BX58" t="s">
        <v>47</v>
      </c>
      <c r="BY58" t="s">
        <v>47</v>
      </c>
      <c r="BZ58" t="s">
        <v>47</v>
      </c>
      <c r="CA58" t="s">
        <v>47</v>
      </c>
      <c r="CB58" t="s">
        <v>47</v>
      </c>
      <c r="CC58" t="s">
        <v>47</v>
      </c>
      <c r="CD58" t="s">
        <v>47</v>
      </c>
      <c r="CE58" t="s">
        <v>47</v>
      </c>
      <c r="CF58" t="s">
        <v>47</v>
      </c>
      <c r="CG58" t="s">
        <v>47</v>
      </c>
      <c r="CH58" t="s">
        <v>47</v>
      </c>
      <c r="CI58" t="s">
        <v>47</v>
      </c>
      <c r="CJ58" t="s">
        <v>47</v>
      </c>
      <c r="CK58"/>
    </row>
    <row r="59" spans="1:89" s="7" customFormat="1" x14ac:dyDescent="0.25">
      <c r="A59" t="s">
        <v>1435</v>
      </c>
      <c r="B59" t="s">
        <v>714</v>
      </c>
      <c r="C59" t="s">
        <v>716</v>
      </c>
      <c r="D59" t="s">
        <v>1647</v>
      </c>
      <c r="E59">
        <v>200</v>
      </c>
      <c r="F59" t="s">
        <v>49</v>
      </c>
      <c r="G59">
        <v>887</v>
      </c>
      <c r="H59" s="9">
        <v>1.99</v>
      </c>
      <c r="I59" t="s">
        <v>49</v>
      </c>
      <c r="J59" t="s">
        <v>49</v>
      </c>
      <c r="K59" t="s">
        <v>1648</v>
      </c>
      <c r="L59" t="s">
        <v>45</v>
      </c>
      <c r="M59" s="10"/>
      <c r="N59"/>
      <c r="O59">
        <v>1</v>
      </c>
      <c r="P59">
        <v>1</v>
      </c>
      <c r="Q59" t="s">
        <v>108</v>
      </c>
      <c r="R59" t="s">
        <v>291</v>
      </c>
      <c r="S59" t="s">
        <v>1063</v>
      </c>
      <c r="T59" t="s">
        <v>217</v>
      </c>
      <c r="U59" t="s">
        <v>150</v>
      </c>
      <c r="V59" t="s">
        <v>1068</v>
      </c>
      <c r="W59" t="s">
        <v>1069</v>
      </c>
      <c r="X59" t="s">
        <v>615</v>
      </c>
      <c r="Y59" t="s">
        <v>558</v>
      </c>
      <c r="Z59">
        <v>80</v>
      </c>
      <c r="AA59" t="s">
        <v>54</v>
      </c>
      <c r="AB59" t="s">
        <v>636</v>
      </c>
      <c r="AC59"/>
      <c r="AD59" t="s">
        <v>157</v>
      </c>
      <c r="AE59"/>
      <c r="AF59"/>
      <c r="AG59"/>
      <c r="AH59"/>
      <c r="AI59"/>
      <c r="AJ59"/>
      <c r="AK59"/>
      <c r="AL59"/>
      <c r="AM59" t="s">
        <v>1086</v>
      </c>
      <c r="AN59" t="s">
        <v>1087</v>
      </c>
      <c r="AO59" t="s">
        <v>1004</v>
      </c>
      <c r="AP59" t="s">
        <v>1084</v>
      </c>
      <c r="AQ59" t="s">
        <v>1085</v>
      </c>
      <c r="AR59"/>
      <c r="AS59"/>
      <c r="AT59"/>
      <c r="AU59"/>
      <c r="AV59" t="s">
        <v>1091</v>
      </c>
      <c r="AW59" t="s">
        <v>276</v>
      </c>
      <c r="AX59">
        <v>100</v>
      </c>
      <c r="AY59">
        <v>100</v>
      </c>
      <c r="AZ59"/>
      <c r="BA59"/>
      <c r="BB59"/>
      <c r="BC59">
        <v>0</v>
      </c>
      <c r="BD59">
        <v>0</v>
      </c>
      <c r="BE59"/>
      <c r="BF59"/>
      <c r="BG59"/>
      <c r="BH59"/>
      <c r="BI59">
        <v>0</v>
      </c>
      <c r="BJ59">
        <v>0</v>
      </c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</row>
    <row r="60" spans="1:89" s="7" customFormat="1" x14ac:dyDescent="0.25">
      <c r="A60" t="s">
        <v>1435</v>
      </c>
      <c r="B60" t="s">
        <v>714</v>
      </c>
      <c r="C60" t="s">
        <v>717</v>
      </c>
      <c r="D60" t="s">
        <v>1649</v>
      </c>
      <c r="E60">
        <v>201</v>
      </c>
      <c r="F60" t="s">
        <v>44</v>
      </c>
      <c r="G60">
        <v>886</v>
      </c>
      <c r="H60" s="9">
        <v>1.99</v>
      </c>
      <c r="I60" t="s">
        <v>44</v>
      </c>
      <c r="J60" t="s">
        <v>44</v>
      </c>
      <c r="K60" t="s">
        <v>1650</v>
      </c>
      <c r="L60" t="s">
        <v>45</v>
      </c>
      <c r="M60" s="10"/>
      <c r="N60"/>
      <c r="O60">
        <v>1</v>
      </c>
      <c r="P60">
        <v>1</v>
      </c>
      <c r="Q60" t="s">
        <v>108</v>
      </c>
      <c r="R60" t="s">
        <v>291</v>
      </c>
      <c r="S60" t="s">
        <v>1063</v>
      </c>
      <c r="T60" t="s">
        <v>217</v>
      </c>
      <c r="U60" t="s">
        <v>150</v>
      </c>
      <c r="V60" t="s">
        <v>1068</v>
      </c>
      <c r="W60" t="s">
        <v>1069</v>
      </c>
      <c r="X60" t="s">
        <v>615</v>
      </c>
      <c r="Y60" t="s">
        <v>558</v>
      </c>
      <c r="Z60">
        <v>80</v>
      </c>
      <c r="AA60" t="s">
        <v>54</v>
      </c>
      <c r="AB60" t="s">
        <v>636</v>
      </c>
      <c r="AC60"/>
      <c r="AD60" t="s">
        <v>157</v>
      </c>
      <c r="AE60"/>
      <c r="AF60"/>
      <c r="AG60"/>
      <c r="AH60"/>
      <c r="AI60"/>
      <c r="AJ60"/>
      <c r="AK60"/>
      <c r="AL60"/>
      <c r="AM60" t="s">
        <v>1086</v>
      </c>
      <c r="AN60" t="s">
        <v>1087</v>
      </c>
      <c r="AO60" t="s">
        <v>1004</v>
      </c>
      <c r="AP60" t="s">
        <v>1084</v>
      </c>
      <c r="AQ60" t="s">
        <v>1085</v>
      </c>
      <c r="AR60"/>
      <c r="AS60"/>
      <c r="AT60"/>
      <c r="AU60"/>
      <c r="AV60" t="s">
        <v>1091</v>
      </c>
      <c r="AW60" t="s">
        <v>276</v>
      </c>
      <c r="AX60">
        <v>100</v>
      </c>
      <c r="AY60">
        <v>100</v>
      </c>
      <c r="AZ60"/>
      <c r="BA60"/>
      <c r="BB60"/>
      <c r="BC60">
        <v>0</v>
      </c>
      <c r="BD60">
        <v>0</v>
      </c>
      <c r="BE60"/>
      <c r="BF60"/>
      <c r="BG60"/>
      <c r="BH60"/>
      <c r="BI60">
        <v>0</v>
      </c>
      <c r="BJ60">
        <v>0</v>
      </c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</row>
    <row r="61" spans="1:89" s="7" customFormat="1" x14ac:dyDescent="0.25">
      <c r="A61" t="s">
        <v>1435</v>
      </c>
      <c r="B61" t="s">
        <v>136</v>
      </c>
      <c r="C61" t="s">
        <v>1130</v>
      </c>
      <c r="D61" t="s">
        <v>1847</v>
      </c>
      <c r="E61">
        <v>210</v>
      </c>
      <c r="F61" t="s">
        <v>135</v>
      </c>
      <c r="G61">
        <v>933</v>
      </c>
      <c r="H61" s="9">
        <v>2.5</v>
      </c>
      <c r="I61" t="s">
        <v>135</v>
      </c>
      <c r="J61" t="s">
        <v>135</v>
      </c>
      <c r="K61" t="s">
        <v>1651</v>
      </c>
      <c r="L61" t="s">
        <v>2055</v>
      </c>
      <c r="M61" s="10" t="str">
        <f>HYPERLINK(cna_product_database_catalog_website[[#This Row],[Spec Sheet Link]], cna_product_database_catalog_website[[#Headers],[Spec Sheet Link]])</f>
        <v>Spec Sheet Link</v>
      </c>
      <c r="N61"/>
      <c r="O61">
        <v>1</v>
      </c>
      <c r="P61">
        <v>1</v>
      </c>
      <c r="Q61" t="s">
        <v>108</v>
      </c>
      <c r="R61" t="s">
        <v>291</v>
      </c>
      <c r="S61" t="s">
        <v>1063</v>
      </c>
      <c r="T61" t="s">
        <v>217</v>
      </c>
      <c r="U61" t="s">
        <v>150</v>
      </c>
      <c r="V61" t="s">
        <v>1068</v>
      </c>
      <c r="W61" t="s">
        <v>1069</v>
      </c>
      <c r="X61" t="s">
        <v>615</v>
      </c>
      <c r="Y61" t="s">
        <v>558</v>
      </c>
      <c r="Z61">
        <v>80</v>
      </c>
      <c r="AA61" t="s">
        <v>54</v>
      </c>
      <c r="AB61" t="s">
        <v>636</v>
      </c>
      <c r="AC61"/>
      <c r="AD61" t="s">
        <v>157</v>
      </c>
      <c r="AE61"/>
      <c r="AF61"/>
      <c r="AG61"/>
      <c r="AH61"/>
      <c r="AI61"/>
      <c r="AJ61"/>
      <c r="AK61"/>
      <c r="AL61"/>
      <c r="AM61" t="s">
        <v>1086</v>
      </c>
      <c r="AN61" t="s">
        <v>1087</v>
      </c>
      <c r="AO61" t="s">
        <v>1004</v>
      </c>
      <c r="AP61" t="s">
        <v>1084</v>
      </c>
      <c r="AQ61" t="s">
        <v>1085</v>
      </c>
      <c r="AR61"/>
      <c r="AS61"/>
      <c r="AT61"/>
      <c r="AU61"/>
      <c r="AV61" t="s">
        <v>1091</v>
      </c>
      <c r="AW61" t="s">
        <v>276</v>
      </c>
      <c r="AX61">
        <v>100</v>
      </c>
      <c r="AY61">
        <v>100</v>
      </c>
      <c r="AZ61"/>
      <c r="BA61"/>
      <c r="BB61"/>
      <c r="BC61">
        <v>0</v>
      </c>
      <c r="BD61">
        <v>0</v>
      </c>
      <c r="BE61"/>
      <c r="BF61"/>
      <c r="BG61"/>
      <c r="BH61"/>
      <c r="BI61">
        <v>0</v>
      </c>
      <c r="BJ61">
        <v>0</v>
      </c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</row>
    <row r="62" spans="1:89" s="7" customFormat="1" x14ac:dyDescent="0.25">
      <c r="A62" t="s">
        <v>1435</v>
      </c>
      <c r="B62" t="s">
        <v>136</v>
      </c>
      <c r="C62" t="s">
        <v>1131</v>
      </c>
      <c r="D62" t="s">
        <v>1848</v>
      </c>
      <c r="E62">
        <v>211</v>
      </c>
      <c r="F62" t="s">
        <v>137</v>
      </c>
      <c r="G62">
        <v>934</v>
      </c>
      <c r="H62" s="9">
        <v>2.5</v>
      </c>
      <c r="I62" t="s">
        <v>137</v>
      </c>
      <c r="J62" t="s">
        <v>137</v>
      </c>
      <c r="K62" t="s">
        <v>1651</v>
      </c>
      <c r="L62" t="s">
        <v>2055</v>
      </c>
      <c r="M62" s="10" t="str">
        <f>HYPERLINK(cna_product_database_catalog_website[[#This Row],[Spec Sheet Link]], cna_product_database_catalog_website[[#Headers],[Spec Sheet Link]])</f>
        <v>Spec Sheet Link</v>
      </c>
      <c r="N62"/>
      <c r="O62">
        <v>1</v>
      </c>
      <c r="P62">
        <v>1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 t="s">
        <v>621</v>
      </c>
      <c r="AN62" t="s">
        <v>1083</v>
      </c>
      <c r="AO62" t="s">
        <v>1004</v>
      </c>
      <c r="AP62" t="s">
        <v>1084</v>
      </c>
      <c r="AQ62" t="s">
        <v>1085</v>
      </c>
      <c r="AR62"/>
      <c r="AS62"/>
      <c r="AT62"/>
      <c r="AU62"/>
      <c r="AV62" t="s">
        <v>1091</v>
      </c>
      <c r="AW62"/>
      <c r="AX62">
        <v>1</v>
      </c>
      <c r="AY62">
        <v>1</v>
      </c>
      <c r="AZ62"/>
      <c r="BA62"/>
      <c r="BB62"/>
      <c r="BC62">
        <v>0</v>
      </c>
      <c r="BD62">
        <v>0</v>
      </c>
      <c r="BE62"/>
      <c r="BF62"/>
      <c r="BG62"/>
      <c r="BH62"/>
      <c r="BI62">
        <v>0</v>
      </c>
      <c r="BJ62">
        <v>0</v>
      </c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</row>
    <row r="63" spans="1:89" s="7" customFormat="1" x14ac:dyDescent="0.25">
      <c r="A63" t="s">
        <v>1435</v>
      </c>
      <c r="B63" t="s">
        <v>136</v>
      </c>
      <c r="C63" t="s">
        <v>1132</v>
      </c>
      <c r="D63" t="s">
        <v>1849</v>
      </c>
      <c r="E63">
        <v>212</v>
      </c>
      <c r="F63" t="s">
        <v>138</v>
      </c>
      <c r="G63">
        <v>951</v>
      </c>
      <c r="H63" s="9">
        <v>2.5</v>
      </c>
      <c r="I63" t="s">
        <v>138</v>
      </c>
      <c r="J63" t="s">
        <v>138</v>
      </c>
      <c r="K63" t="s">
        <v>1651</v>
      </c>
      <c r="L63" t="s">
        <v>2055</v>
      </c>
      <c r="M63" s="10" t="str">
        <f>HYPERLINK(cna_product_database_catalog_website[[#This Row],[Spec Sheet Link]], cna_product_database_catalog_website[[#Headers],[Spec Sheet Link]])</f>
        <v>Spec Sheet Link</v>
      </c>
      <c r="N63"/>
      <c r="O63">
        <v>1</v>
      </c>
      <c r="P63">
        <v>1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 t="s">
        <v>621</v>
      </c>
      <c r="AN63" t="s">
        <v>1083</v>
      </c>
      <c r="AO63" t="s">
        <v>1004</v>
      </c>
      <c r="AP63" t="s">
        <v>1084</v>
      </c>
      <c r="AQ63" t="s">
        <v>1085</v>
      </c>
      <c r="AR63"/>
      <c r="AS63"/>
      <c r="AT63"/>
      <c r="AU63"/>
      <c r="AV63" t="s">
        <v>1091</v>
      </c>
      <c r="AW63"/>
      <c r="AX63">
        <v>1</v>
      </c>
      <c r="AY63">
        <v>1</v>
      </c>
      <c r="AZ63"/>
      <c r="BA63"/>
      <c r="BB63"/>
      <c r="BC63">
        <v>0</v>
      </c>
      <c r="BD63">
        <v>0</v>
      </c>
      <c r="BE63"/>
      <c r="BF63"/>
      <c r="BG63"/>
      <c r="BH63"/>
      <c r="BI63">
        <v>0</v>
      </c>
      <c r="BJ63">
        <v>0</v>
      </c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</row>
    <row r="64" spans="1:89" s="7" customFormat="1" x14ac:dyDescent="0.25">
      <c r="A64" t="s">
        <v>1435</v>
      </c>
      <c r="B64" t="s">
        <v>132</v>
      </c>
      <c r="C64" t="s">
        <v>1136</v>
      </c>
      <c r="D64" t="s">
        <v>1652</v>
      </c>
      <c r="E64">
        <v>220</v>
      </c>
      <c r="F64" t="s">
        <v>1268</v>
      </c>
      <c r="G64">
        <v>1116</v>
      </c>
      <c r="H64" s="9">
        <v>4.5</v>
      </c>
      <c r="I64" t="s">
        <v>1268</v>
      </c>
      <c r="J64" t="s">
        <v>1268</v>
      </c>
      <c r="K64" t="s">
        <v>1653</v>
      </c>
      <c r="L64" t="s">
        <v>1654</v>
      </c>
      <c r="M64" s="10" t="str">
        <f>HYPERLINK(cna_product_database_catalog_website[[#This Row],[Spec Sheet Link]], cna_product_database_catalog_website[[#Headers],[Spec Sheet Link]])</f>
        <v>Spec Sheet Link</v>
      </c>
      <c r="N64"/>
      <c r="O64">
        <v>1</v>
      </c>
      <c r="P64">
        <v>1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 t="s">
        <v>621</v>
      </c>
      <c r="AN64" t="s">
        <v>1083</v>
      </c>
      <c r="AO64" t="s">
        <v>1004</v>
      </c>
      <c r="AP64" t="s">
        <v>1084</v>
      </c>
      <c r="AQ64" t="s">
        <v>1085</v>
      </c>
      <c r="AR64"/>
      <c r="AS64"/>
      <c r="AT64"/>
      <c r="AU64"/>
      <c r="AV64" t="s">
        <v>1091</v>
      </c>
      <c r="AW64"/>
      <c r="AX64">
        <v>1</v>
      </c>
      <c r="AY64">
        <v>1</v>
      </c>
      <c r="AZ64"/>
      <c r="BA64"/>
      <c r="BB64"/>
      <c r="BC64">
        <v>0</v>
      </c>
      <c r="BD64">
        <v>0</v>
      </c>
      <c r="BE64"/>
      <c r="BF64"/>
      <c r="BG64"/>
      <c r="BH64"/>
      <c r="BI64">
        <v>0</v>
      </c>
      <c r="BJ64">
        <v>0</v>
      </c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</row>
    <row r="65" spans="1:89" s="7" customFormat="1" x14ac:dyDescent="0.25">
      <c r="A65" t="s">
        <v>1435</v>
      </c>
      <c r="B65" t="s">
        <v>133</v>
      </c>
      <c r="C65" t="s">
        <v>1137</v>
      </c>
      <c r="D65" t="s">
        <v>1655</v>
      </c>
      <c r="E65">
        <v>225</v>
      </c>
      <c r="F65" t="s">
        <v>1383</v>
      </c>
      <c r="G65">
        <v>858</v>
      </c>
      <c r="H65" s="9">
        <v>3.9</v>
      </c>
      <c r="I65" t="s">
        <v>1383</v>
      </c>
      <c r="J65" t="s">
        <v>1383</v>
      </c>
      <c r="K65" t="s">
        <v>1656</v>
      </c>
      <c r="L65" t="s">
        <v>1657</v>
      </c>
      <c r="M65" s="10" t="str">
        <f>HYPERLINK(cna_product_database_catalog_website[[#This Row],[Spec Sheet Link]], cna_product_database_catalog_website[[#Headers],[Spec Sheet Link]])</f>
        <v>Spec Sheet Link</v>
      </c>
      <c r="N65" t="s">
        <v>46</v>
      </c>
      <c r="O65">
        <v>1</v>
      </c>
      <c r="P65">
        <v>1</v>
      </c>
      <c r="Q65" t="s">
        <v>47</v>
      </c>
      <c r="R65" t="s">
        <v>47</v>
      </c>
      <c r="S65" t="s">
        <v>47</v>
      </c>
      <c r="T65" t="s">
        <v>47</v>
      </c>
      <c r="U65" t="s">
        <v>47</v>
      </c>
      <c r="V65" t="s">
        <v>47</v>
      </c>
      <c r="W65" t="s">
        <v>47</v>
      </c>
      <c r="X65" t="s">
        <v>63</v>
      </c>
      <c r="Y65" t="s">
        <v>47</v>
      </c>
      <c r="Z65" t="s">
        <v>47</v>
      </c>
      <c r="AA65" t="s">
        <v>54</v>
      </c>
      <c r="AB65" t="s">
        <v>47</v>
      </c>
      <c r="AC65" t="s">
        <v>47</v>
      </c>
      <c r="AD65" t="s">
        <v>47</v>
      </c>
      <c r="AE65"/>
      <c r="AF65" t="s">
        <v>47</v>
      </c>
      <c r="AG65" t="s">
        <v>47</v>
      </c>
      <c r="AH65" t="s">
        <v>47</v>
      </c>
      <c r="AI65" t="s">
        <v>47</v>
      </c>
      <c r="AJ65"/>
      <c r="AK65"/>
      <c r="AL65" t="s">
        <v>47</v>
      </c>
      <c r="AM65"/>
      <c r="AN65"/>
      <c r="AO65" t="s">
        <v>275</v>
      </c>
      <c r="AP65" t="s">
        <v>1089</v>
      </c>
      <c r="AQ65" t="s">
        <v>1090</v>
      </c>
      <c r="AR65">
        <v>49</v>
      </c>
      <c r="AS65"/>
      <c r="AT65"/>
      <c r="AU65"/>
      <c r="AV65" t="s">
        <v>1091</v>
      </c>
      <c r="AW65" t="s">
        <v>276</v>
      </c>
      <c r="AX65">
        <v>100</v>
      </c>
      <c r="AY65">
        <v>100</v>
      </c>
      <c r="AZ65"/>
      <c r="BA65"/>
      <c r="BB65"/>
      <c r="BC65">
        <v>0</v>
      </c>
      <c r="BD65">
        <v>0</v>
      </c>
      <c r="BE65" t="s">
        <v>47</v>
      </c>
      <c r="BF65"/>
      <c r="BG65"/>
      <c r="BH65"/>
      <c r="BI65">
        <v>0</v>
      </c>
      <c r="BJ65">
        <v>0</v>
      </c>
      <c r="BK65"/>
      <c r="BL65"/>
      <c r="BM65" t="s">
        <v>47</v>
      </c>
      <c r="BN65" t="s">
        <v>47</v>
      </c>
      <c r="BO65" t="s">
        <v>277</v>
      </c>
      <c r="BP65" t="s">
        <v>47</v>
      </c>
      <c r="BQ65" t="s">
        <v>47</v>
      </c>
      <c r="BR65"/>
      <c r="BS65" t="s">
        <v>47</v>
      </c>
      <c r="BT65" t="s">
        <v>47</v>
      </c>
      <c r="BU65" t="s">
        <v>47</v>
      </c>
      <c r="BV65"/>
      <c r="BW65" t="s">
        <v>47</v>
      </c>
      <c r="BX65" t="s">
        <v>47</v>
      </c>
      <c r="BY65" t="s">
        <v>47</v>
      </c>
      <c r="BZ65" t="s">
        <v>47</v>
      </c>
      <c r="CA65" t="s">
        <v>47</v>
      </c>
      <c r="CB65" t="s">
        <v>47</v>
      </c>
      <c r="CC65" t="s">
        <v>47</v>
      </c>
      <c r="CD65" t="s">
        <v>47</v>
      </c>
      <c r="CE65" t="s">
        <v>47</v>
      </c>
      <c r="CF65" t="s">
        <v>47</v>
      </c>
      <c r="CG65" t="s">
        <v>47</v>
      </c>
      <c r="CH65" t="s">
        <v>47</v>
      </c>
      <c r="CI65" t="s">
        <v>47</v>
      </c>
      <c r="CJ65" t="s">
        <v>47</v>
      </c>
      <c r="CK65"/>
    </row>
    <row r="66" spans="1:89" s="7" customFormat="1" x14ac:dyDescent="0.25">
      <c r="A66" t="s">
        <v>1435</v>
      </c>
      <c r="B66" t="s">
        <v>133</v>
      </c>
      <c r="C66" t="s">
        <v>1382</v>
      </c>
      <c r="D66" t="s">
        <v>1658</v>
      </c>
      <c r="E66">
        <v>226</v>
      </c>
      <c r="F66" t="s">
        <v>1381</v>
      </c>
      <c r="G66">
        <v>1193</v>
      </c>
      <c r="H66" s="9">
        <v>3.9</v>
      </c>
      <c r="I66" t="s">
        <v>1381</v>
      </c>
      <c r="J66" t="s">
        <v>1381</v>
      </c>
      <c r="K66" t="s">
        <v>1659</v>
      </c>
      <c r="L66" t="s">
        <v>1660</v>
      </c>
      <c r="M66" s="10" t="str">
        <f>HYPERLINK(cna_product_database_catalog_website[[#This Row],[Spec Sheet Link]], cna_product_database_catalog_website[[#Headers],[Spec Sheet Link]])</f>
        <v>Spec Sheet Link</v>
      </c>
      <c r="N66" t="s">
        <v>46</v>
      </c>
      <c r="O66">
        <v>1</v>
      </c>
      <c r="P66">
        <v>1</v>
      </c>
      <c r="Q66" t="s">
        <v>47</v>
      </c>
      <c r="R66" t="s">
        <v>47</v>
      </c>
      <c r="S66" t="s">
        <v>47</v>
      </c>
      <c r="T66" t="s">
        <v>47</v>
      </c>
      <c r="U66" t="s">
        <v>47</v>
      </c>
      <c r="V66" t="s">
        <v>47</v>
      </c>
      <c r="W66" t="s">
        <v>47</v>
      </c>
      <c r="X66" t="s">
        <v>63</v>
      </c>
      <c r="Y66" t="s">
        <v>47</v>
      </c>
      <c r="Z66" t="s">
        <v>47</v>
      </c>
      <c r="AA66" t="s">
        <v>54</v>
      </c>
      <c r="AB66" t="s">
        <v>47</v>
      </c>
      <c r="AC66" t="s">
        <v>47</v>
      </c>
      <c r="AD66" t="s">
        <v>47</v>
      </c>
      <c r="AE66"/>
      <c r="AF66" t="s">
        <v>47</v>
      </c>
      <c r="AG66" t="s">
        <v>47</v>
      </c>
      <c r="AH66" t="s">
        <v>47</v>
      </c>
      <c r="AI66" t="s">
        <v>47</v>
      </c>
      <c r="AJ66"/>
      <c r="AK66"/>
      <c r="AL66" t="s">
        <v>47</v>
      </c>
      <c r="AM66" t="s">
        <v>1088</v>
      </c>
      <c r="AN66" t="s">
        <v>635</v>
      </c>
      <c r="AO66" t="s">
        <v>275</v>
      </c>
      <c r="AP66" t="s">
        <v>1089</v>
      </c>
      <c r="AQ66" t="s">
        <v>1090</v>
      </c>
      <c r="AR66">
        <v>26</v>
      </c>
      <c r="AS66"/>
      <c r="AT66"/>
      <c r="AU66"/>
      <c r="AV66" t="s">
        <v>1091</v>
      </c>
      <c r="AW66" t="s">
        <v>276</v>
      </c>
      <c r="AX66">
        <v>1</v>
      </c>
      <c r="AY66">
        <v>1</v>
      </c>
      <c r="AZ66"/>
      <c r="BA66"/>
      <c r="BB66"/>
      <c r="BC66">
        <v>0</v>
      </c>
      <c r="BD66">
        <v>0</v>
      </c>
      <c r="BE66" t="s">
        <v>47</v>
      </c>
      <c r="BF66"/>
      <c r="BG66"/>
      <c r="BH66"/>
      <c r="BI66">
        <v>0</v>
      </c>
      <c r="BJ66">
        <v>0</v>
      </c>
      <c r="BK66"/>
      <c r="BL66"/>
      <c r="BM66" t="s">
        <v>47</v>
      </c>
      <c r="BN66" t="s">
        <v>47</v>
      </c>
      <c r="BO66" t="s">
        <v>277</v>
      </c>
      <c r="BP66" t="s">
        <v>47</v>
      </c>
      <c r="BQ66" t="s">
        <v>47</v>
      </c>
      <c r="BR66"/>
      <c r="BS66" t="s">
        <v>47</v>
      </c>
      <c r="BT66" t="s">
        <v>47</v>
      </c>
      <c r="BU66" t="s">
        <v>47</v>
      </c>
      <c r="BV66"/>
      <c r="BW66" t="s">
        <v>47</v>
      </c>
      <c r="BX66" t="s">
        <v>47</v>
      </c>
      <c r="BY66" t="s">
        <v>47</v>
      </c>
      <c r="BZ66" t="s">
        <v>47</v>
      </c>
      <c r="CA66" t="s">
        <v>47</v>
      </c>
      <c r="CB66" t="s">
        <v>47</v>
      </c>
      <c r="CC66" t="s">
        <v>47</v>
      </c>
      <c r="CD66" t="s">
        <v>47</v>
      </c>
      <c r="CE66" t="s">
        <v>47</v>
      </c>
      <c r="CF66" t="s">
        <v>47</v>
      </c>
      <c r="CG66" t="s">
        <v>47</v>
      </c>
      <c r="CH66" t="s">
        <v>47</v>
      </c>
      <c r="CI66" t="s">
        <v>47</v>
      </c>
      <c r="CJ66" t="s">
        <v>47</v>
      </c>
      <c r="CK66"/>
    </row>
    <row r="67" spans="1:89" s="7" customFormat="1" x14ac:dyDescent="0.25">
      <c r="A67" t="s">
        <v>1435</v>
      </c>
      <c r="B67" t="s">
        <v>133</v>
      </c>
      <c r="C67" t="s">
        <v>1138</v>
      </c>
      <c r="D67" t="s">
        <v>1661</v>
      </c>
      <c r="E67">
        <v>227</v>
      </c>
      <c r="F67" t="s">
        <v>134</v>
      </c>
      <c r="G67">
        <v>914</v>
      </c>
      <c r="H67" s="9">
        <v>4.8</v>
      </c>
      <c r="I67" t="s">
        <v>134</v>
      </c>
      <c r="J67" t="s">
        <v>134</v>
      </c>
      <c r="K67" t="s">
        <v>1662</v>
      </c>
      <c r="L67" t="s">
        <v>1654</v>
      </c>
      <c r="M67" s="10" t="str">
        <f>HYPERLINK(cna_product_database_catalog_website[[#This Row],[Spec Sheet Link]], cna_product_database_catalog_website[[#Headers],[Spec Sheet Link]])</f>
        <v>Spec Sheet Link</v>
      </c>
      <c r="N67" t="s">
        <v>46</v>
      </c>
      <c r="O67">
        <v>1</v>
      </c>
      <c r="P67">
        <v>1</v>
      </c>
      <c r="Q67" t="s">
        <v>47</v>
      </c>
      <c r="R67" t="s">
        <v>47</v>
      </c>
      <c r="S67" t="s">
        <v>47</v>
      </c>
      <c r="T67" t="s">
        <v>47</v>
      </c>
      <c r="U67" t="s">
        <v>47</v>
      </c>
      <c r="V67" t="s">
        <v>47</v>
      </c>
      <c r="W67" t="s">
        <v>47</v>
      </c>
      <c r="X67" t="s">
        <v>63</v>
      </c>
      <c r="Y67" t="s">
        <v>47</v>
      </c>
      <c r="Z67" t="s">
        <v>47</v>
      </c>
      <c r="AA67" t="s">
        <v>54</v>
      </c>
      <c r="AB67" t="s">
        <v>47</v>
      </c>
      <c r="AC67" t="s">
        <v>47</v>
      </c>
      <c r="AD67" t="s">
        <v>47</v>
      </c>
      <c r="AE67"/>
      <c r="AF67" t="s">
        <v>47</v>
      </c>
      <c r="AG67" t="s">
        <v>280</v>
      </c>
      <c r="AH67" t="s">
        <v>47</v>
      </c>
      <c r="AI67" t="s">
        <v>47</v>
      </c>
      <c r="AJ67"/>
      <c r="AK67"/>
      <c r="AL67" t="s">
        <v>47</v>
      </c>
      <c r="AM67"/>
      <c r="AN67"/>
      <c r="AO67" t="s">
        <v>47</v>
      </c>
      <c r="AP67" t="s">
        <v>47</v>
      </c>
      <c r="AQ67" t="s">
        <v>47</v>
      </c>
      <c r="AR67">
        <v>270</v>
      </c>
      <c r="AS67"/>
      <c r="AT67"/>
      <c r="AU67"/>
      <c r="AV67" t="s">
        <v>47</v>
      </c>
      <c r="AW67" t="s">
        <v>276</v>
      </c>
      <c r="AX67">
        <v>100</v>
      </c>
      <c r="AY67">
        <v>100</v>
      </c>
      <c r="AZ67"/>
      <c r="BA67"/>
      <c r="BB67"/>
      <c r="BC67">
        <v>0</v>
      </c>
      <c r="BD67">
        <v>0</v>
      </c>
      <c r="BE67" t="s">
        <v>47</v>
      </c>
      <c r="BF67"/>
      <c r="BG67"/>
      <c r="BH67"/>
      <c r="BI67">
        <v>0</v>
      </c>
      <c r="BJ67">
        <v>0</v>
      </c>
      <c r="BK67"/>
      <c r="BL67"/>
      <c r="BM67" t="s">
        <v>47</v>
      </c>
      <c r="BN67" t="s">
        <v>47</v>
      </c>
      <c r="BO67" t="s">
        <v>277</v>
      </c>
      <c r="BP67" t="s">
        <v>47</v>
      </c>
      <c r="BQ67" t="s">
        <v>47</v>
      </c>
      <c r="BR67"/>
      <c r="BS67" t="s">
        <v>47</v>
      </c>
      <c r="BT67" t="s">
        <v>47</v>
      </c>
      <c r="BU67" t="s">
        <v>47</v>
      </c>
      <c r="BV67"/>
      <c r="BW67" t="s">
        <v>47</v>
      </c>
      <c r="BX67" t="s">
        <v>47</v>
      </c>
      <c r="BY67" t="s">
        <v>47</v>
      </c>
      <c r="BZ67" t="s">
        <v>47</v>
      </c>
      <c r="CA67" t="s">
        <v>47</v>
      </c>
      <c r="CB67" t="s">
        <v>47</v>
      </c>
      <c r="CC67" t="s">
        <v>47</v>
      </c>
      <c r="CD67" t="s">
        <v>47</v>
      </c>
      <c r="CE67" t="s">
        <v>47</v>
      </c>
      <c r="CF67" t="s">
        <v>47</v>
      </c>
      <c r="CG67" t="s">
        <v>47</v>
      </c>
      <c r="CH67" t="s">
        <v>47</v>
      </c>
      <c r="CI67" t="s">
        <v>47</v>
      </c>
      <c r="CJ67" t="s">
        <v>47</v>
      </c>
      <c r="CK67"/>
    </row>
    <row r="68" spans="1:89" s="7" customFormat="1" x14ac:dyDescent="0.25">
      <c r="A68" t="s">
        <v>1435</v>
      </c>
      <c r="B68" t="s">
        <v>1393</v>
      </c>
      <c r="C68" t="s">
        <v>1133</v>
      </c>
      <c r="D68" t="s">
        <v>1663</v>
      </c>
      <c r="E68">
        <v>235</v>
      </c>
      <c r="F68" t="s">
        <v>119</v>
      </c>
      <c r="G68">
        <v>1028</v>
      </c>
      <c r="H68" s="9">
        <v>2.9</v>
      </c>
      <c r="I68" t="s">
        <v>119</v>
      </c>
      <c r="J68" t="s">
        <v>119</v>
      </c>
      <c r="K68" t="s">
        <v>1664</v>
      </c>
      <c r="L68" t="s">
        <v>1665</v>
      </c>
      <c r="M68" s="10" t="str">
        <f>HYPERLINK(cna_product_database_catalog_website[[#This Row],[Spec Sheet Link]], cna_product_database_catalog_website[[#Headers],[Spec Sheet Link]])</f>
        <v>Spec Sheet Link</v>
      </c>
      <c r="N68" t="s">
        <v>46</v>
      </c>
      <c r="O68">
        <v>1</v>
      </c>
      <c r="P68">
        <v>1</v>
      </c>
      <c r="Q68" t="s">
        <v>74</v>
      </c>
      <c r="R68" t="s">
        <v>50</v>
      </c>
      <c r="S68" t="s">
        <v>625</v>
      </c>
      <c r="T68" t="s">
        <v>629</v>
      </c>
      <c r="U68" t="s">
        <v>632</v>
      </c>
      <c r="V68" t="s">
        <v>47</v>
      </c>
      <c r="W68" t="s">
        <v>151</v>
      </c>
      <c r="X68" t="s">
        <v>95</v>
      </c>
      <c r="Y68" t="s">
        <v>47</v>
      </c>
      <c r="Z68">
        <v>80</v>
      </c>
      <c r="AA68" t="s">
        <v>54</v>
      </c>
      <c r="AB68" t="s">
        <v>636</v>
      </c>
      <c r="AC68"/>
      <c r="AD68" t="s">
        <v>157</v>
      </c>
      <c r="AE68"/>
      <c r="AF68" t="s">
        <v>254</v>
      </c>
      <c r="AG68" t="s">
        <v>47</v>
      </c>
      <c r="AH68"/>
      <c r="AI68" t="s">
        <v>47</v>
      </c>
      <c r="AJ68"/>
      <c r="AK68" t="s">
        <v>635</v>
      </c>
      <c r="AL68" t="s">
        <v>47</v>
      </c>
      <c r="AM68"/>
      <c r="AN68" t="s">
        <v>634</v>
      </c>
      <c r="AO68" t="s">
        <v>47</v>
      </c>
      <c r="AP68" t="s">
        <v>47</v>
      </c>
      <c r="AQ68" t="s">
        <v>47</v>
      </c>
      <c r="AR68">
        <v>141</v>
      </c>
      <c r="AS68"/>
      <c r="AT68"/>
      <c r="AU68"/>
      <c r="AV68" t="s">
        <v>47</v>
      </c>
      <c r="AW68" t="s">
        <v>255</v>
      </c>
      <c r="AX68">
        <v>12</v>
      </c>
      <c r="AY68">
        <v>12</v>
      </c>
      <c r="AZ68"/>
      <c r="BA68"/>
      <c r="BB68"/>
      <c r="BC68">
        <v>0</v>
      </c>
      <c r="BD68">
        <v>0</v>
      </c>
      <c r="BE68" t="s">
        <v>47</v>
      </c>
      <c r="BF68"/>
      <c r="BG68"/>
      <c r="BH68"/>
      <c r="BI68">
        <v>0</v>
      </c>
      <c r="BJ68">
        <v>0</v>
      </c>
      <c r="BK68"/>
      <c r="BL68"/>
      <c r="BM68" t="s">
        <v>47</v>
      </c>
      <c r="BN68" t="s">
        <v>47</v>
      </c>
      <c r="BO68" t="s">
        <v>197</v>
      </c>
      <c r="BP68" t="s">
        <v>47</v>
      </c>
      <c r="BQ68" t="s">
        <v>47</v>
      </c>
      <c r="BR68"/>
      <c r="BS68" t="s">
        <v>47</v>
      </c>
      <c r="BT68" t="s">
        <v>978</v>
      </c>
      <c r="BU68" t="s">
        <v>47</v>
      </c>
      <c r="BV68"/>
      <c r="BW68" t="s">
        <v>47</v>
      </c>
      <c r="BX68" t="s">
        <v>47</v>
      </c>
      <c r="BY68" t="s">
        <v>47</v>
      </c>
      <c r="BZ68" t="s">
        <v>47</v>
      </c>
      <c r="CA68" t="s">
        <v>47</v>
      </c>
      <c r="CB68" t="s">
        <v>47</v>
      </c>
      <c r="CC68" t="s">
        <v>47</v>
      </c>
      <c r="CD68" t="s">
        <v>47</v>
      </c>
      <c r="CE68" t="s">
        <v>47</v>
      </c>
      <c r="CF68" t="s">
        <v>47</v>
      </c>
      <c r="CG68" t="s">
        <v>47</v>
      </c>
      <c r="CH68" t="s">
        <v>47</v>
      </c>
      <c r="CI68" t="s">
        <v>47</v>
      </c>
      <c r="CJ68" t="s">
        <v>47</v>
      </c>
      <c r="CK68"/>
    </row>
    <row r="69" spans="1:89" s="7" customFormat="1" x14ac:dyDescent="0.25">
      <c r="A69" t="s">
        <v>1435</v>
      </c>
      <c r="B69" t="s">
        <v>1393</v>
      </c>
      <c r="C69" t="s">
        <v>1134</v>
      </c>
      <c r="D69" t="s">
        <v>1666</v>
      </c>
      <c r="E69">
        <v>236</v>
      </c>
      <c r="F69" t="s">
        <v>120</v>
      </c>
      <c r="G69">
        <v>1029</v>
      </c>
      <c r="H69" s="9">
        <v>2.9</v>
      </c>
      <c r="I69" t="s">
        <v>120</v>
      </c>
      <c r="J69" t="s">
        <v>120</v>
      </c>
      <c r="K69" t="s">
        <v>1664</v>
      </c>
      <c r="L69" t="s">
        <v>1665</v>
      </c>
      <c r="M69" s="10" t="str">
        <f>HYPERLINK(cna_product_database_catalog_website[[#This Row],[Spec Sheet Link]], cna_product_database_catalog_website[[#Headers],[Spec Sheet Link]])</f>
        <v>Spec Sheet Link</v>
      </c>
      <c r="N69" t="s">
        <v>46</v>
      </c>
      <c r="O69">
        <v>1</v>
      </c>
      <c r="P69">
        <v>1</v>
      </c>
      <c r="Q69" t="s">
        <v>92</v>
      </c>
      <c r="R69" t="s">
        <v>50</v>
      </c>
      <c r="S69" t="s">
        <v>626</v>
      </c>
      <c r="T69" t="s">
        <v>630</v>
      </c>
      <c r="U69" t="s">
        <v>632</v>
      </c>
      <c r="V69" t="s">
        <v>47</v>
      </c>
      <c r="W69" t="s">
        <v>151</v>
      </c>
      <c r="X69" t="s">
        <v>95</v>
      </c>
      <c r="Y69" t="s">
        <v>47</v>
      </c>
      <c r="Z69">
        <v>80</v>
      </c>
      <c r="AA69" t="s">
        <v>54</v>
      </c>
      <c r="AB69" t="s">
        <v>636</v>
      </c>
      <c r="AC69"/>
      <c r="AD69" t="s">
        <v>157</v>
      </c>
      <c r="AE69"/>
      <c r="AF69" t="s">
        <v>256</v>
      </c>
      <c r="AG69" t="s">
        <v>47</v>
      </c>
      <c r="AH69"/>
      <c r="AI69" t="s">
        <v>47</v>
      </c>
      <c r="AJ69"/>
      <c r="AK69" t="s">
        <v>635</v>
      </c>
      <c r="AL69" t="s">
        <v>47</v>
      </c>
      <c r="AM69"/>
      <c r="AN69" t="s">
        <v>634</v>
      </c>
      <c r="AO69" t="s">
        <v>47</v>
      </c>
      <c r="AP69" t="s">
        <v>47</v>
      </c>
      <c r="AQ69" t="s">
        <v>47</v>
      </c>
      <c r="AR69">
        <v>232</v>
      </c>
      <c r="AS69"/>
      <c r="AT69"/>
      <c r="AU69"/>
      <c r="AV69" t="s">
        <v>47</v>
      </c>
      <c r="AW69" t="s">
        <v>255</v>
      </c>
      <c r="AX69">
        <v>12</v>
      </c>
      <c r="AY69">
        <v>12</v>
      </c>
      <c r="AZ69"/>
      <c r="BA69"/>
      <c r="BB69"/>
      <c r="BC69">
        <v>0</v>
      </c>
      <c r="BD69">
        <v>0</v>
      </c>
      <c r="BE69" t="s">
        <v>47</v>
      </c>
      <c r="BF69"/>
      <c r="BG69"/>
      <c r="BH69"/>
      <c r="BI69">
        <v>0</v>
      </c>
      <c r="BJ69">
        <v>0</v>
      </c>
      <c r="BK69"/>
      <c r="BL69"/>
      <c r="BM69" t="s">
        <v>47</v>
      </c>
      <c r="BN69" t="s">
        <v>47</v>
      </c>
      <c r="BO69" t="s">
        <v>197</v>
      </c>
      <c r="BP69" t="s">
        <v>47</v>
      </c>
      <c r="BQ69" t="s">
        <v>47</v>
      </c>
      <c r="BR69"/>
      <c r="BS69" t="s">
        <v>47</v>
      </c>
      <c r="BT69" t="s">
        <v>978</v>
      </c>
      <c r="BU69" t="s">
        <v>47</v>
      </c>
      <c r="BV69"/>
      <c r="BW69" t="s">
        <v>47</v>
      </c>
      <c r="BX69" t="s">
        <v>47</v>
      </c>
      <c r="BY69" t="s">
        <v>47</v>
      </c>
      <c r="BZ69" t="s">
        <v>47</v>
      </c>
      <c r="CA69" t="s">
        <v>47</v>
      </c>
      <c r="CB69" t="s">
        <v>47</v>
      </c>
      <c r="CC69" t="s">
        <v>47</v>
      </c>
      <c r="CD69" t="s">
        <v>47</v>
      </c>
      <c r="CE69" t="s">
        <v>47</v>
      </c>
      <c r="CF69" t="s">
        <v>47</v>
      </c>
      <c r="CG69" t="s">
        <v>47</v>
      </c>
      <c r="CH69" t="s">
        <v>47</v>
      </c>
      <c r="CI69" t="s">
        <v>47</v>
      </c>
      <c r="CJ69" t="s">
        <v>47</v>
      </c>
      <c r="CK69"/>
    </row>
    <row r="70" spans="1:89" s="7" customFormat="1" x14ac:dyDescent="0.25">
      <c r="A70" t="s">
        <v>1435</v>
      </c>
      <c r="B70" t="s">
        <v>1393</v>
      </c>
      <c r="C70" t="s">
        <v>1135</v>
      </c>
      <c r="D70" t="s">
        <v>1667</v>
      </c>
      <c r="E70">
        <v>237</v>
      </c>
      <c r="F70" t="s">
        <v>1296</v>
      </c>
      <c r="G70">
        <v>861</v>
      </c>
      <c r="H70" s="9">
        <v>2.7</v>
      </c>
      <c r="I70" t="s">
        <v>1296</v>
      </c>
      <c r="J70" t="s">
        <v>1297</v>
      </c>
      <c r="K70" t="s">
        <v>1668</v>
      </c>
      <c r="L70" t="s">
        <v>1654</v>
      </c>
      <c r="M70" s="10" t="str">
        <f>HYPERLINK(cna_product_database_catalog_website[[#This Row],[Spec Sheet Link]], cna_product_database_catalog_website[[#Headers],[Spec Sheet Link]])</f>
        <v>Spec Sheet Link</v>
      </c>
      <c r="N70" t="s">
        <v>46</v>
      </c>
      <c r="O70">
        <v>1</v>
      </c>
      <c r="P70">
        <v>1</v>
      </c>
      <c r="Q70" t="s">
        <v>100</v>
      </c>
      <c r="R70" t="s">
        <v>50</v>
      </c>
      <c r="S70" t="s">
        <v>627</v>
      </c>
      <c r="T70" t="s">
        <v>217</v>
      </c>
      <c r="U70" t="s">
        <v>632</v>
      </c>
      <c r="V70" t="s">
        <v>47</v>
      </c>
      <c r="W70" t="s">
        <v>151</v>
      </c>
      <c r="X70" t="s">
        <v>95</v>
      </c>
      <c r="Y70" t="s">
        <v>47</v>
      </c>
      <c r="Z70">
        <v>80</v>
      </c>
      <c r="AA70" t="s">
        <v>54</v>
      </c>
      <c r="AB70" t="s">
        <v>636</v>
      </c>
      <c r="AC70"/>
      <c r="AD70" t="s">
        <v>157</v>
      </c>
      <c r="AE70"/>
      <c r="AF70" t="s">
        <v>257</v>
      </c>
      <c r="AG70" t="s">
        <v>47</v>
      </c>
      <c r="AH70"/>
      <c r="AI70" t="s">
        <v>47</v>
      </c>
      <c r="AJ70"/>
      <c r="AK70" t="s">
        <v>635</v>
      </c>
      <c r="AL70" t="s">
        <v>47</v>
      </c>
      <c r="AM70"/>
      <c r="AN70" t="s">
        <v>634</v>
      </c>
      <c r="AO70" t="s">
        <v>47</v>
      </c>
      <c r="AP70" t="s">
        <v>47</v>
      </c>
      <c r="AQ70" t="s">
        <v>47</v>
      </c>
      <c r="AR70">
        <v>342</v>
      </c>
      <c r="AS70"/>
      <c r="AT70"/>
      <c r="AU70"/>
      <c r="AV70" t="s">
        <v>47</v>
      </c>
      <c r="AW70" t="s">
        <v>255</v>
      </c>
      <c r="AX70">
        <v>12</v>
      </c>
      <c r="AY70">
        <v>12</v>
      </c>
      <c r="AZ70"/>
      <c r="BA70"/>
      <c r="BB70"/>
      <c r="BC70">
        <v>0</v>
      </c>
      <c r="BD70">
        <v>0</v>
      </c>
      <c r="BE70" t="s">
        <v>47</v>
      </c>
      <c r="BF70"/>
      <c r="BG70"/>
      <c r="BH70"/>
      <c r="BI70">
        <v>0</v>
      </c>
      <c r="BJ70">
        <v>0</v>
      </c>
      <c r="BK70"/>
      <c r="BL70"/>
      <c r="BM70" t="s">
        <v>47</v>
      </c>
      <c r="BN70" t="s">
        <v>47</v>
      </c>
      <c r="BO70" t="s">
        <v>197</v>
      </c>
      <c r="BP70" t="s">
        <v>47</v>
      </c>
      <c r="BQ70" t="s">
        <v>47</v>
      </c>
      <c r="BR70"/>
      <c r="BS70" t="s">
        <v>47</v>
      </c>
      <c r="BT70" t="s">
        <v>978</v>
      </c>
      <c r="BU70" t="s">
        <v>47</v>
      </c>
      <c r="BV70"/>
      <c r="BW70" t="s">
        <v>47</v>
      </c>
      <c r="BX70" t="s">
        <v>47</v>
      </c>
      <c r="BY70" t="s">
        <v>47</v>
      </c>
      <c r="BZ70" t="s">
        <v>47</v>
      </c>
      <c r="CA70" t="s">
        <v>47</v>
      </c>
      <c r="CB70" t="s">
        <v>47</v>
      </c>
      <c r="CC70" t="s">
        <v>47</v>
      </c>
      <c r="CD70" t="s">
        <v>47</v>
      </c>
      <c r="CE70" t="s">
        <v>47</v>
      </c>
      <c r="CF70" t="s">
        <v>47</v>
      </c>
      <c r="CG70" t="s">
        <v>47</v>
      </c>
      <c r="CH70" t="s">
        <v>47</v>
      </c>
      <c r="CI70" t="s">
        <v>47</v>
      </c>
      <c r="CJ70" t="s">
        <v>47</v>
      </c>
      <c r="CK70"/>
    </row>
    <row r="71" spans="1:89" s="7" customFormat="1" x14ac:dyDescent="0.25">
      <c r="A71" t="s">
        <v>1435</v>
      </c>
      <c r="B71" t="s">
        <v>1393</v>
      </c>
      <c r="C71" t="s">
        <v>718</v>
      </c>
      <c r="D71" t="s">
        <v>1669</v>
      </c>
      <c r="E71">
        <v>240</v>
      </c>
      <c r="F71" t="s">
        <v>1269</v>
      </c>
      <c r="G71">
        <v>1217</v>
      </c>
      <c r="H71" s="9">
        <v>3.8</v>
      </c>
      <c r="I71" t="s">
        <v>1269</v>
      </c>
      <c r="J71" t="s">
        <v>1269</v>
      </c>
      <c r="K71" t="s">
        <v>1670</v>
      </c>
      <c r="L71" t="s">
        <v>1671</v>
      </c>
      <c r="M71" s="10" t="str">
        <f>HYPERLINK(cna_product_database_catalog_website[[#This Row],[Spec Sheet Link]], cna_product_database_catalog_website[[#Headers],[Spec Sheet Link]])</f>
        <v>Spec Sheet Link</v>
      </c>
      <c r="N71" t="s">
        <v>46</v>
      </c>
      <c r="O71">
        <v>1</v>
      </c>
      <c r="P71">
        <v>1</v>
      </c>
      <c r="Q71" t="s">
        <v>299</v>
      </c>
      <c r="R71" t="s">
        <v>50</v>
      </c>
      <c r="S71" t="s">
        <v>628</v>
      </c>
      <c r="T71" t="s">
        <v>631</v>
      </c>
      <c r="U71" t="s">
        <v>632</v>
      </c>
      <c r="V71" t="s">
        <v>47</v>
      </c>
      <c r="W71" t="s">
        <v>151</v>
      </c>
      <c r="X71" t="s">
        <v>95</v>
      </c>
      <c r="Y71" t="s">
        <v>47</v>
      </c>
      <c r="Z71">
        <v>80</v>
      </c>
      <c r="AA71" t="s">
        <v>54</v>
      </c>
      <c r="AB71" t="s">
        <v>636</v>
      </c>
      <c r="AC71"/>
      <c r="AD71" t="s">
        <v>157</v>
      </c>
      <c r="AE71"/>
      <c r="AF71" t="s">
        <v>243</v>
      </c>
      <c r="AG71" t="s">
        <v>47</v>
      </c>
      <c r="AH71"/>
      <c r="AI71" t="s">
        <v>47</v>
      </c>
      <c r="AJ71"/>
      <c r="AK71" t="s">
        <v>635</v>
      </c>
      <c r="AL71" t="s">
        <v>47</v>
      </c>
      <c r="AM71"/>
      <c r="AN71" t="s">
        <v>634</v>
      </c>
      <c r="AO71" t="s">
        <v>47</v>
      </c>
      <c r="AP71" t="s">
        <v>47</v>
      </c>
      <c r="AQ71" t="s">
        <v>47</v>
      </c>
      <c r="AR71">
        <v>462</v>
      </c>
      <c r="AS71"/>
      <c r="AT71"/>
      <c r="AU71"/>
      <c r="AV71" t="s">
        <v>47</v>
      </c>
      <c r="AW71" t="s">
        <v>255</v>
      </c>
      <c r="AX71">
        <v>12</v>
      </c>
      <c r="AY71">
        <v>12</v>
      </c>
      <c r="AZ71"/>
      <c r="BA71"/>
      <c r="BB71"/>
      <c r="BC71">
        <v>0</v>
      </c>
      <c r="BD71">
        <v>0</v>
      </c>
      <c r="BE71" t="s">
        <v>47</v>
      </c>
      <c r="BF71"/>
      <c r="BG71"/>
      <c r="BH71"/>
      <c r="BI71">
        <v>0</v>
      </c>
      <c r="BJ71">
        <v>0</v>
      </c>
      <c r="BK71"/>
      <c r="BL71"/>
      <c r="BM71" t="s">
        <v>47</v>
      </c>
      <c r="BN71" t="s">
        <v>47</v>
      </c>
      <c r="BO71" t="s">
        <v>197</v>
      </c>
      <c r="BP71" t="s">
        <v>47</v>
      </c>
      <c r="BQ71" t="s">
        <v>47</v>
      </c>
      <c r="BR71"/>
      <c r="BS71" t="s">
        <v>47</v>
      </c>
      <c r="BT71" t="s">
        <v>978</v>
      </c>
      <c r="BU71" t="s">
        <v>47</v>
      </c>
      <c r="BV71"/>
      <c r="BW71" t="s">
        <v>47</v>
      </c>
      <c r="BX71" t="s">
        <v>47</v>
      </c>
      <c r="BY71" t="s">
        <v>47</v>
      </c>
      <c r="BZ71" t="s">
        <v>47</v>
      </c>
      <c r="CA71" t="s">
        <v>47</v>
      </c>
      <c r="CB71" t="s">
        <v>47</v>
      </c>
      <c r="CC71" t="s">
        <v>47</v>
      </c>
      <c r="CD71" t="s">
        <v>47</v>
      </c>
      <c r="CE71" t="s">
        <v>47</v>
      </c>
      <c r="CF71" t="s">
        <v>47</v>
      </c>
      <c r="CG71" t="s">
        <v>47</v>
      </c>
      <c r="CH71" t="s">
        <v>47</v>
      </c>
      <c r="CI71" t="s">
        <v>47</v>
      </c>
      <c r="CJ71" t="s">
        <v>47</v>
      </c>
      <c r="CK71"/>
    </row>
    <row r="72" spans="1:89" s="7" customFormat="1" x14ac:dyDescent="0.25">
      <c r="A72" t="s">
        <v>1435</v>
      </c>
      <c r="B72" t="s">
        <v>1393</v>
      </c>
      <c r="C72" t="s">
        <v>720</v>
      </c>
      <c r="D72" t="s">
        <v>1672</v>
      </c>
      <c r="E72">
        <v>245</v>
      </c>
      <c r="F72" t="s">
        <v>1270</v>
      </c>
      <c r="G72">
        <v>1218</v>
      </c>
      <c r="H72" s="9">
        <v>5.5</v>
      </c>
      <c r="I72" t="s">
        <v>1270</v>
      </c>
      <c r="J72" t="s">
        <v>1270</v>
      </c>
      <c r="K72" t="s">
        <v>1673</v>
      </c>
      <c r="L72" t="s">
        <v>1674</v>
      </c>
      <c r="M72" s="10" t="str">
        <f>HYPERLINK(cna_product_database_catalog_website[[#This Row],[Spec Sheet Link]], cna_product_database_catalog_website[[#Headers],[Spec Sheet Link]])</f>
        <v>Spec Sheet Link</v>
      </c>
      <c r="N72" t="s">
        <v>46</v>
      </c>
      <c r="O72">
        <v>1</v>
      </c>
      <c r="P72">
        <v>1</v>
      </c>
      <c r="Q72" t="s">
        <v>47</v>
      </c>
      <c r="R72" t="s">
        <v>50</v>
      </c>
      <c r="S72" t="s">
        <v>47</v>
      </c>
      <c r="T72" t="s">
        <v>47</v>
      </c>
      <c r="U72" t="s">
        <v>47</v>
      </c>
      <c r="V72" t="s">
        <v>47</v>
      </c>
      <c r="W72" t="s">
        <v>47</v>
      </c>
      <c r="X72" t="s">
        <v>47</v>
      </c>
      <c r="Y72" t="s">
        <v>47</v>
      </c>
      <c r="Z72" t="s">
        <v>47</v>
      </c>
      <c r="AA72" t="s">
        <v>47</v>
      </c>
      <c r="AB72" t="s">
        <v>47</v>
      </c>
      <c r="AC72" t="s">
        <v>47</v>
      </c>
      <c r="AD72" t="s">
        <v>47</v>
      </c>
      <c r="AE72"/>
      <c r="AF72" t="s">
        <v>47</v>
      </c>
      <c r="AG72" t="s">
        <v>47</v>
      </c>
      <c r="AH72" t="s">
        <v>47</v>
      </c>
      <c r="AI72" t="s">
        <v>47</v>
      </c>
      <c r="AJ72"/>
      <c r="AK72"/>
      <c r="AL72" t="s">
        <v>47</v>
      </c>
      <c r="AM72"/>
      <c r="AN72"/>
      <c r="AO72" t="s">
        <v>47</v>
      </c>
      <c r="AP72" t="s">
        <v>47</v>
      </c>
      <c r="AQ72" t="s">
        <v>47</v>
      </c>
      <c r="AR72">
        <v>158</v>
      </c>
      <c r="AS72"/>
      <c r="AT72"/>
      <c r="AU72"/>
      <c r="AV72" t="s">
        <v>47</v>
      </c>
      <c r="AW72" t="s">
        <v>47</v>
      </c>
      <c r="AX72" t="s">
        <v>47</v>
      </c>
      <c r="AY72" t="s">
        <v>47</v>
      </c>
      <c r="AZ72"/>
      <c r="BA72"/>
      <c r="BB72"/>
      <c r="BC72">
        <v>0</v>
      </c>
      <c r="BD72">
        <v>0</v>
      </c>
      <c r="BE72" t="s">
        <v>47</v>
      </c>
      <c r="BF72"/>
      <c r="BG72"/>
      <c r="BH72"/>
      <c r="BI72">
        <v>0</v>
      </c>
      <c r="BJ72">
        <v>0</v>
      </c>
      <c r="BK72"/>
      <c r="BL72"/>
      <c r="BM72" t="s">
        <v>47</v>
      </c>
      <c r="BN72" t="s">
        <v>47</v>
      </c>
      <c r="BO72" t="s">
        <v>47</v>
      </c>
      <c r="BP72" t="s">
        <v>47</v>
      </c>
      <c r="BQ72" t="s">
        <v>47</v>
      </c>
      <c r="BR72"/>
      <c r="BS72" t="s">
        <v>47</v>
      </c>
      <c r="BT72" t="s">
        <v>47</v>
      </c>
      <c r="BU72" t="s">
        <v>47</v>
      </c>
      <c r="BV72"/>
      <c r="BW72" t="s">
        <v>47</v>
      </c>
      <c r="BX72" t="s">
        <v>47</v>
      </c>
      <c r="BY72" t="s">
        <v>47</v>
      </c>
      <c r="BZ72" t="s">
        <v>47</v>
      </c>
      <c r="CA72" t="s">
        <v>47</v>
      </c>
      <c r="CB72" t="s">
        <v>47</v>
      </c>
      <c r="CC72" t="s">
        <v>47</v>
      </c>
      <c r="CD72" t="s">
        <v>47</v>
      </c>
      <c r="CE72" t="s">
        <v>47</v>
      </c>
      <c r="CF72" t="s">
        <v>47</v>
      </c>
      <c r="CG72" t="s">
        <v>47</v>
      </c>
      <c r="CH72" t="s">
        <v>47</v>
      </c>
      <c r="CI72" t="s">
        <v>47</v>
      </c>
      <c r="CJ72" t="s">
        <v>47</v>
      </c>
      <c r="CK72"/>
    </row>
    <row r="73" spans="1:89" s="7" customFormat="1" x14ac:dyDescent="0.25">
      <c r="A73" t="s">
        <v>1435</v>
      </c>
      <c r="B73" t="s">
        <v>1393</v>
      </c>
      <c r="C73" t="s">
        <v>721</v>
      </c>
      <c r="D73" t="s">
        <v>1675</v>
      </c>
      <c r="E73">
        <v>246</v>
      </c>
      <c r="F73" t="s">
        <v>1271</v>
      </c>
      <c r="G73">
        <v>1219</v>
      </c>
      <c r="H73" s="9">
        <v>5.5</v>
      </c>
      <c r="I73" t="s">
        <v>1271</v>
      </c>
      <c r="J73" t="s">
        <v>1271</v>
      </c>
      <c r="K73" t="s">
        <v>1676</v>
      </c>
      <c r="L73" t="s">
        <v>1677</v>
      </c>
      <c r="M73" s="10" t="str">
        <f>HYPERLINK(cna_product_database_catalog_website[[#This Row],[Spec Sheet Link]], cna_product_database_catalog_website[[#Headers],[Spec Sheet Link]])</f>
        <v>Spec Sheet Link</v>
      </c>
      <c r="N73" t="s">
        <v>46</v>
      </c>
      <c r="O73">
        <v>1</v>
      </c>
      <c r="P73">
        <v>1</v>
      </c>
      <c r="Q73" t="s">
        <v>47</v>
      </c>
      <c r="R73" t="s">
        <v>50</v>
      </c>
      <c r="S73" t="s">
        <v>47</v>
      </c>
      <c r="T73" t="s">
        <v>47</v>
      </c>
      <c r="U73" t="s">
        <v>47</v>
      </c>
      <c r="V73" t="s">
        <v>47</v>
      </c>
      <c r="W73" t="s">
        <v>47</v>
      </c>
      <c r="X73" t="s">
        <v>47</v>
      </c>
      <c r="Y73" t="s">
        <v>47</v>
      </c>
      <c r="Z73" t="s">
        <v>47</v>
      </c>
      <c r="AA73" t="s">
        <v>47</v>
      </c>
      <c r="AB73" t="s">
        <v>47</v>
      </c>
      <c r="AC73" t="s">
        <v>47</v>
      </c>
      <c r="AD73" t="s">
        <v>47</v>
      </c>
      <c r="AE73"/>
      <c r="AF73" t="s">
        <v>47</v>
      </c>
      <c r="AG73" t="s">
        <v>47</v>
      </c>
      <c r="AH73" t="s">
        <v>47</v>
      </c>
      <c r="AI73" t="s">
        <v>47</v>
      </c>
      <c r="AJ73"/>
      <c r="AK73"/>
      <c r="AL73" t="s">
        <v>47</v>
      </c>
      <c r="AM73"/>
      <c r="AN73"/>
      <c r="AO73" t="s">
        <v>47</v>
      </c>
      <c r="AP73" t="s">
        <v>47</v>
      </c>
      <c r="AQ73" t="s">
        <v>47</v>
      </c>
      <c r="AR73">
        <v>25</v>
      </c>
      <c r="AS73"/>
      <c r="AT73"/>
      <c r="AU73"/>
      <c r="AV73" t="s">
        <v>47</v>
      </c>
      <c r="AW73" t="s">
        <v>47</v>
      </c>
      <c r="AX73" t="s">
        <v>47</v>
      </c>
      <c r="AY73" t="s">
        <v>47</v>
      </c>
      <c r="AZ73"/>
      <c r="BA73"/>
      <c r="BB73"/>
      <c r="BC73">
        <v>0</v>
      </c>
      <c r="BD73">
        <v>0</v>
      </c>
      <c r="BE73" t="s">
        <v>47</v>
      </c>
      <c r="BF73"/>
      <c r="BG73"/>
      <c r="BH73"/>
      <c r="BI73">
        <v>0</v>
      </c>
      <c r="BJ73">
        <v>0</v>
      </c>
      <c r="BK73"/>
      <c r="BL73"/>
      <c r="BM73" t="s">
        <v>47</v>
      </c>
      <c r="BN73" t="s">
        <v>47</v>
      </c>
      <c r="BO73" t="s">
        <v>47</v>
      </c>
      <c r="BP73" t="s">
        <v>47</v>
      </c>
      <c r="BQ73" t="s">
        <v>47</v>
      </c>
      <c r="BR73"/>
      <c r="BS73" t="s">
        <v>47</v>
      </c>
      <c r="BT73" t="s">
        <v>47</v>
      </c>
      <c r="BU73" t="s">
        <v>47</v>
      </c>
      <c r="BV73"/>
      <c r="BW73" t="s">
        <v>47</v>
      </c>
      <c r="BX73" t="s">
        <v>47</v>
      </c>
      <c r="BY73" t="s">
        <v>47</v>
      </c>
      <c r="BZ73" t="s">
        <v>47</v>
      </c>
      <c r="CA73" t="s">
        <v>47</v>
      </c>
      <c r="CB73" t="s">
        <v>47</v>
      </c>
      <c r="CC73" t="s">
        <v>47</v>
      </c>
      <c r="CD73" t="s">
        <v>47</v>
      </c>
      <c r="CE73" t="s">
        <v>47</v>
      </c>
      <c r="CF73" t="s">
        <v>47</v>
      </c>
      <c r="CG73" t="s">
        <v>47</v>
      </c>
      <c r="CH73" t="s">
        <v>47</v>
      </c>
      <c r="CI73" t="s">
        <v>47</v>
      </c>
      <c r="CJ73" t="s">
        <v>47</v>
      </c>
      <c r="CK73"/>
    </row>
    <row r="74" spans="1:89" s="7" customFormat="1" x14ac:dyDescent="0.25">
      <c r="A74" t="s">
        <v>1435</v>
      </c>
      <c r="B74" t="s">
        <v>1393</v>
      </c>
      <c r="C74" t="s">
        <v>719</v>
      </c>
      <c r="D74" t="s">
        <v>1678</v>
      </c>
      <c r="E74">
        <v>250</v>
      </c>
      <c r="F74" t="s">
        <v>594</v>
      </c>
      <c r="G74">
        <v>1031</v>
      </c>
      <c r="H74" s="9">
        <v>9.5</v>
      </c>
      <c r="I74" t="s">
        <v>594</v>
      </c>
      <c r="J74" t="s">
        <v>594</v>
      </c>
      <c r="K74" t="s">
        <v>1679</v>
      </c>
      <c r="L74" t="s">
        <v>1680</v>
      </c>
      <c r="M74" s="10" t="str">
        <f>HYPERLINK(cna_product_database_catalog_website[[#This Row],[Spec Sheet Link]], cna_product_database_catalog_website[[#Headers],[Spec Sheet Link]])</f>
        <v>Spec Sheet Link</v>
      </c>
      <c r="N74" t="s">
        <v>46</v>
      </c>
      <c r="O74">
        <v>1</v>
      </c>
      <c r="P74">
        <v>1</v>
      </c>
      <c r="Q74" t="s">
        <v>47</v>
      </c>
      <c r="R74" t="s">
        <v>50</v>
      </c>
      <c r="S74" t="s">
        <v>47</v>
      </c>
      <c r="T74" t="s">
        <v>47</v>
      </c>
      <c r="U74" t="s">
        <v>47</v>
      </c>
      <c r="V74" t="s">
        <v>47</v>
      </c>
      <c r="W74" t="s">
        <v>47</v>
      </c>
      <c r="X74" t="s">
        <v>47</v>
      </c>
      <c r="Y74" t="s">
        <v>47</v>
      </c>
      <c r="Z74" t="s">
        <v>47</v>
      </c>
      <c r="AA74" t="s">
        <v>47</v>
      </c>
      <c r="AB74" t="s">
        <v>47</v>
      </c>
      <c r="AC74" t="s">
        <v>47</v>
      </c>
      <c r="AD74" t="s">
        <v>47</v>
      </c>
      <c r="AE74"/>
      <c r="AF74" t="s">
        <v>47</v>
      </c>
      <c r="AG74" t="s">
        <v>47</v>
      </c>
      <c r="AH74" t="s">
        <v>47</v>
      </c>
      <c r="AI74" t="s">
        <v>47</v>
      </c>
      <c r="AJ74"/>
      <c r="AK74"/>
      <c r="AL74" t="s">
        <v>47</v>
      </c>
      <c r="AM74"/>
      <c r="AN74"/>
      <c r="AO74" t="s">
        <v>47</v>
      </c>
      <c r="AP74" t="s">
        <v>47</v>
      </c>
      <c r="AQ74" t="s">
        <v>47</v>
      </c>
      <c r="AR74">
        <v>150</v>
      </c>
      <c r="AS74"/>
      <c r="AT74"/>
      <c r="AU74"/>
      <c r="AV74" t="s">
        <v>47</v>
      </c>
      <c r="AW74" t="s">
        <v>47</v>
      </c>
      <c r="AX74" t="s">
        <v>47</v>
      </c>
      <c r="AY74" t="s">
        <v>47</v>
      </c>
      <c r="AZ74"/>
      <c r="BA74"/>
      <c r="BB74"/>
      <c r="BC74">
        <v>0</v>
      </c>
      <c r="BD74">
        <v>0</v>
      </c>
      <c r="BE74" t="s">
        <v>47</v>
      </c>
      <c r="BF74"/>
      <c r="BG74"/>
      <c r="BH74"/>
      <c r="BI74">
        <v>0</v>
      </c>
      <c r="BJ74">
        <v>0</v>
      </c>
      <c r="BK74"/>
      <c r="BL74"/>
      <c r="BM74" t="s">
        <v>47</v>
      </c>
      <c r="BN74" t="s">
        <v>47</v>
      </c>
      <c r="BO74" t="s">
        <v>47</v>
      </c>
      <c r="BP74" t="s">
        <v>47</v>
      </c>
      <c r="BQ74" t="s">
        <v>47</v>
      </c>
      <c r="BR74"/>
      <c r="BS74" t="s">
        <v>47</v>
      </c>
      <c r="BT74" t="s">
        <v>47</v>
      </c>
      <c r="BU74" t="s">
        <v>47</v>
      </c>
      <c r="BV74"/>
      <c r="BW74" t="s">
        <v>47</v>
      </c>
      <c r="BX74" t="s">
        <v>47</v>
      </c>
      <c r="BY74" t="s">
        <v>47</v>
      </c>
      <c r="BZ74" t="s">
        <v>47</v>
      </c>
      <c r="CA74" t="s">
        <v>47</v>
      </c>
      <c r="CB74" t="s">
        <v>47</v>
      </c>
      <c r="CC74" t="s">
        <v>47</v>
      </c>
      <c r="CD74" t="s">
        <v>47</v>
      </c>
      <c r="CE74" t="s">
        <v>47</v>
      </c>
      <c r="CF74" t="s">
        <v>47</v>
      </c>
      <c r="CG74" t="s">
        <v>47</v>
      </c>
      <c r="CH74" t="s">
        <v>47</v>
      </c>
      <c r="CI74" t="s">
        <v>47</v>
      </c>
      <c r="CJ74" t="s">
        <v>47</v>
      </c>
      <c r="CK74"/>
    </row>
    <row r="75" spans="1:89" s="7" customFormat="1" x14ac:dyDescent="0.25">
      <c r="A75" t="s">
        <v>1435</v>
      </c>
      <c r="B75" t="s">
        <v>1394</v>
      </c>
      <c r="C75" t="s">
        <v>722</v>
      </c>
      <c r="D75" t="s">
        <v>1681</v>
      </c>
      <c r="E75">
        <v>260</v>
      </c>
      <c r="F75" t="s">
        <v>1355</v>
      </c>
      <c r="G75">
        <v>1121</v>
      </c>
      <c r="H75" s="9">
        <v>4.2</v>
      </c>
      <c r="I75" t="s">
        <v>1355</v>
      </c>
      <c r="J75" t="s">
        <v>1355</v>
      </c>
      <c r="K75" t="s">
        <v>1682</v>
      </c>
      <c r="L75" t="s">
        <v>1683</v>
      </c>
      <c r="M75" s="10" t="str">
        <f>HYPERLINK(cna_product_database_catalog_website[[#This Row],[Spec Sheet Link]], cna_product_database_catalog_website[[#Headers],[Spec Sheet Link]])</f>
        <v>Spec Sheet Link</v>
      </c>
      <c r="N75" t="s">
        <v>46</v>
      </c>
      <c r="O75">
        <v>1</v>
      </c>
      <c r="P75">
        <v>1</v>
      </c>
      <c r="Q75" t="s">
        <v>47</v>
      </c>
      <c r="R75" t="s">
        <v>47</v>
      </c>
      <c r="S75" t="s">
        <v>47</v>
      </c>
      <c r="T75" t="s">
        <v>47</v>
      </c>
      <c r="U75" t="s">
        <v>47</v>
      </c>
      <c r="V75" t="s">
        <v>47</v>
      </c>
      <c r="W75" t="s">
        <v>47</v>
      </c>
      <c r="X75" t="s">
        <v>47</v>
      </c>
      <c r="Y75" t="s">
        <v>47</v>
      </c>
      <c r="Z75" t="s">
        <v>47</v>
      </c>
      <c r="AA75" t="s">
        <v>47</v>
      </c>
      <c r="AB75" t="s">
        <v>47</v>
      </c>
      <c r="AC75" t="s">
        <v>47</v>
      </c>
      <c r="AD75" t="s">
        <v>47</v>
      </c>
      <c r="AE75"/>
      <c r="AF75" t="s">
        <v>47</v>
      </c>
      <c r="AG75" t="s">
        <v>47</v>
      </c>
      <c r="AH75" t="s">
        <v>47</v>
      </c>
      <c r="AI75" t="s">
        <v>47</v>
      </c>
      <c r="AJ75"/>
      <c r="AK75"/>
      <c r="AL75" t="s">
        <v>47</v>
      </c>
      <c r="AM75"/>
      <c r="AN75"/>
      <c r="AO75" t="s">
        <v>47</v>
      </c>
      <c r="AP75" t="s">
        <v>47</v>
      </c>
      <c r="AQ75" t="s">
        <v>47</v>
      </c>
      <c r="AR75"/>
      <c r="AS75"/>
      <c r="AT75"/>
      <c r="AU75"/>
      <c r="AV75" t="s">
        <v>47</v>
      </c>
      <c r="AW75" t="s">
        <v>47</v>
      </c>
      <c r="AX75" t="s">
        <v>47</v>
      </c>
      <c r="AY75" t="s">
        <v>47</v>
      </c>
      <c r="AZ75"/>
      <c r="BA75"/>
      <c r="BB75"/>
      <c r="BC75">
        <v>0</v>
      </c>
      <c r="BD75">
        <v>0</v>
      </c>
      <c r="BE75" t="s">
        <v>47</v>
      </c>
      <c r="BF75"/>
      <c r="BG75"/>
      <c r="BH75"/>
      <c r="BI75">
        <v>0</v>
      </c>
      <c r="BJ75">
        <v>0</v>
      </c>
      <c r="BK75"/>
      <c r="BL75"/>
      <c r="BM75" t="s">
        <v>47</v>
      </c>
      <c r="BN75" t="s">
        <v>47</v>
      </c>
      <c r="BO75" t="s">
        <v>47</v>
      </c>
      <c r="BP75" t="s">
        <v>47</v>
      </c>
      <c r="BQ75" t="s">
        <v>47</v>
      </c>
      <c r="BR75"/>
      <c r="BS75" t="s">
        <v>47</v>
      </c>
      <c r="BT75" t="s">
        <v>47</v>
      </c>
      <c r="BU75" t="s">
        <v>47</v>
      </c>
      <c r="BV75"/>
      <c r="BW75" t="s">
        <v>47</v>
      </c>
      <c r="BX75" t="s">
        <v>47</v>
      </c>
      <c r="BY75" t="s">
        <v>47</v>
      </c>
      <c r="BZ75" t="s">
        <v>47</v>
      </c>
      <c r="CA75" t="s">
        <v>47</v>
      </c>
      <c r="CB75" t="s">
        <v>47</v>
      </c>
      <c r="CC75" t="s">
        <v>47</v>
      </c>
      <c r="CD75" t="s">
        <v>47</v>
      </c>
      <c r="CE75" t="s">
        <v>47</v>
      </c>
      <c r="CF75" t="s">
        <v>47</v>
      </c>
      <c r="CG75" t="s">
        <v>47</v>
      </c>
      <c r="CH75" t="s">
        <v>47</v>
      </c>
      <c r="CI75" t="s">
        <v>47</v>
      </c>
      <c r="CJ75" t="s">
        <v>47</v>
      </c>
      <c r="CK75"/>
    </row>
    <row r="76" spans="1:89" s="7" customFormat="1" x14ac:dyDescent="0.25">
      <c r="A76" t="s">
        <v>1436</v>
      </c>
      <c r="B76" t="s">
        <v>1395</v>
      </c>
      <c r="C76" t="s">
        <v>726</v>
      </c>
      <c r="D76" t="s">
        <v>1684</v>
      </c>
      <c r="E76">
        <v>300</v>
      </c>
      <c r="F76" t="s">
        <v>1298</v>
      </c>
      <c r="G76">
        <v>1100</v>
      </c>
      <c r="H76" s="9">
        <v>6.5</v>
      </c>
      <c r="I76" t="s">
        <v>1298</v>
      </c>
      <c r="J76" t="s">
        <v>149</v>
      </c>
      <c r="K76" t="s">
        <v>1685</v>
      </c>
      <c r="L76" t="s">
        <v>1686</v>
      </c>
      <c r="M76" s="10" t="str">
        <f>HYPERLINK(cna_product_database_catalog_website[[#This Row],[Spec Sheet Link]], cna_product_database_catalog_website[[#Headers],[Spec Sheet Link]])</f>
        <v>Spec Sheet Link</v>
      </c>
      <c r="N76" t="s">
        <v>46</v>
      </c>
      <c r="O76">
        <v>1</v>
      </c>
      <c r="P76">
        <v>1</v>
      </c>
      <c r="Q76" t="s">
        <v>152</v>
      </c>
      <c r="R76" t="s">
        <v>50</v>
      </c>
      <c r="S76" t="s">
        <v>1074</v>
      </c>
      <c r="T76" t="s">
        <v>598</v>
      </c>
      <c r="U76" t="s">
        <v>150</v>
      </c>
      <c r="V76" t="s">
        <v>1073</v>
      </c>
      <c r="W76" t="s">
        <v>47</v>
      </c>
      <c r="X76" t="s">
        <v>52</v>
      </c>
      <c r="Y76" t="s">
        <v>47</v>
      </c>
      <c r="Z76">
        <v>80</v>
      </c>
      <c r="AA76" t="s">
        <v>54</v>
      </c>
      <c r="AB76" t="s">
        <v>636</v>
      </c>
      <c r="AC76" t="s">
        <v>47</v>
      </c>
      <c r="AD76" t="s">
        <v>157</v>
      </c>
      <c r="AE76"/>
      <c r="AF76" t="s">
        <v>257</v>
      </c>
      <c r="AG76" t="s">
        <v>47</v>
      </c>
      <c r="AH76" t="s">
        <v>1079</v>
      </c>
      <c r="AI76" t="s">
        <v>47</v>
      </c>
      <c r="AJ76"/>
      <c r="AK76" t="s">
        <v>81</v>
      </c>
      <c r="AL76" t="s">
        <v>47</v>
      </c>
      <c r="AM76"/>
      <c r="AN76" t="s">
        <v>62</v>
      </c>
      <c r="AO76" t="s">
        <v>47</v>
      </c>
      <c r="AP76" t="s">
        <v>47</v>
      </c>
      <c r="AQ76" t="s">
        <v>47</v>
      </c>
      <c r="AR76">
        <v>342</v>
      </c>
      <c r="AS76"/>
      <c r="AT76"/>
      <c r="AU76"/>
      <c r="AV76" t="s">
        <v>47</v>
      </c>
      <c r="AW76" t="s">
        <v>255</v>
      </c>
      <c r="AX76">
        <v>12</v>
      </c>
      <c r="AY76">
        <v>12</v>
      </c>
      <c r="AZ76"/>
      <c r="BA76"/>
      <c r="BB76"/>
      <c r="BC76">
        <v>0</v>
      </c>
      <c r="BD76">
        <v>0</v>
      </c>
      <c r="BE76" t="s">
        <v>47</v>
      </c>
      <c r="BF76"/>
      <c r="BG76"/>
      <c r="BH76"/>
      <c r="BI76">
        <v>0</v>
      </c>
      <c r="BJ76">
        <v>0</v>
      </c>
      <c r="BK76"/>
      <c r="BL76"/>
      <c r="BM76" t="s">
        <v>47</v>
      </c>
      <c r="BN76" t="s">
        <v>47</v>
      </c>
      <c r="BO76" t="s">
        <v>47</v>
      </c>
      <c r="BP76" t="s">
        <v>47</v>
      </c>
      <c r="BQ76" t="s">
        <v>47</v>
      </c>
      <c r="BR76"/>
      <c r="BS76" t="s">
        <v>47</v>
      </c>
      <c r="BT76" t="s">
        <v>47</v>
      </c>
      <c r="BU76" t="s">
        <v>47</v>
      </c>
      <c r="BV76"/>
      <c r="BW76" t="s">
        <v>47</v>
      </c>
      <c r="BX76" t="s">
        <v>47</v>
      </c>
      <c r="BY76" t="s">
        <v>47</v>
      </c>
      <c r="BZ76" t="s">
        <v>47</v>
      </c>
      <c r="CA76" t="s">
        <v>47</v>
      </c>
      <c r="CB76" t="s">
        <v>47</v>
      </c>
      <c r="CC76" t="s">
        <v>47</v>
      </c>
      <c r="CD76" t="s">
        <v>47</v>
      </c>
      <c r="CE76" t="s">
        <v>47</v>
      </c>
      <c r="CF76" t="s">
        <v>47</v>
      </c>
      <c r="CG76" t="s">
        <v>47</v>
      </c>
      <c r="CH76" t="s">
        <v>47</v>
      </c>
      <c r="CI76" t="s">
        <v>47</v>
      </c>
      <c r="CJ76" t="s">
        <v>47</v>
      </c>
      <c r="CK76"/>
    </row>
    <row r="77" spans="1:89" s="7" customFormat="1" x14ac:dyDescent="0.25">
      <c r="A77" t="s">
        <v>1436</v>
      </c>
      <c r="B77" t="s">
        <v>1395</v>
      </c>
      <c r="C77" t="s">
        <v>728</v>
      </c>
      <c r="D77" t="s">
        <v>1687</v>
      </c>
      <c r="E77">
        <v>302</v>
      </c>
      <c r="F77" t="s">
        <v>1299</v>
      </c>
      <c r="G77">
        <v>1123</v>
      </c>
      <c r="H77" s="9">
        <v>13</v>
      </c>
      <c r="I77" t="s">
        <v>1299</v>
      </c>
      <c r="J77" t="s">
        <v>672</v>
      </c>
      <c r="K77" t="s">
        <v>1688</v>
      </c>
      <c r="L77" t="s">
        <v>1689</v>
      </c>
      <c r="M77" s="10" t="str">
        <f>HYPERLINK(cna_product_database_catalog_website[[#This Row],[Spec Sheet Link]], cna_product_database_catalog_website[[#Headers],[Spec Sheet Link]])</f>
        <v>Spec Sheet Link</v>
      </c>
      <c r="N77" t="s">
        <v>46</v>
      </c>
      <c r="O77">
        <v>1</v>
      </c>
      <c r="P77">
        <v>1</v>
      </c>
      <c r="Q77" t="s">
        <v>129</v>
      </c>
      <c r="R77" t="s">
        <v>50</v>
      </c>
      <c r="S77" t="s">
        <v>1075</v>
      </c>
      <c r="T77" t="s">
        <v>1076</v>
      </c>
      <c r="U77" t="s">
        <v>150</v>
      </c>
      <c r="V77" t="s">
        <v>1073</v>
      </c>
      <c r="W77" t="s">
        <v>47</v>
      </c>
      <c r="X77" t="s">
        <v>52</v>
      </c>
      <c r="Y77" t="s">
        <v>47</v>
      </c>
      <c r="Z77">
        <v>80</v>
      </c>
      <c r="AA77" t="s">
        <v>54</v>
      </c>
      <c r="AB77" t="s">
        <v>636</v>
      </c>
      <c r="AC77" t="s">
        <v>47</v>
      </c>
      <c r="AD77" t="s">
        <v>157</v>
      </c>
      <c r="AE77"/>
      <c r="AF77" t="s">
        <v>243</v>
      </c>
      <c r="AG77" t="s">
        <v>47</v>
      </c>
      <c r="AH77" t="s">
        <v>1080</v>
      </c>
      <c r="AI77" t="s">
        <v>47</v>
      </c>
      <c r="AJ77"/>
      <c r="AK77" t="s">
        <v>81</v>
      </c>
      <c r="AL77" t="s">
        <v>47</v>
      </c>
      <c r="AM77"/>
      <c r="AN77" t="s">
        <v>62</v>
      </c>
      <c r="AO77" t="s">
        <v>47</v>
      </c>
      <c r="AP77" t="s">
        <v>47</v>
      </c>
      <c r="AQ77" t="s">
        <v>47</v>
      </c>
      <c r="AR77">
        <v>462</v>
      </c>
      <c r="AS77"/>
      <c r="AT77"/>
      <c r="AU77"/>
      <c r="AV77" t="s">
        <v>47</v>
      </c>
      <c r="AW77" t="s">
        <v>255</v>
      </c>
      <c r="AX77">
        <v>12</v>
      </c>
      <c r="AY77">
        <v>12</v>
      </c>
      <c r="AZ77"/>
      <c r="BA77"/>
      <c r="BB77"/>
      <c r="BC77">
        <v>0</v>
      </c>
      <c r="BD77">
        <v>0</v>
      </c>
      <c r="BE77" t="s">
        <v>47</v>
      </c>
      <c r="BF77"/>
      <c r="BG77"/>
      <c r="BH77"/>
      <c r="BI77">
        <v>0</v>
      </c>
      <c r="BJ77">
        <v>0</v>
      </c>
      <c r="BK77"/>
      <c r="BL77"/>
      <c r="BM77" t="s">
        <v>47</v>
      </c>
      <c r="BN77" t="s">
        <v>47</v>
      </c>
      <c r="BO77" t="s">
        <v>47</v>
      </c>
      <c r="BP77" t="s">
        <v>47</v>
      </c>
      <c r="BQ77" t="s">
        <v>47</v>
      </c>
      <c r="BR77"/>
      <c r="BS77" t="s">
        <v>47</v>
      </c>
      <c r="BT77" t="s">
        <v>47</v>
      </c>
      <c r="BU77" t="s">
        <v>47</v>
      </c>
      <c r="BV77"/>
      <c r="BW77" t="s">
        <v>47</v>
      </c>
      <c r="BX77" t="s">
        <v>47</v>
      </c>
      <c r="BY77" t="s">
        <v>47</v>
      </c>
      <c r="BZ77" t="s">
        <v>47</v>
      </c>
      <c r="CA77" t="s">
        <v>47</v>
      </c>
      <c r="CB77" t="s">
        <v>47</v>
      </c>
      <c r="CC77" t="s">
        <v>47</v>
      </c>
      <c r="CD77" t="s">
        <v>47</v>
      </c>
      <c r="CE77" t="s">
        <v>47</v>
      </c>
      <c r="CF77" t="s">
        <v>47</v>
      </c>
      <c r="CG77" t="s">
        <v>47</v>
      </c>
      <c r="CH77" t="s">
        <v>47</v>
      </c>
      <c r="CI77" t="s">
        <v>47</v>
      </c>
      <c r="CJ77" t="s">
        <v>47</v>
      </c>
      <c r="CK77"/>
    </row>
    <row r="78" spans="1:89" s="7" customFormat="1" x14ac:dyDescent="0.25">
      <c r="A78" t="s">
        <v>1436</v>
      </c>
      <c r="B78" t="s">
        <v>1395</v>
      </c>
      <c r="C78" t="s">
        <v>1140</v>
      </c>
      <c r="D78" t="s">
        <v>1690</v>
      </c>
      <c r="E78">
        <v>305</v>
      </c>
      <c r="F78" t="s">
        <v>1300</v>
      </c>
      <c r="G78">
        <v>1099</v>
      </c>
      <c r="H78" s="9">
        <v>8.5</v>
      </c>
      <c r="I78" t="s">
        <v>1300</v>
      </c>
      <c r="J78" t="s">
        <v>153</v>
      </c>
      <c r="K78" t="s">
        <v>1691</v>
      </c>
      <c r="L78" t="s">
        <v>1692</v>
      </c>
      <c r="M78" s="10" t="str">
        <f>HYPERLINK(cna_product_database_catalog_website[[#This Row],[Spec Sheet Link]], cna_product_database_catalog_website[[#Headers],[Spec Sheet Link]])</f>
        <v>Spec Sheet Link</v>
      </c>
      <c r="N78" t="s">
        <v>46</v>
      </c>
      <c r="O78">
        <v>1</v>
      </c>
      <c r="P78">
        <v>1</v>
      </c>
      <c r="Q78" t="s">
        <v>47</v>
      </c>
      <c r="R78" t="s">
        <v>47</v>
      </c>
      <c r="S78" t="s">
        <v>47</v>
      </c>
      <c r="T78" t="s">
        <v>47</v>
      </c>
      <c r="U78" t="s">
        <v>47</v>
      </c>
      <c r="V78" t="s">
        <v>47</v>
      </c>
      <c r="W78" t="s">
        <v>47</v>
      </c>
      <c r="X78" t="s">
        <v>47</v>
      </c>
      <c r="Y78" t="s">
        <v>47</v>
      </c>
      <c r="Z78" t="s">
        <v>47</v>
      </c>
      <c r="AA78" t="s">
        <v>47</v>
      </c>
      <c r="AB78" t="s">
        <v>47</v>
      </c>
      <c r="AC78" t="s">
        <v>47</v>
      </c>
      <c r="AD78" t="s">
        <v>47</v>
      </c>
      <c r="AE78"/>
      <c r="AF78" t="s">
        <v>47</v>
      </c>
      <c r="AG78" t="s">
        <v>47</v>
      </c>
      <c r="AH78" t="s">
        <v>47</v>
      </c>
      <c r="AI78" t="s">
        <v>47</v>
      </c>
      <c r="AJ78"/>
      <c r="AK78"/>
      <c r="AL78" t="s">
        <v>47</v>
      </c>
      <c r="AM78"/>
      <c r="AN78"/>
      <c r="AO78" t="s">
        <v>47</v>
      </c>
      <c r="AP78" t="s">
        <v>47</v>
      </c>
      <c r="AQ78" t="s">
        <v>47</v>
      </c>
      <c r="AR78">
        <v>150</v>
      </c>
      <c r="AS78"/>
      <c r="AT78"/>
      <c r="AU78"/>
      <c r="AV78" t="s">
        <v>47</v>
      </c>
      <c r="AW78" t="s">
        <v>47</v>
      </c>
      <c r="AX78">
        <v>1</v>
      </c>
      <c r="AY78">
        <v>1</v>
      </c>
      <c r="AZ78"/>
      <c r="BA78"/>
      <c r="BB78"/>
      <c r="BC78">
        <v>0</v>
      </c>
      <c r="BD78">
        <v>0</v>
      </c>
      <c r="BE78" t="s">
        <v>47</v>
      </c>
      <c r="BF78"/>
      <c r="BG78"/>
      <c r="BH78"/>
      <c r="BI78">
        <v>0</v>
      </c>
      <c r="BJ78">
        <v>0</v>
      </c>
      <c r="BK78"/>
      <c r="BL78"/>
      <c r="BM78" t="s">
        <v>47</v>
      </c>
      <c r="BN78" t="s">
        <v>47</v>
      </c>
      <c r="BO78" t="s">
        <v>47</v>
      </c>
      <c r="BP78" t="s">
        <v>47</v>
      </c>
      <c r="BQ78" t="s">
        <v>47</v>
      </c>
      <c r="BR78"/>
      <c r="BS78" t="s">
        <v>47</v>
      </c>
      <c r="BT78" t="s">
        <v>47</v>
      </c>
      <c r="BU78" t="s">
        <v>47</v>
      </c>
      <c r="BV78"/>
      <c r="BW78" t="s">
        <v>47</v>
      </c>
      <c r="BX78" t="s">
        <v>47</v>
      </c>
      <c r="BY78" t="s">
        <v>47</v>
      </c>
      <c r="BZ78" t="s">
        <v>47</v>
      </c>
      <c r="CA78" t="s">
        <v>47</v>
      </c>
      <c r="CB78" t="s">
        <v>47</v>
      </c>
      <c r="CC78" t="s">
        <v>47</v>
      </c>
      <c r="CD78" t="s">
        <v>47</v>
      </c>
      <c r="CE78" t="s">
        <v>47</v>
      </c>
      <c r="CF78" t="s">
        <v>47</v>
      </c>
      <c r="CG78" t="s">
        <v>47</v>
      </c>
      <c r="CH78" t="s">
        <v>47</v>
      </c>
      <c r="CI78" t="s">
        <v>47</v>
      </c>
      <c r="CJ78" t="s">
        <v>47</v>
      </c>
      <c r="CK78"/>
    </row>
    <row r="79" spans="1:89" s="7" customFormat="1" x14ac:dyDescent="0.25">
      <c r="A79" t="s">
        <v>1436</v>
      </c>
      <c r="B79" t="s">
        <v>1395</v>
      </c>
      <c r="C79" t="s">
        <v>730</v>
      </c>
      <c r="D79" t="s">
        <v>1693</v>
      </c>
      <c r="E79">
        <v>307</v>
      </c>
      <c r="F79" t="s">
        <v>1301</v>
      </c>
      <c r="G79">
        <v>1124</v>
      </c>
      <c r="H79" s="9">
        <v>14.5</v>
      </c>
      <c r="I79" t="s">
        <v>1301</v>
      </c>
      <c r="J79" t="s">
        <v>675</v>
      </c>
      <c r="K79" t="s">
        <v>1694</v>
      </c>
      <c r="L79" t="s">
        <v>1695</v>
      </c>
      <c r="M79" s="10" t="str">
        <f>HYPERLINK(cna_product_database_catalog_website[[#This Row],[Spec Sheet Link]], cna_product_database_catalog_website[[#Headers],[Spec Sheet Link]])</f>
        <v>Spec Sheet Link</v>
      </c>
      <c r="N79" t="s">
        <v>46</v>
      </c>
      <c r="O79">
        <v>1</v>
      </c>
      <c r="P79">
        <v>1</v>
      </c>
      <c r="Q79" t="s">
        <v>47</v>
      </c>
      <c r="R79" t="s">
        <v>47</v>
      </c>
      <c r="S79" t="s">
        <v>47</v>
      </c>
      <c r="T79" t="s">
        <v>47</v>
      </c>
      <c r="U79" t="s">
        <v>47</v>
      </c>
      <c r="V79" t="s">
        <v>47</v>
      </c>
      <c r="W79" t="s">
        <v>47</v>
      </c>
      <c r="X79" t="s">
        <v>47</v>
      </c>
      <c r="Y79" t="s">
        <v>47</v>
      </c>
      <c r="Z79" t="s">
        <v>47</v>
      </c>
      <c r="AA79" t="s">
        <v>47</v>
      </c>
      <c r="AB79" t="s">
        <v>47</v>
      </c>
      <c r="AC79" t="s">
        <v>47</v>
      </c>
      <c r="AD79" t="s">
        <v>47</v>
      </c>
      <c r="AE79"/>
      <c r="AF79" t="s">
        <v>47</v>
      </c>
      <c r="AG79" t="s">
        <v>47</v>
      </c>
      <c r="AH79" t="s">
        <v>47</v>
      </c>
      <c r="AI79" t="s">
        <v>47</v>
      </c>
      <c r="AJ79"/>
      <c r="AK79"/>
      <c r="AL79" t="s">
        <v>47</v>
      </c>
      <c r="AM79"/>
      <c r="AN79"/>
      <c r="AO79" t="s">
        <v>47</v>
      </c>
      <c r="AP79" t="s">
        <v>47</v>
      </c>
      <c r="AQ79" t="s">
        <v>47</v>
      </c>
      <c r="AR79">
        <v>150</v>
      </c>
      <c r="AS79"/>
      <c r="AT79"/>
      <c r="AU79"/>
      <c r="AV79" t="s">
        <v>47</v>
      </c>
      <c r="AW79" t="s">
        <v>47</v>
      </c>
      <c r="AX79">
        <v>1</v>
      </c>
      <c r="AY79">
        <v>1</v>
      </c>
      <c r="AZ79"/>
      <c r="BA79"/>
      <c r="BB79"/>
      <c r="BC79">
        <v>0</v>
      </c>
      <c r="BD79">
        <v>0</v>
      </c>
      <c r="BE79" t="s">
        <v>47</v>
      </c>
      <c r="BF79"/>
      <c r="BG79"/>
      <c r="BH79"/>
      <c r="BI79">
        <v>0</v>
      </c>
      <c r="BJ79">
        <v>0</v>
      </c>
      <c r="BK79"/>
      <c r="BL79"/>
      <c r="BM79" t="s">
        <v>47</v>
      </c>
      <c r="BN79" t="s">
        <v>47</v>
      </c>
      <c r="BO79" t="s">
        <v>47</v>
      </c>
      <c r="BP79" t="s">
        <v>47</v>
      </c>
      <c r="BQ79" t="s">
        <v>47</v>
      </c>
      <c r="BR79"/>
      <c r="BS79" t="s">
        <v>47</v>
      </c>
      <c r="BT79" t="s">
        <v>47</v>
      </c>
      <c r="BU79" t="s">
        <v>47</v>
      </c>
      <c r="BV79"/>
      <c r="BW79" t="s">
        <v>47</v>
      </c>
      <c r="BX79" t="s">
        <v>47</v>
      </c>
      <c r="BY79" t="s">
        <v>47</v>
      </c>
      <c r="BZ79" t="s">
        <v>47</v>
      </c>
      <c r="CA79" t="s">
        <v>47</v>
      </c>
      <c r="CB79" t="s">
        <v>47</v>
      </c>
      <c r="CC79" t="s">
        <v>47</v>
      </c>
      <c r="CD79" t="s">
        <v>47</v>
      </c>
      <c r="CE79" t="s">
        <v>47</v>
      </c>
      <c r="CF79" t="s">
        <v>47</v>
      </c>
      <c r="CG79" t="s">
        <v>47</v>
      </c>
      <c r="CH79" t="s">
        <v>47</v>
      </c>
      <c r="CI79" t="s">
        <v>47</v>
      </c>
      <c r="CJ79" t="s">
        <v>47</v>
      </c>
      <c r="CK79"/>
    </row>
    <row r="80" spans="1:89" s="7" customFormat="1" x14ac:dyDescent="0.25">
      <c r="A80" t="s">
        <v>1436</v>
      </c>
      <c r="B80" t="s">
        <v>1395</v>
      </c>
      <c r="C80" t="s">
        <v>1139</v>
      </c>
      <c r="D80" t="s">
        <v>1696</v>
      </c>
      <c r="E80">
        <v>310</v>
      </c>
      <c r="F80" t="s">
        <v>679</v>
      </c>
      <c r="G80">
        <v>1081</v>
      </c>
      <c r="H80" s="9">
        <v>8.9</v>
      </c>
      <c r="I80" t="s">
        <v>679</v>
      </c>
      <c r="J80" t="s">
        <v>679</v>
      </c>
      <c r="K80" t="s">
        <v>1697</v>
      </c>
      <c r="L80" t="s">
        <v>1698</v>
      </c>
      <c r="M80" s="10" t="str">
        <f>HYPERLINK(cna_product_database_catalog_website[[#This Row],[Spec Sheet Link]], cna_product_database_catalog_website[[#Headers],[Spec Sheet Link]])</f>
        <v>Spec Sheet Link</v>
      </c>
      <c r="N80" t="s">
        <v>46</v>
      </c>
      <c r="O80">
        <v>1</v>
      </c>
      <c r="P80">
        <v>1</v>
      </c>
      <c r="Q80" t="s">
        <v>47</v>
      </c>
      <c r="R80" t="s">
        <v>47</v>
      </c>
      <c r="S80" t="s">
        <v>47</v>
      </c>
      <c r="T80" t="s">
        <v>47</v>
      </c>
      <c r="U80" t="s">
        <v>47</v>
      </c>
      <c r="V80" t="s">
        <v>47</v>
      </c>
      <c r="W80" t="s">
        <v>47</v>
      </c>
      <c r="X80" t="s">
        <v>47</v>
      </c>
      <c r="Y80" t="s">
        <v>47</v>
      </c>
      <c r="Z80" t="s">
        <v>47</v>
      </c>
      <c r="AA80" t="s">
        <v>47</v>
      </c>
      <c r="AB80" t="s">
        <v>47</v>
      </c>
      <c r="AC80" t="s">
        <v>47</v>
      </c>
      <c r="AD80" t="s">
        <v>47</v>
      </c>
      <c r="AE80"/>
      <c r="AF80" t="s">
        <v>47</v>
      </c>
      <c r="AG80" t="s">
        <v>47</v>
      </c>
      <c r="AH80" t="s">
        <v>47</v>
      </c>
      <c r="AI80" t="s">
        <v>47</v>
      </c>
      <c r="AJ80"/>
      <c r="AK80"/>
      <c r="AL80" t="s">
        <v>47</v>
      </c>
      <c r="AM80"/>
      <c r="AN80"/>
      <c r="AO80" t="s">
        <v>47</v>
      </c>
      <c r="AP80" t="s">
        <v>47</v>
      </c>
      <c r="AQ80" t="s">
        <v>47</v>
      </c>
      <c r="AR80">
        <v>150</v>
      </c>
      <c r="AS80"/>
      <c r="AT80"/>
      <c r="AU80"/>
      <c r="AV80" t="s">
        <v>47</v>
      </c>
      <c r="AW80" t="s">
        <v>47</v>
      </c>
      <c r="AX80">
        <v>1</v>
      </c>
      <c r="AY80">
        <v>1</v>
      </c>
      <c r="AZ80"/>
      <c r="BA80"/>
      <c r="BB80"/>
      <c r="BC80">
        <v>0</v>
      </c>
      <c r="BD80">
        <v>0</v>
      </c>
      <c r="BE80" t="s">
        <v>47</v>
      </c>
      <c r="BF80"/>
      <c r="BG80"/>
      <c r="BH80"/>
      <c r="BI80">
        <v>0</v>
      </c>
      <c r="BJ80">
        <v>0</v>
      </c>
      <c r="BK80"/>
      <c r="BL80"/>
      <c r="BM80" t="s">
        <v>47</v>
      </c>
      <c r="BN80" t="s">
        <v>47</v>
      </c>
      <c r="BO80" t="s">
        <v>47</v>
      </c>
      <c r="BP80" t="s">
        <v>47</v>
      </c>
      <c r="BQ80" t="s">
        <v>47</v>
      </c>
      <c r="BR80"/>
      <c r="BS80" t="s">
        <v>47</v>
      </c>
      <c r="BT80" t="s">
        <v>47</v>
      </c>
      <c r="BU80" t="s">
        <v>47</v>
      </c>
      <c r="BV80"/>
      <c r="BW80" t="s">
        <v>47</v>
      </c>
      <c r="BX80" t="s">
        <v>47</v>
      </c>
      <c r="BY80" t="s">
        <v>47</v>
      </c>
      <c r="BZ80" t="s">
        <v>47</v>
      </c>
      <c r="CA80" t="s">
        <v>47</v>
      </c>
      <c r="CB80" t="s">
        <v>47</v>
      </c>
      <c r="CC80" t="s">
        <v>47</v>
      </c>
      <c r="CD80" t="s">
        <v>47</v>
      </c>
      <c r="CE80" t="s">
        <v>47</v>
      </c>
      <c r="CF80" t="s">
        <v>47</v>
      </c>
      <c r="CG80" t="s">
        <v>47</v>
      </c>
      <c r="CH80" t="s">
        <v>47</v>
      </c>
      <c r="CI80" t="s">
        <v>47</v>
      </c>
      <c r="CJ80" t="s">
        <v>47</v>
      </c>
      <c r="CK80"/>
    </row>
    <row r="81" spans="1:89" s="7" customFormat="1" x14ac:dyDescent="0.25">
      <c r="A81" t="s">
        <v>1436</v>
      </c>
      <c r="B81" t="s">
        <v>1396</v>
      </c>
      <c r="C81" t="s">
        <v>1145</v>
      </c>
      <c r="D81" t="s">
        <v>1699</v>
      </c>
      <c r="E81">
        <v>320</v>
      </c>
      <c r="F81" t="s">
        <v>676</v>
      </c>
      <c r="G81">
        <v>1089</v>
      </c>
      <c r="H81" s="9">
        <v>8.5</v>
      </c>
      <c r="I81" t="s">
        <v>676</v>
      </c>
      <c r="J81" t="s">
        <v>676</v>
      </c>
      <c r="K81" t="s">
        <v>1700</v>
      </c>
      <c r="L81" t="s">
        <v>1701</v>
      </c>
      <c r="M81" s="10" t="str">
        <f>HYPERLINK(cna_product_database_catalog_website[[#This Row],[Spec Sheet Link]], cna_product_database_catalog_website[[#Headers],[Spec Sheet Link]])</f>
        <v>Spec Sheet Link</v>
      </c>
      <c r="N81" t="s">
        <v>46</v>
      </c>
      <c r="O81">
        <v>1</v>
      </c>
      <c r="P81">
        <v>1</v>
      </c>
      <c r="Q81" t="s">
        <v>47</v>
      </c>
      <c r="R81" t="s">
        <v>47</v>
      </c>
      <c r="S81" t="s">
        <v>47</v>
      </c>
      <c r="T81" t="s">
        <v>47</v>
      </c>
      <c r="U81" t="s">
        <v>47</v>
      </c>
      <c r="V81" t="s">
        <v>47</v>
      </c>
      <c r="W81" t="s">
        <v>47</v>
      </c>
      <c r="X81" t="s">
        <v>47</v>
      </c>
      <c r="Y81" t="s">
        <v>47</v>
      </c>
      <c r="Z81" t="s">
        <v>47</v>
      </c>
      <c r="AA81" t="s">
        <v>47</v>
      </c>
      <c r="AB81" t="s">
        <v>47</v>
      </c>
      <c r="AC81" t="s">
        <v>47</v>
      </c>
      <c r="AD81" t="s">
        <v>47</v>
      </c>
      <c r="AE81"/>
      <c r="AF81" t="s">
        <v>47</v>
      </c>
      <c r="AG81" t="s">
        <v>47</v>
      </c>
      <c r="AH81" t="s">
        <v>47</v>
      </c>
      <c r="AI81" t="s">
        <v>47</v>
      </c>
      <c r="AJ81"/>
      <c r="AK81"/>
      <c r="AL81" t="s">
        <v>47</v>
      </c>
      <c r="AM81"/>
      <c r="AN81"/>
      <c r="AO81" t="s">
        <v>47</v>
      </c>
      <c r="AP81" t="s">
        <v>47</v>
      </c>
      <c r="AQ81" t="s">
        <v>47</v>
      </c>
      <c r="AR81"/>
      <c r="AS81"/>
      <c r="AT81"/>
      <c r="AU81"/>
      <c r="AV81" t="s">
        <v>47</v>
      </c>
      <c r="AW81" t="s">
        <v>47</v>
      </c>
      <c r="AX81">
        <v>1</v>
      </c>
      <c r="AY81">
        <v>1</v>
      </c>
      <c r="AZ81"/>
      <c r="BA81"/>
      <c r="BB81"/>
      <c r="BC81">
        <v>0</v>
      </c>
      <c r="BD81">
        <v>0</v>
      </c>
      <c r="BE81" t="s">
        <v>47</v>
      </c>
      <c r="BF81"/>
      <c r="BG81"/>
      <c r="BH81"/>
      <c r="BI81">
        <v>0</v>
      </c>
      <c r="BJ81">
        <v>0</v>
      </c>
      <c r="BK81"/>
      <c r="BL81"/>
      <c r="BM81" t="s">
        <v>47</v>
      </c>
      <c r="BN81" t="s">
        <v>47</v>
      </c>
      <c r="BO81" t="s">
        <v>47</v>
      </c>
      <c r="BP81" t="s">
        <v>47</v>
      </c>
      <c r="BQ81" t="s">
        <v>47</v>
      </c>
      <c r="BR81"/>
      <c r="BS81" t="s">
        <v>47</v>
      </c>
      <c r="BT81" t="s">
        <v>47</v>
      </c>
      <c r="BU81" t="s">
        <v>47</v>
      </c>
      <c r="BV81"/>
      <c r="BW81" t="s">
        <v>47</v>
      </c>
      <c r="BX81" t="s">
        <v>47</v>
      </c>
      <c r="BY81" t="s">
        <v>47</v>
      </c>
      <c r="BZ81" t="s">
        <v>47</v>
      </c>
      <c r="CA81" t="s">
        <v>47</v>
      </c>
      <c r="CB81" t="s">
        <v>47</v>
      </c>
      <c r="CC81" t="s">
        <v>47</v>
      </c>
      <c r="CD81" t="s">
        <v>47</v>
      </c>
      <c r="CE81" t="s">
        <v>47</v>
      </c>
      <c r="CF81" t="s">
        <v>47</v>
      </c>
      <c r="CG81" t="s">
        <v>47</v>
      </c>
      <c r="CH81" t="s">
        <v>47</v>
      </c>
      <c r="CI81" t="s">
        <v>47</v>
      </c>
      <c r="CJ81" t="s">
        <v>47</v>
      </c>
      <c r="CK81"/>
    </row>
    <row r="82" spans="1:89" s="7" customFormat="1" x14ac:dyDescent="0.25">
      <c r="A82" t="s">
        <v>1436</v>
      </c>
      <c r="B82" t="s">
        <v>1396</v>
      </c>
      <c r="C82" t="s">
        <v>1146</v>
      </c>
      <c r="D82" t="s">
        <v>1702</v>
      </c>
      <c r="E82">
        <v>321</v>
      </c>
      <c r="F82" t="s">
        <v>1302</v>
      </c>
      <c r="G82">
        <v>1155</v>
      </c>
      <c r="H82" s="9">
        <v>9.5</v>
      </c>
      <c r="I82" t="s">
        <v>1302</v>
      </c>
      <c r="J82" t="s">
        <v>1274</v>
      </c>
      <c r="K82" t="s">
        <v>1703</v>
      </c>
      <c r="L82" t="s">
        <v>1704</v>
      </c>
      <c r="M82" s="10" t="str">
        <f>HYPERLINK(cna_product_database_catalog_website[[#This Row],[Spec Sheet Link]], cna_product_database_catalog_website[[#Headers],[Spec Sheet Link]])</f>
        <v>Spec Sheet Link</v>
      </c>
      <c r="N82" t="s">
        <v>46</v>
      </c>
      <c r="O82">
        <v>1</v>
      </c>
      <c r="P82">
        <v>1</v>
      </c>
      <c r="Q82" t="s">
        <v>1061</v>
      </c>
      <c r="R82" t="s">
        <v>50</v>
      </c>
      <c r="S82" t="s">
        <v>47</v>
      </c>
      <c r="T82" t="s">
        <v>1065</v>
      </c>
      <c r="U82" t="s">
        <v>230</v>
      </c>
      <c r="V82" t="s">
        <v>1070</v>
      </c>
      <c r="W82" t="s">
        <v>1072</v>
      </c>
      <c r="X82" t="s">
        <v>52</v>
      </c>
      <c r="Y82" t="s">
        <v>47</v>
      </c>
      <c r="Z82">
        <v>80</v>
      </c>
      <c r="AA82" t="s">
        <v>69</v>
      </c>
      <c r="AB82" t="s">
        <v>636</v>
      </c>
      <c r="AC82" t="s">
        <v>47</v>
      </c>
      <c r="AD82" t="s">
        <v>157</v>
      </c>
      <c r="AE82"/>
      <c r="AF82" t="s">
        <v>254</v>
      </c>
      <c r="AG82" t="s">
        <v>1077</v>
      </c>
      <c r="AH82"/>
      <c r="AI82" t="s">
        <v>47</v>
      </c>
      <c r="AJ82" t="s">
        <v>1081</v>
      </c>
      <c r="AK82"/>
      <c r="AL82" t="s">
        <v>47</v>
      </c>
      <c r="AM82" t="s">
        <v>1082</v>
      </c>
      <c r="AN82"/>
      <c r="AO82" t="s">
        <v>47</v>
      </c>
      <c r="AP82" t="s">
        <v>47</v>
      </c>
      <c r="AQ82" t="s">
        <v>47</v>
      </c>
      <c r="AR82"/>
      <c r="AS82"/>
      <c r="AT82"/>
      <c r="AU82"/>
      <c r="AV82" t="s">
        <v>47</v>
      </c>
      <c r="AW82" t="s">
        <v>255</v>
      </c>
      <c r="AX82">
        <v>30</v>
      </c>
      <c r="AY82">
        <v>30</v>
      </c>
      <c r="AZ82"/>
      <c r="BA82"/>
      <c r="BB82"/>
      <c r="BC82">
        <v>0</v>
      </c>
      <c r="BD82">
        <v>0</v>
      </c>
      <c r="BE82" t="s">
        <v>47</v>
      </c>
      <c r="BF82"/>
      <c r="BG82"/>
      <c r="BH82"/>
      <c r="BI82">
        <v>0</v>
      </c>
      <c r="BJ82">
        <v>0</v>
      </c>
      <c r="BK82"/>
      <c r="BL82"/>
      <c r="BM82" t="s">
        <v>47</v>
      </c>
      <c r="BN82" t="s">
        <v>47</v>
      </c>
      <c r="BO82" t="s">
        <v>47</v>
      </c>
      <c r="BP82" t="s">
        <v>47</v>
      </c>
      <c r="BQ82" t="s">
        <v>47</v>
      </c>
      <c r="BR82"/>
      <c r="BS82" t="s">
        <v>47</v>
      </c>
      <c r="BT82" t="s">
        <v>47</v>
      </c>
      <c r="BU82" t="s">
        <v>47</v>
      </c>
      <c r="BV82"/>
      <c r="BW82" t="s">
        <v>47</v>
      </c>
      <c r="BX82" t="s">
        <v>47</v>
      </c>
      <c r="BY82" t="s">
        <v>47</v>
      </c>
      <c r="BZ82" t="s">
        <v>47</v>
      </c>
      <c r="CA82" t="s">
        <v>47</v>
      </c>
      <c r="CB82" t="s">
        <v>47</v>
      </c>
      <c r="CC82" t="s">
        <v>47</v>
      </c>
      <c r="CD82" t="s">
        <v>47</v>
      </c>
      <c r="CE82" t="s">
        <v>47</v>
      </c>
      <c r="CF82" t="s">
        <v>47</v>
      </c>
      <c r="CG82" t="s">
        <v>47</v>
      </c>
      <c r="CH82" t="s">
        <v>47</v>
      </c>
      <c r="CI82" t="s">
        <v>47</v>
      </c>
      <c r="CJ82" t="s">
        <v>47</v>
      </c>
      <c r="CK82"/>
    </row>
    <row r="83" spans="1:89" s="7" customFormat="1" x14ac:dyDescent="0.25">
      <c r="A83" t="s">
        <v>1436</v>
      </c>
      <c r="B83" t="s">
        <v>1396</v>
      </c>
      <c r="C83" t="s">
        <v>1147</v>
      </c>
      <c r="D83" t="s">
        <v>1705</v>
      </c>
      <c r="E83">
        <v>322</v>
      </c>
      <c r="F83" t="s">
        <v>1303</v>
      </c>
      <c r="G83">
        <v>1154</v>
      </c>
      <c r="H83" s="9">
        <v>9.5</v>
      </c>
      <c r="I83" t="s">
        <v>1303</v>
      </c>
      <c r="J83" t="s">
        <v>1275</v>
      </c>
      <c r="K83" t="s">
        <v>1706</v>
      </c>
      <c r="L83" t="s">
        <v>1704</v>
      </c>
      <c r="M83" s="10" t="str">
        <f>HYPERLINK(cna_product_database_catalog_website[[#This Row],[Spec Sheet Link]], cna_product_database_catalog_website[[#Headers],[Spec Sheet Link]])</f>
        <v>Spec Sheet Link</v>
      </c>
      <c r="N83" t="s">
        <v>46</v>
      </c>
      <c r="O83">
        <v>1</v>
      </c>
      <c r="P83">
        <v>1</v>
      </c>
      <c r="Q83" t="s">
        <v>1062</v>
      </c>
      <c r="R83" t="s">
        <v>50</v>
      </c>
      <c r="S83" t="s">
        <v>47</v>
      </c>
      <c r="T83" t="s">
        <v>1066</v>
      </c>
      <c r="U83" t="s">
        <v>230</v>
      </c>
      <c r="V83" t="s">
        <v>1071</v>
      </c>
      <c r="W83" t="s">
        <v>1072</v>
      </c>
      <c r="X83" t="s">
        <v>52</v>
      </c>
      <c r="Y83" t="s">
        <v>47</v>
      </c>
      <c r="Z83">
        <v>80</v>
      </c>
      <c r="AA83" t="s">
        <v>69</v>
      </c>
      <c r="AB83" t="s">
        <v>636</v>
      </c>
      <c r="AC83" t="s">
        <v>47</v>
      </c>
      <c r="AD83" t="s">
        <v>157</v>
      </c>
      <c r="AE83"/>
      <c r="AF83" t="s">
        <v>256</v>
      </c>
      <c r="AG83" t="s">
        <v>1078</v>
      </c>
      <c r="AH83" t="s">
        <v>47</v>
      </c>
      <c r="AI83" t="s">
        <v>47</v>
      </c>
      <c r="AJ83" t="s">
        <v>1081</v>
      </c>
      <c r="AK83"/>
      <c r="AL83" t="s">
        <v>47</v>
      </c>
      <c r="AM83" t="s">
        <v>1082</v>
      </c>
      <c r="AN83"/>
      <c r="AO83" t="s">
        <v>47</v>
      </c>
      <c r="AP83" t="s">
        <v>47</v>
      </c>
      <c r="AQ83" t="s">
        <v>47</v>
      </c>
      <c r="AR83"/>
      <c r="AS83"/>
      <c r="AT83"/>
      <c r="AU83"/>
      <c r="AV83" t="s">
        <v>47</v>
      </c>
      <c r="AW83" t="s">
        <v>255</v>
      </c>
      <c r="AX83">
        <v>30</v>
      </c>
      <c r="AY83">
        <v>10</v>
      </c>
      <c r="AZ83"/>
      <c r="BA83"/>
      <c r="BB83"/>
      <c r="BC83">
        <v>0</v>
      </c>
      <c r="BD83">
        <v>0</v>
      </c>
      <c r="BE83" t="s">
        <v>47</v>
      </c>
      <c r="BF83"/>
      <c r="BG83"/>
      <c r="BH83"/>
      <c r="BI83">
        <v>0</v>
      </c>
      <c r="BJ83">
        <v>0</v>
      </c>
      <c r="BK83"/>
      <c r="BL83"/>
      <c r="BM83" t="s">
        <v>47</v>
      </c>
      <c r="BN83" t="s">
        <v>47</v>
      </c>
      <c r="BO83" t="s">
        <v>47</v>
      </c>
      <c r="BP83" t="s">
        <v>47</v>
      </c>
      <c r="BQ83" t="s">
        <v>47</v>
      </c>
      <c r="BR83"/>
      <c r="BS83" t="s">
        <v>47</v>
      </c>
      <c r="BT83" t="s">
        <v>47</v>
      </c>
      <c r="BU83" t="s">
        <v>47</v>
      </c>
      <c r="BV83"/>
      <c r="BW83" t="s">
        <v>47</v>
      </c>
      <c r="BX83" t="s">
        <v>47</v>
      </c>
      <c r="BY83" t="s">
        <v>47</v>
      </c>
      <c r="BZ83" t="s">
        <v>47</v>
      </c>
      <c r="CA83" t="s">
        <v>47</v>
      </c>
      <c r="CB83" t="s">
        <v>47</v>
      </c>
      <c r="CC83" t="s">
        <v>47</v>
      </c>
      <c r="CD83" t="s">
        <v>47</v>
      </c>
      <c r="CE83" t="s">
        <v>47</v>
      </c>
      <c r="CF83" t="s">
        <v>47</v>
      </c>
      <c r="CG83" t="s">
        <v>47</v>
      </c>
      <c r="CH83" t="s">
        <v>47</v>
      </c>
      <c r="CI83" t="s">
        <v>47</v>
      </c>
      <c r="CJ83" t="s">
        <v>47</v>
      </c>
      <c r="CK83"/>
    </row>
    <row r="84" spans="1:89" s="7" customFormat="1" x14ac:dyDescent="0.25">
      <c r="A84" t="s">
        <v>1436</v>
      </c>
      <c r="B84" t="s">
        <v>1396</v>
      </c>
      <c r="C84" t="s">
        <v>1272</v>
      </c>
      <c r="D84" t="s">
        <v>1707</v>
      </c>
      <c r="E84">
        <v>325</v>
      </c>
      <c r="F84" t="s">
        <v>677</v>
      </c>
      <c r="G84">
        <v>1038</v>
      </c>
      <c r="H84" s="9">
        <v>18</v>
      </c>
      <c r="I84" t="s">
        <v>677</v>
      </c>
      <c r="J84" t="s">
        <v>677</v>
      </c>
      <c r="K84" t="s">
        <v>1708</v>
      </c>
      <c r="L84" t="s">
        <v>1709</v>
      </c>
      <c r="M84" s="10" t="str">
        <f>HYPERLINK(cna_product_database_catalog_website[[#This Row],[Spec Sheet Link]], cna_product_database_catalog_website[[#Headers],[Spec Sheet Link]])</f>
        <v>Spec Sheet Link</v>
      </c>
      <c r="N84" t="s">
        <v>46</v>
      </c>
      <c r="O84">
        <v>1</v>
      </c>
      <c r="P84">
        <v>1</v>
      </c>
      <c r="Q84" t="s">
        <v>47</v>
      </c>
      <c r="R84" t="s">
        <v>47</v>
      </c>
      <c r="S84" t="s">
        <v>47</v>
      </c>
      <c r="T84" t="s">
        <v>47</v>
      </c>
      <c r="U84" t="s">
        <v>47</v>
      </c>
      <c r="V84" t="s">
        <v>47</v>
      </c>
      <c r="W84" t="s">
        <v>47</v>
      </c>
      <c r="X84" t="s">
        <v>47</v>
      </c>
      <c r="Y84" t="s">
        <v>47</v>
      </c>
      <c r="Z84" t="s">
        <v>47</v>
      </c>
      <c r="AA84" t="s">
        <v>47</v>
      </c>
      <c r="AB84" t="s">
        <v>47</v>
      </c>
      <c r="AC84" t="s">
        <v>47</v>
      </c>
      <c r="AD84" t="s">
        <v>47</v>
      </c>
      <c r="AE84"/>
      <c r="AF84" t="s">
        <v>47</v>
      </c>
      <c r="AG84" t="s">
        <v>47</v>
      </c>
      <c r="AH84" t="s">
        <v>47</v>
      </c>
      <c r="AI84" t="s">
        <v>47</v>
      </c>
      <c r="AJ84"/>
      <c r="AK84"/>
      <c r="AL84" t="s">
        <v>47</v>
      </c>
      <c r="AM84"/>
      <c r="AN84"/>
      <c r="AO84" t="s">
        <v>47</v>
      </c>
      <c r="AP84" t="s">
        <v>47</v>
      </c>
      <c r="AQ84" t="s">
        <v>47</v>
      </c>
      <c r="AR84"/>
      <c r="AS84"/>
      <c r="AT84"/>
      <c r="AU84"/>
      <c r="AV84" t="s">
        <v>47</v>
      </c>
      <c r="AW84" t="s">
        <v>47</v>
      </c>
      <c r="AX84">
        <v>1</v>
      </c>
      <c r="AY84">
        <v>1</v>
      </c>
      <c r="AZ84"/>
      <c r="BA84"/>
      <c r="BB84"/>
      <c r="BC84">
        <v>0</v>
      </c>
      <c r="BD84">
        <v>0</v>
      </c>
      <c r="BE84" t="s">
        <v>47</v>
      </c>
      <c r="BF84"/>
      <c r="BG84"/>
      <c r="BH84"/>
      <c r="BI84">
        <v>0</v>
      </c>
      <c r="BJ84">
        <v>0</v>
      </c>
      <c r="BK84"/>
      <c r="BL84"/>
      <c r="BM84" t="s">
        <v>47</v>
      </c>
      <c r="BN84" t="s">
        <v>47</v>
      </c>
      <c r="BO84" t="s">
        <v>47</v>
      </c>
      <c r="BP84" t="s">
        <v>47</v>
      </c>
      <c r="BQ84" t="s">
        <v>47</v>
      </c>
      <c r="BR84"/>
      <c r="BS84" t="s">
        <v>47</v>
      </c>
      <c r="BT84" t="s">
        <v>47</v>
      </c>
      <c r="BU84" t="s">
        <v>47</v>
      </c>
      <c r="BV84"/>
      <c r="BW84" t="s">
        <v>47</v>
      </c>
      <c r="BX84" t="s">
        <v>47</v>
      </c>
      <c r="BY84" t="s">
        <v>47</v>
      </c>
      <c r="BZ84" t="s">
        <v>47</v>
      </c>
      <c r="CA84" t="s">
        <v>47</v>
      </c>
      <c r="CB84" t="s">
        <v>47</v>
      </c>
      <c r="CC84" t="s">
        <v>47</v>
      </c>
      <c r="CD84" t="s">
        <v>47</v>
      </c>
      <c r="CE84" t="s">
        <v>47</v>
      </c>
      <c r="CF84" t="s">
        <v>47</v>
      </c>
      <c r="CG84" t="s">
        <v>47</v>
      </c>
      <c r="CH84" t="s">
        <v>47</v>
      </c>
      <c r="CI84" t="s">
        <v>47</v>
      </c>
      <c r="CJ84" t="s">
        <v>47</v>
      </c>
      <c r="CK84"/>
    </row>
    <row r="85" spans="1:89" s="7" customFormat="1" x14ac:dyDescent="0.25">
      <c r="A85" t="s">
        <v>1436</v>
      </c>
      <c r="B85" t="s">
        <v>1396</v>
      </c>
      <c r="C85" t="s">
        <v>1149</v>
      </c>
      <c r="D85" t="s">
        <v>1710</v>
      </c>
      <c r="E85">
        <v>330</v>
      </c>
      <c r="F85" t="s">
        <v>1305</v>
      </c>
      <c r="G85">
        <v>608</v>
      </c>
      <c r="H85" s="9">
        <v>10.9</v>
      </c>
      <c r="I85" t="s">
        <v>1305</v>
      </c>
      <c r="J85" t="s">
        <v>1048</v>
      </c>
      <c r="K85" t="s">
        <v>1711</v>
      </c>
      <c r="L85" t="s">
        <v>1712</v>
      </c>
      <c r="M85" s="10" t="str">
        <f>HYPERLINK(cna_product_database_catalog_website[[#This Row],[Spec Sheet Link]], cna_product_database_catalog_website[[#Headers],[Spec Sheet Link]])</f>
        <v>Spec Sheet Link</v>
      </c>
      <c r="N85" t="s">
        <v>46</v>
      </c>
      <c r="O85">
        <v>1</v>
      </c>
      <c r="P85">
        <v>1</v>
      </c>
      <c r="Q85" t="s">
        <v>47</v>
      </c>
      <c r="R85" t="s">
        <v>47</v>
      </c>
      <c r="S85" t="s">
        <v>47</v>
      </c>
      <c r="T85" t="s">
        <v>47</v>
      </c>
      <c r="U85" t="s">
        <v>47</v>
      </c>
      <c r="V85" t="s">
        <v>47</v>
      </c>
      <c r="W85" t="s">
        <v>47</v>
      </c>
      <c r="X85" t="s">
        <v>47</v>
      </c>
      <c r="Y85" t="s">
        <v>47</v>
      </c>
      <c r="Z85" t="s">
        <v>47</v>
      </c>
      <c r="AA85" t="s">
        <v>47</v>
      </c>
      <c r="AB85" t="s">
        <v>47</v>
      </c>
      <c r="AC85" t="s">
        <v>47</v>
      </c>
      <c r="AD85" t="s">
        <v>47</v>
      </c>
      <c r="AE85"/>
      <c r="AF85" t="s">
        <v>47</v>
      </c>
      <c r="AG85" t="s">
        <v>47</v>
      </c>
      <c r="AH85" t="s">
        <v>47</v>
      </c>
      <c r="AI85" t="s">
        <v>47</v>
      </c>
      <c r="AJ85"/>
      <c r="AK85"/>
      <c r="AL85" t="s">
        <v>47</v>
      </c>
      <c r="AM85"/>
      <c r="AN85"/>
      <c r="AO85" t="s">
        <v>47</v>
      </c>
      <c r="AP85" t="s">
        <v>47</v>
      </c>
      <c r="AQ85" t="s">
        <v>47</v>
      </c>
      <c r="AR85"/>
      <c r="AS85"/>
      <c r="AT85"/>
      <c r="AU85"/>
      <c r="AV85" t="s">
        <v>47</v>
      </c>
      <c r="AW85" t="s">
        <v>47</v>
      </c>
      <c r="AX85">
        <v>1</v>
      </c>
      <c r="AY85">
        <v>1</v>
      </c>
      <c r="AZ85"/>
      <c r="BA85"/>
      <c r="BB85"/>
      <c r="BC85">
        <v>0</v>
      </c>
      <c r="BD85">
        <v>0</v>
      </c>
      <c r="BE85" t="s">
        <v>47</v>
      </c>
      <c r="BF85"/>
      <c r="BG85"/>
      <c r="BH85"/>
      <c r="BI85">
        <v>0</v>
      </c>
      <c r="BJ85">
        <v>0</v>
      </c>
      <c r="BK85"/>
      <c r="BL85"/>
      <c r="BM85" t="s">
        <v>47</v>
      </c>
      <c r="BN85" t="s">
        <v>47</v>
      </c>
      <c r="BO85" t="s">
        <v>47</v>
      </c>
      <c r="BP85" t="s">
        <v>47</v>
      </c>
      <c r="BQ85" t="s">
        <v>47</v>
      </c>
      <c r="BR85"/>
      <c r="BS85" t="s">
        <v>47</v>
      </c>
      <c r="BT85" t="s">
        <v>47</v>
      </c>
      <c r="BU85" t="s">
        <v>47</v>
      </c>
      <c r="BV85"/>
      <c r="BW85" t="s">
        <v>47</v>
      </c>
      <c r="BX85" t="s">
        <v>47</v>
      </c>
      <c r="BY85" t="s">
        <v>47</v>
      </c>
      <c r="BZ85" t="s">
        <v>47</v>
      </c>
      <c r="CA85" t="s">
        <v>47</v>
      </c>
      <c r="CB85" t="s">
        <v>47</v>
      </c>
      <c r="CC85" t="s">
        <v>47</v>
      </c>
      <c r="CD85" t="s">
        <v>47</v>
      </c>
      <c r="CE85" t="s">
        <v>47</v>
      </c>
      <c r="CF85" t="s">
        <v>47</v>
      </c>
      <c r="CG85" t="s">
        <v>47</v>
      </c>
      <c r="CH85" t="s">
        <v>47</v>
      </c>
      <c r="CI85" t="s">
        <v>47</v>
      </c>
      <c r="CJ85" t="s">
        <v>47</v>
      </c>
      <c r="CK85"/>
    </row>
    <row r="86" spans="1:89" s="7" customFormat="1" x14ac:dyDescent="0.25">
      <c r="A86" t="s">
        <v>1436</v>
      </c>
      <c r="B86" t="s">
        <v>1396</v>
      </c>
      <c r="C86" t="s">
        <v>1148</v>
      </c>
      <c r="D86" t="s">
        <v>1713</v>
      </c>
      <c r="E86">
        <v>331</v>
      </c>
      <c r="F86" t="s">
        <v>1306</v>
      </c>
      <c r="G86">
        <v>1141</v>
      </c>
      <c r="H86" s="9">
        <v>12.9</v>
      </c>
      <c r="I86" t="s">
        <v>1306</v>
      </c>
      <c r="J86" t="s">
        <v>1277</v>
      </c>
      <c r="K86" t="s">
        <v>1714</v>
      </c>
      <c r="L86"/>
      <c r="M86" s="10" t="str">
        <f>HYPERLINK(cna_product_database_catalog_website[[#This Row],[Spec Sheet Link]], cna_product_database_catalog_website[[#Headers],[Spec Sheet Link]])</f>
        <v>Spec Sheet Link</v>
      </c>
      <c r="N86" t="s">
        <v>46</v>
      </c>
      <c r="O86">
        <v>1</v>
      </c>
      <c r="P86">
        <v>1</v>
      </c>
      <c r="Q86" t="s">
        <v>47</v>
      </c>
      <c r="R86" t="s">
        <v>47</v>
      </c>
      <c r="S86" t="s">
        <v>47</v>
      </c>
      <c r="T86" t="s">
        <v>47</v>
      </c>
      <c r="U86" t="s">
        <v>47</v>
      </c>
      <c r="V86" t="s">
        <v>47</v>
      </c>
      <c r="W86" t="s">
        <v>47</v>
      </c>
      <c r="X86" t="s">
        <v>63</v>
      </c>
      <c r="Y86" t="s">
        <v>47</v>
      </c>
      <c r="Z86" t="s">
        <v>47</v>
      </c>
      <c r="AA86" t="s">
        <v>47</v>
      </c>
      <c r="AB86" t="s">
        <v>47</v>
      </c>
      <c r="AC86" t="s">
        <v>47</v>
      </c>
      <c r="AD86" t="s">
        <v>47</v>
      </c>
      <c r="AE86"/>
      <c r="AF86" t="s">
        <v>47</v>
      </c>
      <c r="AG86" t="s">
        <v>47</v>
      </c>
      <c r="AH86" t="s">
        <v>47</v>
      </c>
      <c r="AI86" t="s">
        <v>47</v>
      </c>
      <c r="AJ86"/>
      <c r="AK86"/>
      <c r="AL86" t="s">
        <v>47</v>
      </c>
      <c r="AM86"/>
      <c r="AN86"/>
      <c r="AO86" t="s">
        <v>47</v>
      </c>
      <c r="AP86" t="s">
        <v>47</v>
      </c>
      <c r="AQ86" t="s">
        <v>47</v>
      </c>
      <c r="AR86"/>
      <c r="AS86"/>
      <c r="AT86"/>
      <c r="AU86"/>
      <c r="AV86" t="s">
        <v>47</v>
      </c>
      <c r="AW86" t="s">
        <v>47</v>
      </c>
      <c r="AX86" t="s">
        <v>47</v>
      </c>
      <c r="AY86" t="s">
        <v>47</v>
      </c>
      <c r="AZ86"/>
      <c r="BA86"/>
      <c r="BB86"/>
      <c r="BC86">
        <v>0</v>
      </c>
      <c r="BD86">
        <v>0</v>
      </c>
      <c r="BE86" t="s">
        <v>47</v>
      </c>
      <c r="BF86"/>
      <c r="BG86"/>
      <c r="BH86"/>
      <c r="BI86">
        <v>0</v>
      </c>
      <c r="BJ86">
        <v>0</v>
      </c>
      <c r="BK86"/>
      <c r="BL86"/>
      <c r="BM86" t="s">
        <v>47</v>
      </c>
      <c r="BN86" t="s">
        <v>47</v>
      </c>
      <c r="BO86" t="s">
        <v>47</v>
      </c>
      <c r="BP86" t="s">
        <v>47</v>
      </c>
      <c r="BQ86" t="s">
        <v>47</v>
      </c>
      <c r="BR86"/>
      <c r="BS86" t="s">
        <v>47</v>
      </c>
      <c r="BT86" t="s">
        <v>47</v>
      </c>
      <c r="BU86" t="s">
        <v>47</v>
      </c>
      <c r="BV86"/>
      <c r="BW86" t="s">
        <v>47</v>
      </c>
      <c r="BX86" t="s">
        <v>47</v>
      </c>
      <c r="BY86" t="s">
        <v>47</v>
      </c>
      <c r="BZ86" t="s">
        <v>47</v>
      </c>
      <c r="CA86" t="s">
        <v>47</v>
      </c>
      <c r="CB86" t="s">
        <v>47</v>
      </c>
      <c r="CC86" t="s">
        <v>47</v>
      </c>
      <c r="CD86" t="s">
        <v>47</v>
      </c>
      <c r="CE86" t="s">
        <v>47</v>
      </c>
      <c r="CF86" t="s">
        <v>47</v>
      </c>
      <c r="CG86" t="s">
        <v>47</v>
      </c>
      <c r="CH86" t="s">
        <v>47</v>
      </c>
      <c r="CI86" t="s">
        <v>47</v>
      </c>
      <c r="CJ86" t="s">
        <v>47</v>
      </c>
      <c r="CK86"/>
    </row>
    <row r="87" spans="1:89" s="7" customFormat="1" x14ac:dyDescent="0.25">
      <c r="A87" t="s">
        <v>1436</v>
      </c>
      <c r="B87" t="s">
        <v>1396</v>
      </c>
      <c r="C87" t="s">
        <v>1149</v>
      </c>
      <c r="D87" t="s">
        <v>1710</v>
      </c>
      <c r="E87">
        <v>332</v>
      </c>
      <c r="F87" t="s">
        <v>1307</v>
      </c>
      <c r="G87">
        <v>1140</v>
      </c>
      <c r="H87" s="9">
        <v>12.9</v>
      </c>
      <c r="I87" t="s">
        <v>1307</v>
      </c>
      <c r="J87" t="s">
        <v>1049</v>
      </c>
      <c r="K87" t="s">
        <v>1711</v>
      </c>
      <c r="L87" t="s">
        <v>1715</v>
      </c>
      <c r="M87" s="10" t="str">
        <f>HYPERLINK(cna_product_database_catalog_website[[#This Row],[Spec Sheet Link]], cna_product_database_catalog_website[[#Headers],[Spec Sheet Link]])</f>
        <v>Spec Sheet Link</v>
      </c>
      <c r="N87" t="s">
        <v>46</v>
      </c>
      <c r="O87">
        <v>1</v>
      </c>
      <c r="P87">
        <v>1</v>
      </c>
      <c r="Q87" t="s">
        <v>47</v>
      </c>
      <c r="R87" t="s">
        <v>47</v>
      </c>
      <c r="S87" t="s">
        <v>47</v>
      </c>
      <c r="T87" t="s">
        <v>47</v>
      </c>
      <c r="U87" t="s">
        <v>47</v>
      </c>
      <c r="V87" t="s">
        <v>47</v>
      </c>
      <c r="W87" t="s">
        <v>47</v>
      </c>
      <c r="X87" t="s">
        <v>52</v>
      </c>
      <c r="Y87" t="s">
        <v>47</v>
      </c>
      <c r="Z87" t="s">
        <v>47</v>
      </c>
      <c r="AA87" t="s">
        <v>47</v>
      </c>
      <c r="AB87" t="s">
        <v>47</v>
      </c>
      <c r="AC87" t="s">
        <v>47</v>
      </c>
      <c r="AD87" t="s">
        <v>47</v>
      </c>
      <c r="AE87"/>
      <c r="AF87" t="s">
        <v>47</v>
      </c>
      <c r="AG87" t="s">
        <v>47</v>
      </c>
      <c r="AH87" t="s">
        <v>47</v>
      </c>
      <c r="AI87" t="s">
        <v>47</v>
      </c>
      <c r="AJ87"/>
      <c r="AK87"/>
      <c r="AL87" t="s">
        <v>47</v>
      </c>
      <c r="AM87"/>
      <c r="AN87"/>
      <c r="AO87" t="s">
        <v>47</v>
      </c>
      <c r="AP87" t="s">
        <v>47</v>
      </c>
      <c r="AQ87" t="s">
        <v>47</v>
      </c>
      <c r="AR87"/>
      <c r="AS87"/>
      <c r="AT87"/>
      <c r="AU87"/>
      <c r="AV87" t="s">
        <v>47</v>
      </c>
      <c r="AW87" t="s">
        <v>47</v>
      </c>
      <c r="AX87" t="s">
        <v>47</v>
      </c>
      <c r="AY87" t="s">
        <v>47</v>
      </c>
      <c r="AZ87"/>
      <c r="BA87"/>
      <c r="BB87"/>
      <c r="BC87">
        <v>0</v>
      </c>
      <c r="BD87">
        <v>0</v>
      </c>
      <c r="BE87" t="s">
        <v>47</v>
      </c>
      <c r="BF87"/>
      <c r="BG87"/>
      <c r="BH87"/>
      <c r="BI87">
        <v>0</v>
      </c>
      <c r="BJ87">
        <v>0</v>
      </c>
      <c r="BK87"/>
      <c r="BL87"/>
      <c r="BM87" t="s">
        <v>47</v>
      </c>
      <c r="BN87" t="s">
        <v>47</v>
      </c>
      <c r="BO87" t="s">
        <v>47</v>
      </c>
      <c r="BP87" t="s">
        <v>47</v>
      </c>
      <c r="BQ87" t="s">
        <v>47</v>
      </c>
      <c r="BR87"/>
      <c r="BS87" t="s">
        <v>47</v>
      </c>
      <c r="BT87" t="s">
        <v>47</v>
      </c>
      <c r="BU87" t="s">
        <v>47</v>
      </c>
      <c r="BV87"/>
      <c r="BW87" t="s">
        <v>47</v>
      </c>
      <c r="BX87" t="s">
        <v>47</v>
      </c>
      <c r="BY87" t="s">
        <v>47</v>
      </c>
      <c r="BZ87" t="s">
        <v>47</v>
      </c>
      <c r="CA87" t="s">
        <v>47</v>
      </c>
      <c r="CB87" t="s">
        <v>47</v>
      </c>
      <c r="CC87" t="s">
        <v>47</v>
      </c>
      <c r="CD87" t="s">
        <v>47</v>
      </c>
      <c r="CE87" t="s">
        <v>47</v>
      </c>
      <c r="CF87" t="s">
        <v>47</v>
      </c>
      <c r="CG87" t="s">
        <v>47</v>
      </c>
      <c r="CH87" t="s">
        <v>47</v>
      </c>
      <c r="CI87" t="s">
        <v>47</v>
      </c>
      <c r="CJ87" t="s">
        <v>47</v>
      </c>
      <c r="CK87"/>
    </row>
    <row r="88" spans="1:89" s="7" customFormat="1" x14ac:dyDescent="0.25">
      <c r="A88" t="s">
        <v>1436</v>
      </c>
      <c r="B88" t="s">
        <v>1397</v>
      </c>
      <c r="C88" t="s">
        <v>1142</v>
      </c>
      <c r="D88" t="s">
        <v>1716</v>
      </c>
      <c r="E88">
        <v>340</v>
      </c>
      <c r="F88" t="s">
        <v>1276</v>
      </c>
      <c r="G88">
        <v>1102</v>
      </c>
      <c r="H88" s="9">
        <v>17</v>
      </c>
      <c r="I88" t="s">
        <v>1276</v>
      </c>
      <c r="J88" t="s">
        <v>1276</v>
      </c>
      <c r="K88" t="s">
        <v>1717</v>
      </c>
      <c r="L88" t="s">
        <v>1718</v>
      </c>
      <c r="M88" s="10" t="str">
        <f>HYPERLINK(cna_product_database_catalog_website[[#This Row],[Spec Sheet Link]], cna_product_database_catalog_website[[#Headers],[Spec Sheet Link]])</f>
        <v>Spec Sheet Link</v>
      </c>
      <c r="N88" t="s">
        <v>46</v>
      </c>
      <c r="O88">
        <v>1</v>
      </c>
      <c r="P88">
        <v>1</v>
      </c>
      <c r="Q88" t="s">
        <v>47</v>
      </c>
      <c r="R88" t="s">
        <v>47</v>
      </c>
      <c r="S88" t="s">
        <v>47</v>
      </c>
      <c r="T88" t="s">
        <v>47</v>
      </c>
      <c r="U88" t="s">
        <v>47</v>
      </c>
      <c r="V88" t="s">
        <v>47</v>
      </c>
      <c r="W88" t="s">
        <v>47</v>
      </c>
      <c r="X88" t="s">
        <v>47</v>
      </c>
      <c r="Y88" t="s">
        <v>47</v>
      </c>
      <c r="Z88" t="s">
        <v>47</v>
      </c>
      <c r="AA88" t="s">
        <v>47</v>
      </c>
      <c r="AB88" t="s">
        <v>47</v>
      </c>
      <c r="AC88" t="s">
        <v>47</v>
      </c>
      <c r="AD88" t="s">
        <v>47</v>
      </c>
      <c r="AE88"/>
      <c r="AF88" t="s">
        <v>47</v>
      </c>
      <c r="AG88" t="s">
        <v>47</v>
      </c>
      <c r="AH88" t="s">
        <v>47</v>
      </c>
      <c r="AI88" t="s">
        <v>47</v>
      </c>
      <c r="AJ88"/>
      <c r="AK88"/>
      <c r="AL88" t="s">
        <v>47</v>
      </c>
      <c r="AM88"/>
      <c r="AN88"/>
      <c r="AO88" t="s">
        <v>47</v>
      </c>
      <c r="AP88" t="s">
        <v>47</v>
      </c>
      <c r="AQ88" t="s">
        <v>47</v>
      </c>
      <c r="AR88"/>
      <c r="AS88"/>
      <c r="AT88"/>
      <c r="AU88"/>
      <c r="AV88" t="s">
        <v>47</v>
      </c>
      <c r="AW88" t="s">
        <v>47</v>
      </c>
      <c r="AX88" t="s">
        <v>47</v>
      </c>
      <c r="AY88" t="s">
        <v>47</v>
      </c>
      <c r="AZ88"/>
      <c r="BA88"/>
      <c r="BB88"/>
      <c r="BC88">
        <v>0</v>
      </c>
      <c r="BD88">
        <v>0</v>
      </c>
      <c r="BE88" t="s">
        <v>47</v>
      </c>
      <c r="BF88"/>
      <c r="BG88"/>
      <c r="BH88"/>
      <c r="BI88">
        <v>0</v>
      </c>
      <c r="BJ88">
        <v>0</v>
      </c>
      <c r="BK88"/>
      <c r="BL88"/>
      <c r="BM88" t="s">
        <v>47</v>
      </c>
      <c r="BN88" t="s">
        <v>47</v>
      </c>
      <c r="BO88" t="s">
        <v>47</v>
      </c>
      <c r="BP88" t="s">
        <v>47</v>
      </c>
      <c r="BQ88" t="s">
        <v>47</v>
      </c>
      <c r="BR88"/>
      <c r="BS88" t="s">
        <v>47</v>
      </c>
      <c r="BT88" t="s">
        <v>47</v>
      </c>
      <c r="BU88" t="s">
        <v>47</v>
      </c>
      <c r="BV88"/>
      <c r="BW88" t="s">
        <v>47</v>
      </c>
      <c r="BX88" t="s">
        <v>47</v>
      </c>
      <c r="BY88" t="s">
        <v>47</v>
      </c>
      <c r="BZ88" t="s">
        <v>47</v>
      </c>
      <c r="CA88" t="s">
        <v>47</v>
      </c>
      <c r="CB88" t="s">
        <v>47</v>
      </c>
      <c r="CC88" t="s">
        <v>47</v>
      </c>
      <c r="CD88" t="s">
        <v>47</v>
      </c>
      <c r="CE88" t="s">
        <v>47</v>
      </c>
      <c r="CF88" t="s">
        <v>47</v>
      </c>
      <c r="CG88" t="s">
        <v>47</v>
      </c>
      <c r="CH88" t="s">
        <v>47</v>
      </c>
      <c r="CI88" t="s">
        <v>47</v>
      </c>
      <c r="CJ88" t="s">
        <v>47</v>
      </c>
      <c r="CK88"/>
    </row>
    <row r="89" spans="1:89" s="7" customFormat="1" x14ac:dyDescent="0.25">
      <c r="A89" t="s">
        <v>1436</v>
      </c>
      <c r="B89" t="s">
        <v>1397</v>
      </c>
      <c r="C89" t="s">
        <v>1143</v>
      </c>
      <c r="D89" t="s">
        <v>1719</v>
      </c>
      <c r="E89">
        <v>341</v>
      </c>
      <c r="F89" t="s">
        <v>735</v>
      </c>
      <c r="G89">
        <v>1040</v>
      </c>
      <c r="H89" s="9">
        <v>18</v>
      </c>
      <c r="I89" t="s">
        <v>735</v>
      </c>
      <c r="J89" t="s">
        <v>193</v>
      </c>
      <c r="K89" t="s">
        <v>47</v>
      </c>
      <c r="L89" t="s">
        <v>45</v>
      </c>
      <c r="M89" s="10"/>
      <c r="N89" t="s">
        <v>46</v>
      </c>
      <c r="O89">
        <v>1</v>
      </c>
      <c r="P89">
        <v>1</v>
      </c>
      <c r="Q89" t="s">
        <v>47</v>
      </c>
      <c r="R89" t="s">
        <v>47</v>
      </c>
      <c r="S89" t="s">
        <v>47</v>
      </c>
      <c r="T89" t="s">
        <v>47</v>
      </c>
      <c r="U89" t="s">
        <v>47</v>
      </c>
      <c r="V89" t="s">
        <v>47</v>
      </c>
      <c r="W89" t="s">
        <v>47</v>
      </c>
      <c r="X89" t="s">
        <v>47</v>
      </c>
      <c r="Y89" t="s">
        <v>47</v>
      </c>
      <c r="Z89" t="s">
        <v>47</v>
      </c>
      <c r="AA89" t="s">
        <v>47</v>
      </c>
      <c r="AB89" t="s">
        <v>47</v>
      </c>
      <c r="AC89" t="s">
        <v>47</v>
      </c>
      <c r="AD89" t="s">
        <v>47</v>
      </c>
      <c r="AE89"/>
      <c r="AF89" t="s">
        <v>47</v>
      </c>
      <c r="AG89" t="s">
        <v>47</v>
      </c>
      <c r="AH89" t="s">
        <v>47</v>
      </c>
      <c r="AI89" t="s">
        <v>47</v>
      </c>
      <c r="AJ89"/>
      <c r="AK89"/>
      <c r="AL89" t="s">
        <v>47</v>
      </c>
      <c r="AM89"/>
      <c r="AN89"/>
      <c r="AO89" t="s">
        <v>47</v>
      </c>
      <c r="AP89" t="s">
        <v>47</v>
      </c>
      <c r="AQ89" t="s">
        <v>47</v>
      </c>
      <c r="AR89"/>
      <c r="AS89"/>
      <c r="AT89"/>
      <c r="AU89"/>
      <c r="AV89" t="s">
        <v>47</v>
      </c>
      <c r="AW89" t="s">
        <v>47</v>
      </c>
      <c r="AX89" t="s">
        <v>47</v>
      </c>
      <c r="AY89" t="s">
        <v>47</v>
      </c>
      <c r="AZ89"/>
      <c r="BA89"/>
      <c r="BB89"/>
      <c r="BC89">
        <v>0</v>
      </c>
      <c r="BD89">
        <v>0</v>
      </c>
      <c r="BE89" t="s">
        <v>47</v>
      </c>
      <c r="BF89"/>
      <c r="BG89"/>
      <c r="BH89"/>
      <c r="BI89">
        <v>0</v>
      </c>
      <c r="BJ89">
        <v>0</v>
      </c>
      <c r="BK89"/>
      <c r="BL89"/>
      <c r="BM89" t="s">
        <v>47</v>
      </c>
      <c r="BN89" t="s">
        <v>47</v>
      </c>
      <c r="BO89" t="s">
        <v>47</v>
      </c>
      <c r="BP89" t="s">
        <v>47</v>
      </c>
      <c r="BQ89" t="s">
        <v>47</v>
      </c>
      <c r="BR89"/>
      <c r="BS89" t="s">
        <v>47</v>
      </c>
      <c r="BT89" t="s">
        <v>47</v>
      </c>
      <c r="BU89" t="s">
        <v>47</v>
      </c>
      <c r="BV89"/>
      <c r="BW89" t="s">
        <v>47</v>
      </c>
      <c r="BX89" t="s">
        <v>47</v>
      </c>
      <c r="BY89" t="s">
        <v>47</v>
      </c>
      <c r="BZ89" t="s">
        <v>47</v>
      </c>
      <c r="CA89" t="s">
        <v>47</v>
      </c>
      <c r="CB89" t="s">
        <v>47</v>
      </c>
      <c r="CC89" t="s">
        <v>47</v>
      </c>
      <c r="CD89" t="s">
        <v>47</v>
      </c>
      <c r="CE89" t="s">
        <v>47</v>
      </c>
      <c r="CF89" t="s">
        <v>47</v>
      </c>
      <c r="CG89" t="s">
        <v>47</v>
      </c>
      <c r="CH89" t="s">
        <v>47</v>
      </c>
      <c r="CI89" t="s">
        <v>47</v>
      </c>
      <c r="CJ89" t="s">
        <v>47</v>
      </c>
      <c r="CK89"/>
    </row>
    <row r="90" spans="1:89" s="7" customFormat="1" x14ac:dyDescent="0.25">
      <c r="A90" t="s">
        <v>1436</v>
      </c>
      <c r="B90" t="s">
        <v>1397</v>
      </c>
      <c r="C90" t="s">
        <v>1141</v>
      </c>
      <c r="D90" t="s">
        <v>1720</v>
      </c>
      <c r="E90">
        <v>342</v>
      </c>
      <c r="F90" t="s">
        <v>678</v>
      </c>
      <c r="G90">
        <v>1041</v>
      </c>
      <c r="H90" s="9">
        <v>18</v>
      </c>
      <c r="I90" t="s">
        <v>678</v>
      </c>
      <c r="J90" t="s">
        <v>678</v>
      </c>
      <c r="K90" t="s">
        <v>1717</v>
      </c>
      <c r="L90" t="s">
        <v>1721</v>
      </c>
      <c r="M90" s="10" t="str">
        <f>HYPERLINK(cna_product_database_catalog_website[[#This Row],[Spec Sheet Link]], cna_product_database_catalog_website[[#Headers],[Spec Sheet Link]])</f>
        <v>Spec Sheet Link</v>
      </c>
      <c r="N90" t="s">
        <v>46</v>
      </c>
      <c r="O90">
        <v>1</v>
      </c>
      <c r="P90">
        <v>1</v>
      </c>
      <c r="Q90" t="s">
        <v>47</v>
      </c>
      <c r="R90" t="s">
        <v>47</v>
      </c>
      <c r="S90" t="s">
        <v>47</v>
      </c>
      <c r="T90" t="s">
        <v>47</v>
      </c>
      <c r="U90" t="s">
        <v>47</v>
      </c>
      <c r="V90" t="s">
        <v>47</v>
      </c>
      <c r="W90" t="s">
        <v>47</v>
      </c>
      <c r="X90" t="s">
        <v>47</v>
      </c>
      <c r="Y90" t="s">
        <v>47</v>
      </c>
      <c r="Z90" t="s">
        <v>47</v>
      </c>
      <c r="AA90" t="s">
        <v>47</v>
      </c>
      <c r="AB90" t="s">
        <v>47</v>
      </c>
      <c r="AC90" t="s">
        <v>47</v>
      </c>
      <c r="AD90" t="s">
        <v>47</v>
      </c>
      <c r="AE90"/>
      <c r="AF90" t="s">
        <v>47</v>
      </c>
      <c r="AG90" t="s">
        <v>47</v>
      </c>
      <c r="AH90" t="s">
        <v>47</v>
      </c>
      <c r="AI90" t="s">
        <v>47</v>
      </c>
      <c r="AJ90"/>
      <c r="AK90"/>
      <c r="AL90" t="s">
        <v>47</v>
      </c>
      <c r="AM90"/>
      <c r="AN90"/>
      <c r="AO90" t="s">
        <v>47</v>
      </c>
      <c r="AP90" t="s">
        <v>47</v>
      </c>
      <c r="AQ90" t="s">
        <v>47</v>
      </c>
      <c r="AR90"/>
      <c r="AS90"/>
      <c r="AT90"/>
      <c r="AU90"/>
      <c r="AV90" t="s">
        <v>47</v>
      </c>
      <c r="AW90" t="s">
        <v>47</v>
      </c>
      <c r="AX90" t="s">
        <v>47</v>
      </c>
      <c r="AY90" t="s">
        <v>47</v>
      </c>
      <c r="AZ90"/>
      <c r="BA90"/>
      <c r="BB90"/>
      <c r="BC90">
        <v>0</v>
      </c>
      <c r="BD90">
        <v>0</v>
      </c>
      <c r="BE90" t="s">
        <v>47</v>
      </c>
      <c r="BF90"/>
      <c r="BG90"/>
      <c r="BH90"/>
      <c r="BI90">
        <v>0</v>
      </c>
      <c r="BJ90">
        <v>0</v>
      </c>
      <c r="BK90"/>
      <c r="BL90"/>
      <c r="BM90" t="s">
        <v>47</v>
      </c>
      <c r="BN90" t="s">
        <v>47</v>
      </c>
      <c r="BO90" t="s">
        <v>47</v>
      </c>
      <c r="BP90" t="s">
        <v>47</v>
      </c>
      <c r="BQ90" t="s">
        <v>47</v>
      </c>
      <c r="BR90"/>
      <c r="BS90" t="s">
        <v>47</v>
      </c>
      <c r="BT90" t="s">
        <v>47</v>
      </c>
      <c r="BU90" t="s">
        <v>47</v>
      </c>
      <c r="BV90"/>
      <c r="BW90" t="s">
        <v>47</v>
      </c>
      <c r="BX90" t="s">
        <v>47</v>
      </c>
      <c r="BY90" t="s">
        <v>47</v>
      </c>
      <c r="BZ90" t="s">
        <v>47</v>
      </c>
      <c r="CA90" t="s">
        <v>47</v>
      </c>
      <c r="CB90" t="s">
        <v>47</v>
      </c>
      <c r="CC90" t="s">
        <v>47</v>
      </c>
      <c r="CD90" t="s">
        <v>47</v>
      </c>
      <c r="CE90" t="s">
        <v>47</v>
      </c>
      <c r="CF90" t="s">
        <v>47</v>
      </c>
      <c r="CG90" t="s">
        <v>47</v>
      </c>
      <c r="CH90" t="s">
        <v>47</v>
      </c>
      <c r="CI90" t="s">
        <v>47</v>
      </c>
      <c r="CJ90" t="s">
        <v>47</v>
      </c>
      <c r="CK90"/>
    </row>
    <row r="91" spans="1:89" s="7" customFormat="1" x14ac:dyDescent="0.25">
      <c r="A91" t="s">
        <v>1436</v>
      </c>
      <c r="B91" t="s">
        <v>1397</v>
      </c>
      <c r="C91" t="s">
        <v>1144</v>
      </c>
      <c r="D91" t="s">
        <v>1722</v>
      </c>
      <c r="E91">
        <v>343</v>
      </c>
      <c r="F91" t="s">
        <v>1304</v>
      </c>
      <c r="G91">
        <v>1125</v>
      </c>
      <c r="H91" s="9">
        <v>19</v>
      </c>
      <c r="I91" t="s">
        <v>1304</v>
      </c>
      <c r="J91" t="s">
        <v>1273</v>
      </c>
      <c r="K91" t="s">
        <v>1723</v>
      </c>
      <c r="L91" t="s">
        <v>1724</v>
      </c>
      <c r="M91" s="10" t="str">
        <f>HYPERLINK(cna_product_database_catalog_website[[#This Row],[Spec Sheet Link]], cna_product_database_catalog_website[[#Headers],[Spec Sheet Link]])</f>
        <v>Spec Sheet Link</v>
      </c>
      <c r="N91" t="s">
        <v>46</v>
      </c>
      <c r="O91">
        <v>1</v>
      </c>
      <c r="P91">
        <v>1</v>
      </c>
      <c r="Q91" t="s">
        <v>47</v>
      </c>
      <c r="R91" t="s">
        <v>47</v>
      </c>
      <c r="S91" t="s">
        <v>47</v>
      </c>
      <c r="T91" t="s">
        <v>47</v>
      </c>
      <c r="U91" t="s">
        <v>47</v>
      </c>
      <c r="V91" t="s">
        <v>47</v>
      </c>
      <c r="W91" t="s">
        <v>47</v>
      </c>
      <c r="X91" t="s">
        <v>47</v>
      </c>
      <c r="Y91" t="s">
        <v>47</v>
      </c>
      <c r="Z91" t="s">
        <v>47</v>
      </c>
      <c r="AA91" t="s">
        <v>47</v>
      </c>
      <c r="AB91" t="s">
        <v>47</v>
      </c>
      <c r="AC91" t="s">
        <v>47</v>
      </c>
      <c r="AD91" t="s">
        <v>47</v>
      </c>
      <c r="AE91"/>
      <c r="AF91" t="s">
        <v>47</v>
      </c>
      <c r="AG91" t="s">
        <v>47</v>
      </c>
      <c r="AH91" t="s">
        <v>47</v>
      </c>
      <c r="AI91" t="s">
        <v>47</v>
      </c>
      <c r="AJ91"/>
      <c r="AK91"/>
      <c r="AL91" t="s">
        <v>47</v>
      </c>
      <c r="AM91"/>
      <c r="AN91"/>
      <c r="AO91" t="s">
        <v>47</v>
      </c>
      <c r="AP91" t="s">
        <v>47</v>
      </c>
      <c r="AQ91" t="s">
        <v>47</v>
      </c>
      <c r="AR91"/>
      <c r="AS91"/>
      <c r="AT91"/>
      <c r="AU91"/>
      <c r="AV91" t="s">
        <v>47</v>
      </c>
      <c r="AW91" t="s">
        <v>47</v>
      </c>
      <c r="AX91" t="s">
        <v>47</v>
      </c>
      <c r="AY91" t="s">
        <v>47</v>
      </c>
      <c r="AZ91"/>
      <c r="BA91"/>
      <c r="BB91"/>
      <c r="BC91">
        <v>0</v>
      </c>
      <c r="BD91">
        <v>0</v>
      </c>
      <c r="BE91" t="s">
        <v>47</v>
      </c>
      <c r="BF91"/>
      <c r="BG91"/>
      <c r="BH91"/>
      <c r="BI91">
        <v>0</v>
      </c>
      <c r="BJ91">
        <v>0</v>
      </c>
      <c r="BK91"/>
      <c r="BL91"/>
      <c r="BM91" t="s">
        <v>47</v>
      </c>
      <c r="BN91" t="s">
        <v>47</v>
      </c>
      <c r="BO91" t="s">
        <v>47</v>
      </c>
      <c r="BP91" t="s">
        <v>47</v>
      </c>
      <c r="BQ91" t="s">
        <v>47</v>
      </c>
      <c r="BR91"/>
      <c r="BS91" t="s">
        <v>47</v>
      </c>
      <c r="BT91" t="s">
        <v>47</v>
      </c>
      <c r="BU91" t="s">
        <v>47</v>
      </c>
      <c r="BV91"/>
      <c r="BW91" t="s">
        <v>47</v>
      </c>
      <c r="BX91" t="s">
        <v>47</v>
      </c>
      <c r="BY91" t="s">
        <v>47</v>
      </c>
      <c r="BZ91" t="s">
        <v>47</v>
      </c>
      <c r="CA91" t="s">
        <v>47</v>
      </c>
      <c r="CB91" t="s">
        <v>47</v>
      </c>
      <c r="CC91" t="s">
        <v>47</v>
      </c>
      <c r="CD91" t="s">
        <v>47</v>
      </c>
      <c r="CE91" t="s">
        <v>47</v>
      </c>
      <c r="CF91" t="s">
        <v>47</v>
      </c>
      <c r="CG91" t="s">
        <v>47</v>
      </c>
      <c r="CH91" t="s">
        <v>47</v>
      </c>
      <c r="CI91" t="s">
        <v>47</v>
      </c>
      <c r="CJ91" t="s">
        <v>47</v>
      </c>
      <c r="CK91"/>
    </row>
    <row r="92" spans="1:89" s="7" customFormat="1" x14ac:dyDescent="0.25">
      <c r="A92" t="s">
        <v>1436</v>
      </c>
      <c r="B92" t="s">
        <v>1398</v>
      </c>
      <c r="C92" t="s">
        <v>1150</v>
      </c>
      <c r="D92" t="s">
        <v>1725</v>
      </c>
      <c r="E92">
        <v>360</v>
      </c>
      <c r="F92" t="s">
        <v>1309</v>
      </c>
      <c r="G92">
        <v>1106</v>
      </c>
      <c r="H92" s="9">
        <v>8.9</v>
      </c>
      <c r="I92" t="s">
        <v>1309</v>
      </c>
      <c r="J92" t="s">
        <v>175</v>
      </c>
      <c r="K92" t="s">
        <v>1726</v>
      </c>
      <c r="L92" t="s">
        <v>1727</v>
      </c>
      <c r="M92" s="10" t="str">
        <f>HYPERLINK(cna_product_database_catalog_website[[#This Row],[Spec Sheet Link]], cna_product_database_catalog_website[[#Headers],[Spec Sheet Link]])</f>
        <v>Spec Sheet Link</v>
      </c>
      <c r="N92" t="s">
        <v>46</v>
      </c>
      <c r="O92">
        <v>1</v>
      </c>
      <c r="P92">
        <v>1</v>
      </c>
      <c r="Q92" t="s">
        <v>47</v>
      </c>
      <c r="R92" t="s">
        <v>47</v>
      </c>
      <c r="S92" t="s">
        <v>47</v>
      </c>
      <c r="T92" t="s">
        <v>47</v>
      </c>
      <c r="U92" t="s">
        <v>47</v>
      </c>
      <c r="V92" t="s">
        <v>47</v>
      </c>
      <c r="W92" t="s">
        <v>47</v>
      </c>
      <c r="X92" t="s">
        <v>47</v>
      </c>
      <c r="Y92" t="s">
        <v>47</v>
      </c>
      <c r="Z92" t="s">
        <v>47</v>
      </c>
      <c r="AA92" t="s">
        <v>47</v>
      </c>
      <c r="AB92" t="s">
        <v>47</v>
      </c>
      <c r="AC92" t="s">
        <v>47</v>
      </c>
      <c r="AD92" t="s">
        <v>47</v>
      </c>
      <c r="AE92"/>
      <c r="AF92" t="s">
        <v>47</v>
      </c>
      <c r="AG92" t="s">
        <v>47</v>
      </c>
      <c r="AH92" t="s">
        <v>47</v>
      </c>
      <c r="AI92" t="s">
        <v>47</v>
      </c>
      <c r="AJ92"/>
      <c r="AK92"/>
      <c r="AL92" t="s">
        <v>47</v>
      </c>
      <c r="AM92"/>
      <c r="AN92"/>
      <c r="AO92" t="s">
        <v>47</v>
      </c>
      <c r="AP92" t="s">
        <v>47</v>
      </c>
      <c r="AQ92" t="s">
        <v>47</v>
      </c>
      <c r="AR92"/>
      <c r="AS92"/>
      <c r="AT92"/>
      <c r="AU92"/>
      <c r="AV92" t="s">
        <v>47</v>
      </c>
      <c r="AW92" t="s">
        <v>47</v>
      </c>
      <c r="AX92" t="s">
        <v>47</v>
      </c>
      <c r="AY92" t="s">
        <v>47</v>
      </c>
      <c r="AZ92"/>
      <c r="BA92"/>
      <c r="BB92"/>
      <c r="BC92">
        <v>0</v>
      </c>
      <c r="BD92">
        <v>0</v>
      </c>
      <c r="BE92" t="s">
        <v>47</v>
      </c>
      <c r="BF92"/>
      <c r="BG92"/>
      <c r="BH92"/>
      <c r="BI92">
        <v>0</v>
      </c>
      <c r="BJ92">
        <v>0</v>
      </c>
      <c r="BK92"/>
      <c r="BL92"/>
      <c r="BM92" t="s">
        <v>47</v>
      </c>
      <c r="BN92" t="s">
        <v>47</v>
      </c>
      <c r="BO92" t="s">
        <v>47</v>
      </c>
      <c r="BP92" t="s">
        <v>47</v>
      </c>
      <c r="BQ92" t="s">
        <v>47</v>
      </c>
      <c r="BR92"/>
      <c r="BS92" t="s">
        <v>47</v>
      </c>
      <c r="BT92" t="s">
        <v>47</v>
      </c>
      <c r="BU92" t="s">
        <v>47</v>
      </c>
      <c r="BV92"/>
      <c r="BW92" t="s">
        <v>47</v>
      </c>
      <c r="BX92" t="s">
        <v>47</v>
      </c>
      <c r="BY92" t="s">
        <v>47</v>
      </c>
      <c r="BZ92" t="s">
        <v>47</v>
      </c>
      <c r="CA92" t="s">
        <v>47</v>
      </c>
      <c r="CB92" t="s">
        <v>47</v>
      </c>
      <c r="CC92" t="s">
        <v>47</v>
      </c>
      <c r="CD92" t="s">
        <v>47</v>
      </c>
      <c r="CE92" t="s">
        <v>47</v>
      </c>
      <c r="CF92" t="s">
        <v>47</v>
      </c>
      <c r="CG92" t="s">
        <v>47</v>
      </c>
      <c r="CH92" t="s">
        <v>47</v>
      </c>
      <c r="CI92" t="s">
        <v>47</v>
      </c>
      <c r="CJ92" t="s">
        <v>47</v>
      </c>
      <c r="CK92"/>
    </row>
    <row r="93" spans="1:89" s="7" customFormat="1" x14ac:dyDescent="0.25">
      <c r="A93" t="s">
        <v>1436</v>
      </c>
      <c r="B93" t="s">
        <v>1398</v>
      </c>
      <c r="C93" t="s">
        <v>1151</v>
      </c>
      <c r="D93" t="s">
        <v>1728</v>
      </c>
      <c r="E93">
        <v>361</v>
      </c>
      <c r="F93" t="s">
        <v>737</v>
      </c>
      <c r="G93">
        <v>1017</v>
      </c>
      <c r="H93" s="9">
        <v>10.9</v>
      </c>
      <c r="I93" t="s">
        <v>737</v>
      </c>
      <c r="J93" t="s">
        <v>737</v>
      </c>
      <c r="K93" t="s">
        <v>1729</v>
      </c>
      <c r="L93" t="s">
        <v>1730</v>
      </c>
      <c r="M93" s="10" t="str">
        <f>HYPERLINK(cna_product_database_catalog_website[[#This Row],[Spec Sheet Link]], cna_product_database_catalog_website[[#Headers],[Spec Sheet Link]])</f>
        <v>Spec Sheet Link</v>
      </c>
      <c r="N93" t="s">
        <v>46</v>
      </c>
      <c r="O93">
        <v>1</v>
      </c>
      <c r="P93">
        <v>1</v>
      </c>
      <c r="Q93" t="s">
        <v>47</v>
      </c>
      <c r="R93" t="s">
        <v>47</v>
      </c>
      <c r="S93" t="s">
        <v>47</v>
      </c>
      <c r="T93" t="s">
        <v>47</v>
      </c>
      <c r="U93" t="s">
        <v>47</v>
      </c>
      <c r="V93" t="s">
        <v>47</v>
      </c>
      <c r="W93" t="s">
        <v>47</v>
      </c>
      <c r="X93" t="s">
        <v>47</v>
      </c>
      <c r="Y93" t="s">
        <v>47</v>
      </c>
      <c r="Z93" t="s">
        <v>47</v>
      </c>
      <c r="AA93" t="s">
        <v>47</v>
      </c>
      <c r="AB93" t="s">
        <v>47</v>
      </c>
      <c r="AC93" t="s">
        <v>47</v>
      </c>
      <c r="AD93" t="s">
        <v>47</v>
      </c>
      <c r="AE93"/>
      <c r="AF93" t="s">
        <v>47</v>
      </c>
      <c r="AG93" t="s">
        <v>47</v>
      </c>
      <c r="AH93" t="s">
        <v>47</v>
      </c>
      <c r="AI93" t="s">
        <v>47</v>
      </c>
      <c r="AJ93"/>
      <c r="AK93"/>
      <c r="AL93" t="s">
        <v>47</v>
      </c>
      <c r="AM93"/>
      <c r="AN93"/>
      <c r="AO93" t="s">
        <v>47</v>
      </c>
      <c r="AP93" t="s">
        <v>47</v>
      </c>
      <c r="AQ93" t="s">
        <v>47</v>
      </c>
      <c r="AR93"/>
      <c r="AS93"/>
      <c r="AT93"/>
      <c r="AU93"/>
      <c r="AV93" t="s">
        <v>47</v>
      </c>
      <c r="AW93" t="s">
        <v>47</v>
      </c>
      <c r="AX93" t="s">
        <v>47</v>
      </c>
      <c r="AY93" t="s">
        <v>47</v>
      </c>
      <c r="AZ93"/>
      <c r="BA93"/>
      <c r="BB93"/>
      <c r="BC93">
        <v>0</v>
      </c>
      <c r="BD93">
        <v>0</v>
      </c>
      <c r="BE93" t="s">
        <v>47</v>
      </c>
      <c r="BF93"/>
      <c r="BG93"/>
      <c r="BH93"/>
      <c r="BI93">
        <v>0</v>
      </c>
      <c r="BJ93">
        <v>0</v>
      </c>
      <c r="BK93"/>
      <c r="BL93"/>
      <c r="BM93" t="s">
        <v>47</v>
      </c>
      <c r="BN93" t="s">
        <v>47</v>
      </c>
      <c r="BO93" t="s">
        <v>47</v>
      </c>
      <c r="BP93" t="s">
        <v>47</v>
      </c>
      <c r="BQ93" t="s">
        <v>47</v>
      </c>
      <c r="BR93"/>
      <c r="BS93" t="s">
        <v>47</v>
      </c>
      <c r="BT93" t="s">
        <v>47</v>
      </c>
      <c r="BU93" t="s">
        <v>47</v>
      </c>
      <c r="BV93"/>
      <c r="BW93" t="s">
        <v>47</v>
      </c>
      <c r="BX93" t="s">
        <v>47</v>
      </c>
      <c r="BY93" t="s">
        <v>47</v>
      </c>
      <c r="BZ93" t="s">
        <v>47</v>
      </c>
      <c r="CA93" t="s">
        <v>47</v>
      </c>
      <c r="CB93" t="s">
        <v>47</v>
      </c>
      <c r="CC93" t="s">
        <v>47</v>
      </c>
      <c r="CD93" t="s">
        <v>47</v>
      </c>
      <c r="CE93" t="s">
        <v>47</v>
      </c>
      <c r="CF93" t="s">
        <v>47</v>
      </c>
      <c r="CG93" t="s">
        <v>47</v>
      </c>
      <c r="CH93" t="s">
        <v>47</v>
      </c>
      <c r="CI93" t="s">
        <v>47</v>
      </c>
      <c r="CJ93" t="s">
        <v>47</v>
      </c>
      <c r="CK93"/>
    </row>
    <row r="94" spans="1:89" s="7" customFormat="1" x14ac:dyDescent="0.25">
      <c r="A94" t="s">
        <v>1436</v>
      </c>
      <c r="B94" t="s">
        <v>1398</v>
      </c>
      <c r="C94" t="s">
        <v>736</v>
      </c>
      <c r="D94" t="s">
        <v>1731</v>
      </c>
      <c r="E94">
        <v>365</v>
      </c>
      <c r="F94" t="s">
        <v>565</v>
      </c>
      <c r="G94">
        <v>1134</v>
      </c>
      <c r="H94" s="9">
        <v>34</v>
      </c>
      <c r="I94" t="s">
        <v>565</v>
      </c>
      <c r="J94" t="s">
        <v>178</v>
      </c>
      <c r="K94" t="s">
        <v>179</v>
      </c>
      <c r="L94" t="s">
        <v>1732</v>
      </c>
      <c r="M94" s="10" t="str">
        <f>HYPERLINK(cna_product_database_catalog_website[[#This Row],[Spec Sheet Link]], cna_product_database_catalog_website[[#Headers],[Spec Sheet Link]])</f>
        <v>Spec Sheet Link</v>
      </c>
      <c r="N94" t="s">
        <v>46</v>
      </c>
      <c r="O94">
        <v>1</v>
      </c>
      <c r="P94">
        <v>1</v>
      </c>
      <c r="Q94" t="s">
        <v>47</v>
      </c>
      <c r="R94" t="s">
        <v>47</v>
      </c>
      <c r="S94" t="s">
        <v>47</v>
      </c>
      <c r="T94" t="s">
        <v>47</v>
      </c>
      <c r="U94" t="s">
        <v>47</v>
      </c>
      <c r="V94" t="s">
        <v>47</v>
      </c>
      <c r="W94" t="s">
        <v>47</v>
      </c>
      <c r="X94" t="s">
        <v>47</v>
      </c>
      <c r="Y94" t="s">
        <v>47</v>
      </c>
      <c r="Z94" t="s">
        <v>47</v>
      </c>
      <c r="AA94" t="s">
        <v>47</v>
      </c>
      <c r="AB94" t="s">
        <v>47</v>
      </c>
      <c r="AC94" t="s">
        <v>47</v>
      </c>
      <c r="AD94" t="s">
        <v>47</v>
      </c>
      <c r="AE94"/>
      <c r="AF94" t="s">
        <v>47</v>
      </c>
      <c r="AG94" t="s">
        <v>47</v>
      </c>
      <c r="AH94" t="s">
        <v>47</v>
      </c>
      <c r="AI94" t="s">
        <v>47</v>
      </c>
      <c r="AJ94"/>
      <c r="AK94"/>
      <c r="AL94" t="s">
        <v>47</v>
      </c>
      <c r="AM94"/>
      <c r="AN94"/>
      <c r="AO94" t="s">
        <v>47</v>
      </c>
      <c r="AP94" t="s">
        <v>47</v>
      </c>
      <c r="AQ94" t="s">
        <v>47</v>
      </c>
      <c r="AR94"/>
      <c r="AS94"/>
      <c r="AT94"/>
      <c r="AU94"/>
      <c r="AV94" t="s">
        <v>47</v>
      </c>
      <c r="AW94" t="s">
        <v>47</v>
      </c>
      <c r="AX94" t="s">
        <v>47</v>
      </c>
      <c r="AY94" t="s">
        <v>47</v>
      </c>
      <c r="AZ94"/>
      <c r="BA94"/>
      <c r="BB94"/>
      <c r="BC94">
        <v>0</v>
      </c>
      <c r="BD94">
        <v>0</v>
      </c>
      <c r="BE94" t="s">
        <v>47</v>
      </c>
      <c r="BF94"/>
      <c r="BG94"/>
      <c r="BH94"/>
      <c r="BI94">
        <v>0</v>
      </c>
      <c r="BJ94">
        <v>0</v>
      </c>
      <c r="BK94"/>
      <c r="BL94"/>
      <c r="BM94" t="s">
        <v>47</v>
      </c>
      <c r="BN94" t="s">
        <v>47</v>
      </c>
      <c r="BO94" t="s">
        <v>47</v>
      </c>
      <c r="BP94" t="s">
        <v>47</v>
      </c>
      <c r="BQ94" t="s">
        <v>47</v>
      </c>
      <c r="BR94"/>
      <c r="BS94" t="s">
        <v>47</v>
      </c>
      <c r="BT94" t="s">
        <v>47</v>
      </c>
      <c r="BU94" t="s">
        <v>47</v>
      </c>
      <c r="BV94"/>
      <c r="BW94" t="s">
        <v>47</v>
      </c>
      <c r="BX94" t="s">
        <v>47</v>
      </c>
      <c r="BY94" t="s">
        <v>47</v>
      </c>
      <c r="BZ94" t="s">
        <v>47</v>
      </c>
      <c r="CA94" t="s">
        <v>47</v>
      </c>
      <c r="CB94" t="s">
        <v>47</v>
      </c>
      <c r="CC94" t="s">
        <v>47</v>
      </c>
      <c r="CD94" t="s">
        <v>47</v>
      </c>
      <c r="CE94" t="s">
        <v>47</v>
      </c>
      <c r="CF94" t="s">
        <v>47</v>
      </c>
      <c r="CG94" t="s">
        <v>47</v>
      </c>
      <c r="CH94" t="s">
        <v>47</v>
      </c>
      <c r="CI94" t="s">
        <v>47</v>
      </c>
      <c r="CJ94" t="s">
        <v>47</v>
      </c>
      <c r="CK94"/>
    </row>
    <row r="95" spans="1:89" s="7" customFormat="1" x14ac:dyDescent="0.25">
      <c r="A95" t="s">
        <v>1436</v>
      </c>
      <c r="B95" t="s">
        <v>1399</v>
      </c>
      <c r="C95" t="s">
        <v>734</v>
      </c>
      <c r="D95" t="s">
        <v>1733</v>
      </c>
      <c r="E95">
        <v>370</v>
      </c>
      <c r="F95" t="s">
        <v>189</v>
      </c>
      <c r="G95">
        <v>1057</v>
      </c>
      <c r="H95" s="9">
        <v>5</v>
      </c>
      <c r="I95" t="s">
        <v>189</v>
      </c>
      <c r="J95" t="s">
        <v>189</v>
      </c>
      <c r="K95" t="s">
        <v>1734</v>
      </c>
      <c r="L95" t="s">
        <v>45</v>
      </c>
      <c r="M95" s="10"/>
      <c r="N95" t="s">
        <v>46</v>
      </c>
      <c r="O95">
        <v>1</v>
      </c>
      <c r="P95">
        <v>1</v>
      </c>
      <c r="Q95" t="s">
        <v>47</v>
      </c>
      <c r="R95" t="s">
        <v>47</v>
      </c>
      <c r="S95" t="s">
        <v>47</v>
      </c>
      <c r="T95" t="s">
        <v>47</v>
      </c>
      <c r="U95" t="s">
        <v>47</v>
      </c>
      <c r="V95" t="s">
        <v>47</v>
      </c>
      <c r="W95" t="s">
        <v>47</v>
      </c>
      <c r="X95" t="s">
        <v>47</v>
      </c>
      <c r="Y95" t="s">
        <v>47</v>
      </c>
      <c r="Z95" t="s">
        <v>47</v>
      </c>
      <c r="AA95" t="s">
        <v>47</v>
      </c>
      <c r="AB95" t="s">
        <v>47</v>
      </c>
      <c r="AC95" t="s">
        <v>47</v>
      </c>
      <c r="AD95" t="s">
        <v>47</v>
      </c>
      <c r="AE95"/>
      <c r="AF95" t="s">
        <v>47</v>
      </c>
      <c r="AG95" t="s">
        <v>47</v>
      </c>
      <c r="AH95" t="s">
        <v>47</v>
      </c>
      <c r="AI95" t="s">
        <v>47</v>
      </c>
      <c r="AJ95"/>
      <c r="AK95"/>
      <c r="AL95" t="s">
        <v>47</v>
      </c>
      <c r="AM95"/>
      <c r="AN95"/>
      <c r="AO95" t="s">
        <v>47</v>
      </c>
      <c r="AP95" t="s">
        <v>47</v>
      </c>
      <c r="AQ95" t="s">
        <v>47</v>
      </c>
      <c r="AR95"/>
      <c r="AS95"/>
      <c r="AT95"/>
      <c r="AU95"/>
      <c r="AV95" t="s">
        <v>47</v>
      </c>
      <c r="AW95" t="s">
        <v>47</v>
      </c>
      <c r="AX95" t="s">
        <v>47</v>
      </c>
      <c r="AY95" t="s">
        <v>47</v>
      </c>
      <c r="AZ95"/>
      <c r="BA95"/>
      <c r="BB95"/>
      <c r="BC95">
        <v>0</v>
      </c>
      <c r="BD95">
        <v>0</v>
      </c>
      <c r="BE95" t="s">
        <v>47</v>
      </c>
      <c r="BF95"/>
      <c r="BG95"/>
      <c r="BH95"/>
      <c r="BI95">
        <v>0</v>
      </c>
      <c r="BJ95">
        <v>0</v>
      </c>
      <c r="BK95"/>
      <c r="BL95"/>
      <c r="BM95" t="s">
        <v>47</v>
      </c>
      <c r="BN95" t="s">
        <v>47</v>
      </c>
      <c r="BO95" t="s">
        <v>47</v>
      </c>
      <c r="BP95" t="s">
        <v>47</v>
      </c>
      <c r="BQ95" t="s">
        <v>45</v>
      </c>
      <c r="BR95"/>
      <c r="BS95" t="s">
        <v>47</v>
      </c>
      <c r="BT95" t="s">
        <v>47</v>
      </c>
      <c r="BU95" t="s">
        <v>47</v>
      </c>
      <c r="BV95"/>
      <c r="BW95" t="s">
        <v>47</v>
      </c>
      <c r="BX95" t="s">
        <v>47</v>
      </c>
      <c r="BY95" t="s">
        <v>47</v>
      </c>
      <c r="BZ95" t="s">
        <v>47</v>
      </c>
      <c r="CA95" t="s">
        <v>47</v>
      </c>
      <c r="CB95" t="s">
        <v>47</v>
      </c>
      <c r="CC95" t="s">
        <v>47</v>
      </c>
      <c r="CD95" t="s">
        <v>47</v>
      </c>
      <c r="CE95" t="s">
        <v>47</v>
      </c>
      <c r="CF95" t="s">
        <v>47</v>
      </c>
      <c r="CG95" t="s">
        <v>47</v>
      </c>
      <c r="CH95" t="s">
        <v>47</v>
      </c>
      <c r="CI95" t="s">
        <v>47</v>
      </c>
      <c r="CJ95" t="s">
        <v>47</v>
      </c>
      <c r="CK95"/>
    </row>
    <row r="96" spans="1:89" s="7" customFormat="1" x14ac:dyDescent="0.25">
      <c r="A96" t="s">
        <v>1436</v>
      </c>
      <c r="B96" t="s">
        <v>1399</v>
      </c>
      <c r="C96" t="s">
        <v>731</v>
      </c>
      <c r="D96" t="s">
        <v>1735</v>
      </c>
      <c r="E96">
        <v>375</v>
      </c>
      <c r="F96" t="s">
        <v>1308</v>
      </c>
      <c r="G96">
        <v>1079</v>
      </c>
      <c r="H96" s="9">
        <v>2.5</v>
      </c>
      <c r="I96" t="s">
        <v>1308</v>
      </c>
      <c r="J96" t="s">
        <v>1278</v>
      </c>
      <c r="K96" t="s">
        <v>1736</v>
      </c>
      <c r="L96" t="s">
        <v>1737</v>
      </c>
      <c r="M96" s="10" t="str">
        <f>HYPERLINK(cna_product_database_catalog_website[[#This Row],[Spec Sheet Link]], cna_product_database_catalog_website[[#Headers],[Spec Sheet Link]])</f>
        <v>Spec Sheet Link</v>
      </c>
      <c r="N96" t="s">
        <v>46</v>
      </c>
      <c r="O96">
        <v>1</v>
      </c>
      <c r="P96">
        <v>1</v>
      </c>
      <c r="Q96" t="s">
        <v>47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47</v>
      </c>
      <c r="Z96" t="s">
        <v>47</v>
      </c>
      <c r="AA96" t="s">
        <v>47</v>
      </c>
      <c r="AB96" t="s">
        <v>47</v>
      </c>
      <c r="AC96" t="s">
        <v>47</v>
      </c>
      <c r="AD96" t="s">
        <v>47</v>
      </c>
      <c r="AE96"/>
      <c r="AF96" t="s">
        <v>47</v>
      </c>
      <c r="AG96" t="s">
        <v>47</v>
      </c>
      <c r="AH96" t="s">
        <v>47</v>
      </c>
      <c r="AI96" t="s">
        <v>47</v>
      </c>
      <c r="AJ96"/>
      <c r="AK96"/>
      <c r="AL96" t="s">
        <v>47</v>
      </c>
      <c r="AM96"/>
      <c r="AN96"/>
      <c r="AO96" t="s">
        <v>47</v>
      </c>
      <c r="AP96" t="s">
        <v>47</v>
      </c>
      <c r="AQ96" t="s">
        <v>47</v>
      </c>
      <c r="AR96">
        <v>200</v>
      </c>
      <c r="AS96"/>
      <c r="AT96"/>
      <c r="AU96"/>
      <c r="AV96" t="s">
        <v>47</v>
      </c>
      <c r="AW96" t="s">
        <v>47</v>
      </c>
      <c r="AX96">
        <v>1</v>
      </c>
      <c r="AY96">
        <v>1</v>
      </c>
      <c r="AZ96"/>
      <c r="BA96"/>
      <c r="BB96"/>
      <c r="BC96">
        <v>0</v>
      </c>
      <c r="BD96">
        <v>0</v>
      </c>
      <c r="BE96" t="s">
        <v>47</v>
      </c>
      <c r="BF96"/>
      <c r="BG96"/>
      <c r="BH96"/>
      <c r="BI96">
        <v>0</v>
      </c>
      <c r="BJ96">
        <v>0</v>
      </c>
      <c r="BK96"/>
      <c r="BL96"/>
      <c r="BM96" t="s">
        <v>47</v>
      </c>
      <c r="BN96" t="s">
        <v>47</v>
      </c>
      <c r="BO96" t="s">
        <v>47</v>
      </c>
      <c r="BP96" t="s">
        <v>47</v>
      </c>
      <c r="BQ96" t="s">
        <v>47</v>
      </c>
      <c r="BR96"/>
      <c r="BS96" t="s">
        <v>47</v>
      </c>
      <c r="BT96" t="s">
        <v>47</v>
      </c>
      <c r="BU96" t="s">
        <v>47</v>
      </c>
      <c r="BV96"/>
      <c r="BW96" t="s">
        <v>47</v>
      </c>
      <c r="BX96" t="s">
        <v>47</v>
      </c>
      <c r="BY96" t="s">
        <v>47</v>
      </c>
      <c r="BZ96" t="s">
        <v>47</v>
      </c>
      <c r="CA96" t="s">
        <v>47</v>
      </c>
      <c r="CB96" t="s">
        <v>47</v>
      </c>
      <c r="CC96" t="s">
        <v>47</v>
      </c>
      <c r="CD96" t="s">
        <v>47</v>
      </c>
      <c r="CE96" t="s">
        <v>47</v>
      </c>
      <c r="CF96" t="s">
        <v>47</v>
      </c>
      <c r="CG96" t="s">
        <v>47</v>
      </c>
      <c r="CH96" t="s">
        <v>47</v>
      </c>
      <c r="CI96" t="s">
        <v>47</v>
      </c>
      <c r="CJ96" t="s">
        <v>47</v>
      </c>
      <c r="CK96"/>
    </row>
    <row r="97" spans="1:89" s="7" customFormat="1" x14ac:dyDescent="0.25">
      <c r="A97" t="s">
        <v>1436</v>
      </c>
      <c r="B97" t="s">
        <v>1399</v>
      </c>
      <c r="C97" t="s">
        <v>732</v>
      </c>
      <c r="D97" t="s">
        <v>1738</v>
      </c>
      <c r="E97">
        <v>376</v>
      </c>
      <c r="F97" t="s">
        <v>165</v>
      </c>
      <c r="G97">
        <v>885</v>
      </c>
      <c r="H97" s="9">
        <v>2.5</v>
      </c>
      <c r="I97" t="s">
        <v>165</v>
      </c>
      <c r="J97" t="s">
        <v>165</v>
      </c>
      <c r="K97" t="s">
        <v>1736</v>
      </c>
      <c r="L97" t="s">
        <v>1737</v>
      </c>
      <c r="M97" s="10" t="str">
        <f>HYPERLINK(cna_product_database_catalog_website[[#This Row],[Spec Sheet Link]], cna_product_database_catalog_website[[#Headers],[Spec Sheet Link]])</f>
        <v>Spec Sheet Link</v>
      </c>
      <c r="N97" t="s">
        <v>46</v>
      </c>
      <c r="O97">
        <v>1</v>
      </c>
      <c r="P97">
        <v>1</v>
      </c>
      <c r="Q97" t="s">
        <v>47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47</v>
      </c>
      <c r="Z97" t="s">
        <v>47</v>
      </c>
      <c r="AA97" t="s">
        <v>47</v>
      </c>
      <c r="AB97" t="s">
        <v>47</v>
      </c>
      <c r="AC97" t="s">
        <v>47</v>
      </c>
      <c r="AD97" t="s">
        <v>47</v>
      </c>
      <c r="AE97"/>
      <c r="AF97" t="s">
        <v>47</v>
      </c>
      <c r="AG97" t="s">
        <v>47</v>
      </c>
      <c r="AH97" t="s">
        <v>47</v>
      </c>
      <c r="AI97" t="s">
        <v>47</v>
      </c>
      <c r="AJ97"/>
      <c r="AK97"/>
      <c r="AL97" t="s">
        <v>47</v>
      </c>
      <c r="AM97"/>
      <c r="AN97"/>
      <c r="AO97" t="s">
        <v>47</v>
      </c>
      <c r="AP97" t="s">
        <v>47</v>
      </c>
      <c r="AQ97" t="s">
        <v>47</v>
      </c>
      <c r="AR97">
        <v>1</v>
      </c>
      <c r="AS97"/>
      <c r="AT97"/>
      <c r="AU97"/>
      <c r="AV97" t="s">
        <v>47</v>
      </c>
      <c r="AW97" t="s">
        <v>47</v>
      </c>
      <c r="AX97">
        <v>1</v>
      </c>
      <c r="AY97">
        <v>1</v>
      </c>
      <c r="AZ97"/>
      <c r="BA97"/>
      <c r="BB97"/>
      <c r="BC97">
        <v>0</v>
      </c>
      <c r="BD97">
        <v>0</v>
      </c>
      <c r="BE97" t="s">
        <v>47</v>
      </c>
      <c r="BF97"/>
      <c r="BG97"/>
      <c r="BH97"/>
      <c r="BI97">
        <v>0</v>
      </c>
      <c r="BJ97">
        <v>0</v>
      </c>
      <c r="BK97"/>
      <c r="BL97"/>
      <c r="BM97" t="s">
        <v>47</v>
      </c>
      <c r="BN97" t="s">
        <v>47</v>
      </c>
      <c r="BO97" t="s">
        <v>47</v>
      </c>
      <c r="BP97" t="s">
        <v>47</v>
      </c>
      <c r="BQ97" t="s">
        <v>47</v>
      </c>
      <c r="BR97"/>
      <c r="BS97" t="s">
        <v>47</v>
      </c>
      <c r="BT97" t="s">
        <v>47</v>
      </c>
      <c r="BU97" t="s">
        <v>47</v>
      </c>
      <c r="BV97"/>
      <c r="BW97" t="s">
        <v>47</v>
      </c>
      <c r="BX97" t="s">
        <v>47</v>
      </c>
      <c r="BY97" t="s">
        <v>47</v>
      </c>
      <c r="BZ97" t="s">
        <v>47</v>
      </c>
      <c r="CA97" t="s">
        <v>47</v>
      </c>
      <c r="CB97" t="s">
        <v>47</v>
      </c>
      <c r="CC97" t="s">
        <v>47</v>
      </c>
      <c r="CD97" t="s">
        <v>47</v>
      </c>
      <c r="CE97" t="s">
        <v>47</v>
      </c>
      <c r="CF97" t="s">
        <v>47</v>
      </c>
      <c r="CG97" t="s">
        <v>47</v>
      </c>
      <c r="CH97" t="s">
        <v>47</v>
      </c>
      <c r="CI97" t="s">
        <v>47</v>
      </c>
      <c r="CJ97" t="s">
        <v>47</v>
      </c>
      <c r="CK97"/>
    </row>
    <row r="98" spans="1:89" s="7" customFormat="1" x14ac:dyDescent="0.25">
      <c r="A98" t="s">
        <v>1436</v>
      </c>
      <c r="B98" t="s">
        <v>1399</v>
      </c>
      <c r="C98" t="s">
        <v>733</v>
      </c>
      <c r="D98" t="s">
        <v>1739</v>
      </c>
      <c r="E98">
        <v>377</v>
      </c>
      <c r="F98" t="s">
        <v>166</v>
      </c>
      <c r="G98">
        <v>888</v>
      </c>
      <c r="H98" s="9">
        <v>3.5</v>
      </c>
      <c r="I98" t="s">
        <v>166</v>
      </c>
      <c r="J98" t="s">
        <v>166</v>
      </c>
      <c r="K98" t="s">
        <v>1740</v>
      </c>
      <c r="L98" t="s">
        <v>1737</v>
      </c>
      <c r="M98" s="10" t="str">
        <f>HYPERLINK(cna_product_database_catalog_website[[#This Row],[Spec Sheet Link]], cna_product_database_catalog_website[[#Headers],[Spec Sheet Link]])</f>
        <v>Spec Sheet Link</v>
      </c>
      <c r="N98" t="s">
        <v>46</v>
      </c>
      <c r="O98">
        <v>1</v>
      </c>
      <c r="P98">
        <v>1</v>
      </c>
      <c r="Q98" t="s">
        <v>47</v>
      </c>
      <c r="R98" t="s">
        <v>47</v>
      </c>
      <c r="S98" t="s">
        <v>47</v>
      </c>
      <c r="T98" t="s">
        <v>47</v>
      </c>
      <c r="U98" t="s">
        <v>47</v>
      </c>
      <c r="V98" t="s">
        <v>47</v>
      </c>
      <c r="W98" t="s">
        <v>47</v>
      </c>
      <c r="X98" t="s">
        <v>47</v>
      </c>
      <c r="Y98" t="s">
        <v>47</v>
      </c>
      <c r="Z98" t="s">
        <v>47</v>
      </c>
      <c r="AA98" t="s">
        <v>47</v>
      </c>
      <c r="AB98" t="s">
        <v>47</v>
      </c>
      <c r="AC98" t="s">
        <v>47</v>
      </c>
      <c r="AD98" t="s">
        <v>47</v>
      </c>
      <c r="AE98"/>
      <c r="AF98" t="s">
        <v>47</v>
      </c>
      <c r="AG98" t="s">
        <v>47</v>
      </c>
      <c r="AH98" t="s">
        <v>47</v>
      </c>
      <c r="AI98" t="s">
        <v>47</v>
      </c>
      <c r="AJ98"/>
      <c r="AK98"/>
      <c r="AL98" t="s">
        <v>47</v>
      </c>
      <c r="AM98"/>
      <c r="AN98"/>
      <c r="AO98" t="s">
        <v>47</v>
      </c>
      <c r="AP98" t="s">
        <v>47</v>
      </c>
      <c r="AQ98" t="s">
        <v>47</v>
      </c>
      <c r="AR98">
        <v>2</v>
      </c>
      <c r="AS98"/>
      <c r="AT98"/>
      <c r="AU98"/>
      <c r="AV98" t="s">
        <v>47</v>
      </c>
      <c r="AW98" t="s">
        <v>47</v>
      </c>
      <c r="AX98">
        <v>1</v>
      </c>
      <c r="AY98">
        <v>1</v>
      </c>
      <c r="AZ98"/>
      <c r="BA98"/>
      <c r="BB98"/>
      <c r="BC98">
        <v>0</v>
      </c>
      <c r="BD98">
        <v>0</v>
      </c>
      <c r="BE98" t="s">
        <v>47</v>
      </c>
      <c r="BF98"/>
      <c r="BG98"/>
      <c r="BH98"/>
      <c r="BI98">
        <v>0</v>
      </c>
      <c r="BJ98">
        <v>0</v>
      </c>
      <c r="BK98"/>
      <c r="BL98"/>
      <c r="BM98" t="s">
        <v>47</v>
      </c>
      <c r="BN98" t="s">
        <v>47</v>
      </c>
      <c r="BO98" t="s">
        <v>47</v>
      </c>
      <c r="BP98" t="s">
        <v>47</v>
      </c>
      <c r="BQ98" t="s">
        <v>47</v>
      </c>
      <c r="BR98"/>
      <c r="BS98" t="s">
        <v>47</v>
      </c>
      <c r="BT98" t="s">
        <v>47</v>
      </c>
      <c r="BU98" t="s">
        <v>47</v>
      </c>
      <c r="BV98"/>
      <c r="BW98" t="s">
        <v>47</v>
      </c>
      <c r="BX98" t="s">
        <v>47</v>
      </c>
      <c r="BY98" t="s">
        <v>47</v>
      </c>
      <c r="BZ98" t="s">
        <v>47</v>
      </c>
      <c r="CA98" t="s">
        <v>47</v>
      </c>
      <c r="CB98" t="s">
        <v>47</v>
      </c>
      <c r="CC98" t="s">
        <v>47</v>
      </c>
      <c r="CD98" t="s">
        <v>47</v>
      </c>
      <c r="CE98" t="s">
        <v>47</v>
      </c>
      <c r="CF98" t="s">
        <v>47</v>
      </c>
      <c r="CG98" t="s">
        <v>47</v>
      </c>
      <c r="CH98" t="s">
        <v>47</v>
      </c>
      <c r="CI98" t="s">
        <v>47</v>
      </c>
      <c r="CJ98" t="s">
        <v>47</v>
      </c>
      <c r="CK98"/>
    </row>
    <row r="99" spans="1:89" s="7" customFormat="1" x14ac:dyDescent="0.25">
      <c r="A99" t="s">
        <v>1436</v>
      </c>
      <c r="B99" t="s">
        <v>1399</v>
      </c>
      <c r="C99" t="s">
        <v>738</v>
      </c>
      <c r="D99" t="s">
        <v>1741</v>
      </c>
      <c r="E99">
        <v>380</v>
      </c>
      <c r="F99" t="s">
        <v>167</v>
      </c>
      <c r="G99">
        <v>1024</v>
      </c>
      <c r="H99" s="9">
        <v>5.5</v>
      </c>
      <c r="I99" t="s">
        <v>167</v>
      </c>
      <c r="J99" t="s">
        <v>167</v>
      </c>
      <c r="K99" t="s">
        <v>1742</v>
      </c>
      <c r="L99" t="s">
        <v>1737</v>
      </c>
      <c r="M99" s="10" t="str">
        <f>HYPERLINK(cna_product_database_catalog_website[[#This Row],[Spec Sheet Link]], cna_product_database_catalog_website[[#Headers],[Spec Sheet Link]])</f>
        <v>Spec Sheet Link</v>
      </c>
      <c r="N99" t="s">
        <v>46</v>
      </c>
      <c r="O99">
        <v>1</v>
      </c>
      <c r="P99">
        <v>1</v>
      </c>
      <c r="Q99" t="s">
        <v>47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47</v>
      </c>
      <c r="Z99" t="s">
        <v>47</v>
      </c>
      <c r="AA99" t="s">
        <v>47</v>
      </c>
      <c r="AB99" t="s">
        <v>47</v>
      </c>
      <c r="AC99" t="s">
        <v>47</v>
      </c>
      <c r="AD99" t="s">
        <v>47</v>
      </c>
      <c r="AE99"/>
      <c r="AF99" t="s">
        <v>47</v>
      </c>
      <c r="AG99" t="s">
        <v>47</v>
      </c>
      <c r="AH99" t="s">
        <v>47</v>
      </c>
      <c r="AI99" t="s">
        <v>47</v>
      </c>
      <c r="AJ99"/>
      <c r="AK99"/>
      <c r="AL99" t="s">
        <v>47</v>
      </c>
      <c r="AM99"/>
      <c r="AN99"/>
      <c r="AO99" t="s">
        <v>47</v>
      </c>
      <c r="AP99" t="s">
        <v>47</v>
      </c>
      <c r="AQ99" t="s">
        <v>47</v>
      </c>
      <c r="AR99">
        <v>200</v>
      </c>
      <c r="AS99"/>
      <c r="AT99"/>
      <c r="AU99"/>
      <c r="AV99" t="s">
        <v>47</v>
      </c>
      <c r="AW99" t="s">
        <v>47</v>
      </c>
      <c r="AX99">
        <v>1</v>
      </c>
      <c r="AY99">
        <v>1</v>
      </c>
      <c r="AZ99"/>
      <c r="BA99"/>
      <c r="BB99"/>
      <c r="BC99">
        <v>0</v>
      </c>
      <c r="BD99">
        <v>0</v>
      </c>
      <c r="BE99" t="s">
        <v>47</v>
      </c>
      <c r="BF99"/>
      <c r="BG99"/>
      <c r="BH99"/>
      <c r="BI99">
        <v>0</v>
      </c>
      <c r="BJ99">
        <v>0</v>
      </c>
      <c r="BK99"/>
      <c r="BL99"/>
      <c r="BM99" t="s">
        <v>47</v>
      </c>
      <c r="BN99" t="s">
        <v>47</v>
      </c>
      <c r="BO99" t="s">
        <v>47</v>
      </c>
      <c r="BP99" t="s">
        <v>47</v>
      </c>
      <c r="BQ99" t="s">
        <v>47</v>
      </c>
      <c r="BR99"/>
      <c r="BS99" t="s">
        <v>47</v>
      </c>
      <c r="BT99" t="s">
        <v>47</v>
      </c>
      <c r="BU99" t="s">
        <v>47</v>
      </c>
      <c r="BV99"/>
      <c r="BW99" t="s">
        <v>47</v>
      </c>
      <c r="BX99" t="s">
        <v>47</v>
      </c>
      <c r="BY99" t="s">
        <v>47</v>
      </c>
      <c r="BZ99" t="s">
        <v>47</v>
      </c>
      <c r="CA99" t="s">
        <v>47</v>
      </c>
      <c r="CB99" t="s">
        <v>47</v>
      </c>
      <c r="CC99" t="s">
        <v>47</v>
      </c>
      <c r="CD99" t="s">
        <v>47</v>
      </c>
      <c r="CE99" t="s">
        <v>47</v>
      </c>
      <c r="CF99" t="s">
        <v>47</v>
      </c>
      <c r="CG99" t="s">
        <v>47</v>
      </c>
      <c r="CH99" t="s">
        <v>47</v>
      </c>
      <c r="CI99" t="s">
        <v>47</v>
      </c>
      <c r="CJ99" t="s">
        <v>47</v>
      </c>
      <c r="CK99"/>
    </row>
    <row r="100" spans="1:89" s="7" customFormat="1" x14ac:dyDescent="0.25">
      <c r="A100" t="s">
        <v>1436</v>
      </c>
      <c r="B100" t="s">
        <v>1399</v>
      </c>
      <c r="C100" t="s">
        <v>739</v>
      </c>
      <c r="D100" t="s">
        <v>1743</v>
      </c>
      <c r="E100">
        <v>381</v>
      </c>
      <c r="F100" t="s">
        <v>171</v>
      </c>
      <c r="G100">
        <v>1025</v>
      </c>
      <c r="H100" s="9">
        <v>4</v>
      </c>
      <c r="I100" t="s">
        <v>171</v>
      </c>
      <c r="J100" t="s">
        <v>171</v>
      </c>
      <c r="K100" t="s">
        <v>1744</v>
      </c>
      <c r="L100" t="s">
        <v>1737</v>
      </c>
      <c r="M100" s="10" t="str">
        <f>HYPERLINK(cna_product_database_catalog_website[[#This Row],[Spec Sheet Link]], cna_product_database_catalog_website[[#Headers],[Spec Sheet Link]])</f>
        <v>Spec Sheet Link</v>
      </c>
      <c r="N100" t="s">
        <v>46</v>
      </c>
      <c r="O100">
        <v>1</v>
      </c>
      <c r="P100">
        <v>1</v>
      </c>
      <c r="Q100" t="s">
        <v>47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47</v>
      </c>
      <c r="Z100" t="s">
        <v>47</v>
      </c>
      <c r="AA100" t="s">
        <v>47</v>
      </c>
      <c r="AB100" t="s">
        <v>47</v>
      </c>
      <c r="AC100" t="s">
        <v>47</v>
      </c>
      <c r="AD100" t="s">
        <v>47</v>
      </c>
      <c r="AE100"/>
      <c r="AF100" t="s">
        <v>47</v>
      </c>
      <c r="AG100" t="s">
        <v>47</v>
      </c>
      <c r="AH100" t="s">
        <v>47</v>
      </c>
      <c r="AI100" t="s">
        <v>47</v>
      </c>
      <c r="AJ100"/>
      <c r="AK100"/>
      <c r="AL100" t="s">
        <v>47</v>
      </c>
      <c r="AM100"/>
      <c r="AN100"/>
      <c r="AO100" t="s">
        <v>47</v>
      </c>
      <c r="AP100" t="s">
        <v>47</v>
      </c>
      <c r="AQ100" t="s">
        <v>47</v>
      </c>
      <c r="AR100">
        <v>1</v>
      </c>
      <c r="AS100"/>
      <c r="AT100"/>
      <c r="AU100"/>
      <c r="AV100" t="s">
        <v>47</v>
      </c>
      <c r="AW100" t="s">
        <v>47</v>
      </c>
      <c r="AX100">
        <v>1</v>
      </c>
      <c r="AY100">
        <v>1</v>
      </c>
      <c r="AZ100"/>
      <c r="BA100"/>
      <c r="BB100"/>
      <c r="BC100">
        <v>0</v>
      </c>
      <c r="BD100">
        <v>0</v>
      </c>
      <c r="BE100" t="s">
        <v>47</v>
      </c>
      <c r="BF100"/>
      <c r="BG100"/>
      <c r="BH100"/>
      <c r="BI100">
        <v>0</v>
      </c>
      <c r="BJ100">
        <v>0</v>
      </c>
      <c r="BK100"/>
      <c r="BL100"/>
      <c r="BM100" t="s">
        <v>47</v>
      </c>
      <c r="BN100" t="s">
        <v>47</v>
      </c>
      <c r="BO100" t="s">
        <v>47</v>
      </c>
      <c r="BP100" t="s">
        <v>47</v>
      </c>
      <c r="BQ100" t="s">
        <v>47</v>
      </c>
      <c r="BR100"/>
      <c r="BS100" t="s">
        <v>47</v>
      </c>
      <c r="BT100" t="s">
        <v>47</v>
      </c>
      <c r="BU100" t="s">
        <v>47</v>
      </c>
      <c r="BV100"/>
      <c r="BW100" t="s">
        <v>47</v>
      </c>
      <c r="BX100" t="s">
        <v>47</v>
      </c>
      <c r="BY100" t="s">
        <v>47</v>
      </c>
      <c r="BZ100" t="s">
        <v>47</v>
      </c>
      <c r="CA100" t="s">
        <v>47</v>
      </c>
      <c r="CB100" t="s">
        <v>47</v>
      </c>
      <c r="CC100" t="s">
        <v>47</v>
      </c>
      <c r="CD100" t="s">
        <v>47</v>
      </c>
      <c r="CE100" t="s">
        <v>47</v>
      </c>
      <c r="CF100" t="s">
        <v>47</v>
      </c>
      <c r="CG100" t="s">
        <v>47</v>
      </c>
      <c r="CH100" t="s">
        <v>47</v>
      </c>
      <c r="CI100" t="s">
        <v>47</v>
      </c>
      <c r="CJ100" t="s">
        <v>47</v>
      </c>
      <c r="CK100"/>
    </row>
    <row r="101" spans="1:89" s="7" customFormat="1" x14ac:dyDescent="0.25">
      <c r="A101" t="s">
        <v>1436</v>
      </c>
      <c r="B101" t="s">
        <v>1399</v>
      </c>
      <c r="C101" t="s">
        <v>727</v>
      </c>
      <c r="D101" t="s">
        <v>1745</v>
      </c>
      <c r="E101">
        <v>385</v>
      </c>
      <c r="F101" t="s">
        <v>673</v>
      </c>
      <c r="G101">
        <v>1042</v>
      </c>
      <c r="H101" s="9">
        <v>3</v>
      </c>
      <c r="I101" t="s">
        <v>673</v>
      </c>
      <c r="J101" t="s">
        <v>673</v>
      </c>
      <c r="K101" t="s">
        <v>1746</v>
      </c>
      <c r="L101" t="s">
        <v>1689</v>
      </c>
      <c r="M101" s="10" t="str">
        <f>HYPERLINK(cna_product_database_catalog_website[[#This Row],[Spec Sheet Link]], cna_product_database_catalog_website[[#Headers],[Spec Sheet Link]])</f>
        <v>Spec Sheet Link</v>
      </c>
      <c r="N101" t="s">
        <v>46</v>
      </c>
      <c r="O101">
        <v>1</v>
      </c>
      <c r="P101">
        <v>1</v>
      </c>
      <c r="Q101" t="s">
        <v>47</v>
      </c>
      <c r="R101" t="s">
        <v>47</v>
      </c>
      <c r="S101" t="s">
        <v>47</v>
      </c>
      <c r="T101" t="s">
        <v>47</v>
      </c>
      <c r="U101" t="s">
        <v>47</v>
      </c>
      <c r="V101" t="s">
        <v>47</v>
      </c>
      <c r="W101" t="s">
        <v>47</v>
      </c>
      <c r="X101" t="s">
        <v>47</v>
      </c>
      <c r="Y101" t="s">
        <v>47</v>
      </c>
      <c r="Z101" t="s">
        <v>47</v>
      </c>
      <c r="AA101" t="s">
        <v>47</v>
      </c>
      <c r="AB101" t="s">
        <v>47</v>
      </c>
      <c r="AC101" t="s">
        <v>47</v>
      </c>
      <c r="AD101" t="s">
        <v>47</v>
      </c>
      <c r="AE101"/>
      <c r="AF101" t="s">
        <v>47</v>
      </c>
      <c r="AG101" t="s">
        <v>47</v>
      </c>
      <c r="AH101" t="s">
        <v>47</v>
      </c>
      <c r="AI101" t="s">
        <v>47</v>
      </c>
      <c r="AJ101"/>
      <c r="AK101"/>
      <c r="AL101" t="s">
        <v>47</v>
      </c>
      <c r="AM101"/>
      <c r="AN101"/>
      <c r="AO101" t="s">
        <v>47</v>
      </c>
      <c r="AP101" t="s">
        <v>47</v>
      </c>
      <c r="AQ101" t="s">
        <v>47</v>
      </c>
      <c r="AR101">
        <v>2</v>
      </c>
      <c r="AS101"/>
      <c r="AT101"/>
      <c r="AU101"/>
      <c r="AV101" t="s">
        <v>47</v>
      </c>
      <c r="AW101" t="s">
        <v>47</v>
      </c>
      <c r="AX101">
        <v>1</v>
      </c>
      <c r="AY101">
        <v>1</v>
      </c>
      <c r="AZ101"/>
      <c r="BA101"/>
      <c r="BB101"/>
      <c r="BC101">
        <v>0</v>
      </c>
      <c r="BD101">
        <v>0</v>
      </c>
      <c r="BE101" t="s">
        <v>47</v>
      </c>
      <c r="BF101"/>
      <c r="BG101"/>
      <c r="BH101"/>
      <c r="BI101">
        <v>0</v>
      </c>
      <c r="BJ101">
        <v>0</v>
      </c>
      <c r="BK101"/>
      <c r="BL101"/>
      <c r="BM101" t="s">
        <v>47</v>
      </c>
      <c r="BN101" t="s">
        <v>47</v>
      </c>
      <c r="BO101" t="s">
        <v>47</v>
      </c>
      <c r="BP101" t="s">
        <v>47</v>
      </c>
      <c r="BQ101" t="s">
        <v>47</v>
      </c>
      <c r="BR101"/>
      <c r="BS101" t="s">
        <v>47</v>
      </c>
      <c r="BT101" t="s">
        <v>47</v>
      </c>
      <c r="BU101" t="s">
        <v>47</v>
      </c>
      <c r="BV101"/>
      <c r="BW101" t="s">
        <v>47</v>
      </c>
      <c r="BX101" t="s">
        <v>47</v>
      </c>
      <c r="BY101" t="s">
        <v>47</v>
      </c>
      <c r="BZ101" t="s">
        <v>47</v>
      </c>
      <c r="CA101" t="s">
        <v>47</v>
      </c>
      <c r="CB101" t="s">
        <v>47</v>
      </c>
      <c r="CC101" t="s">
        <v>47</v>
      </c>
      <c r="CD101" t="s">
        <v>47</v>
      </c>
      <c r="CE101" t="s">
        <v>47</v>
      </c>
      <c r="CF101" t="s">
        <v>47</v>
      </c>
      <c r="CG101" t="s">
        <v>47</v>
      </c>
      <c r="CH101" t="s">
        <v>47</v>
      </c>
      <c r="CI101" t="s">
        <v>47</v>
      </c>
      <c r="CJ101" t="s">
        <v>47</v>
      </c>
      <c r="CK101"/>
    </row>
    <row r="102" spans="1:89" s="7" customFormat="1" x14ac:dyDescent="0.25">
      <c r="A102" t="s">
        <v>1436</v>
      </c>
      <c r="B102" t="s">
        <v>1399</v>
      </c>
      <c r="C102" t="s">
        <v>729</v>
      </c>
      <c r="D102" t="s">
        <v>1747</v>
      </c>
      <c r="E102">
        <v>386</v>
      </c>
      <c r="F102" t="s">
        <v>674</v>
      </c>
      <c r="G102">
        <v>1043</v>
      </c>
      <c r="H102" s="9">
        <v>3</v>
      </c>
      <c r="I102" t="s">
        <v>674</v>
      </c>
      <c r="J102" t="s">
        <v>674</v>
      </c>
      <c r="K102" t="s">
        <v>1746</v>
      </c>
      <c r="L102" t="s">
        <v>1695</v>
      </c>
      <c r="M102" s="10" t="str">
        <f>HYPERLINK(cna_product_database_catalog_website[[#This Row],[Spec Sheet Link]], cna_product_database_catalog_website[[#Headers],[Spec Sheet Link]])</f>
        <v>Spec Sheet Link</v>
      </c>
      <c r="N102" t="s">
        <v>46</v>
      </c>
      <c r="O102">
        <v>1</v>
      </c>
      <c r="P102">
        <v>1</v>
      </c>
      <c r="Q102" t="s">
        <v>47</v>
      </c>
      <c r="R102" t="s">
        <v>291</v>
      </c>
      <c r="S102" t="s">
        <v>47</v>
      </c>
      <c r="T102" t="s">
        <v>47</v>
      </c>
      <c r="U102" t="s">
        <v>140</v>
      </c>
      <c r="V102" t="s">
        <v>47</v>
      </c>
      <c r="W102" t="s">
        <v>47</v>
      </c>
      <c r="X102" t="s">
        <v>47</v>
      </c>
      <c r="Y102" t="s">
        <v>47</v>
      </c>
      <c r="Z102" t="s">
        <v>47</v>
      </c>
      <c r="AA102" t="s">
        <v>54</v>
      </c>
      <c r="AB102" t="s">
        <v>47</v>
      </c>
      <c r="AC102" t="s">
        <v>47</v>
      </c>
      <c r="AD102" t="s">
        <v>47</v>
      </c>
      <c r="AE102"/>
      <c r="AF102" t="s">
        <v>47</v>
      </c>
      <c r="AG102" t="s">
        <v>47</v>
      </c>
      <c r="AH102" t="s">
        <v>47</v>
      </c>
      <c r="AI102" t="s">
        <v>47</v>
      </c>
      <c r="AJ102"/>
      <c r="AK102"/>
      <c r="AL102" t="s">
        <v>47</v>
      </c>
      <c r="AM102"/>
      <c r="AN102"/>
      <c r="AO102" t="s">
        <v>47</v>
      </c>
      <c r="AP102" t="s">
        <v>47</v>
      </c>
      <c r="AQ102" t="s">
        <v>47</v>
      </c>
      <c r="AR102">
        <v>26</v>
      </c>
      <c r="AS102">
        <v>0.06</v>
      </c>
      <c r="AT102"/>
      <c r="AU102"/>
      <c r="AV102" t="s">
        <v>47</v>
      </c>
      <c r="AW102" t="s">
        <v>47</v>
      </c>
      <c r="AX102">
        <v>1</v>
      </c>
      <c r="AY102">
        <v>1</v>
      </c>
      <c r="AZ102"/>
      <c r="BA102"/>
      <c r="BB102"/>
      <c r="BC102">
        <v>0</v>
      </c>
      <c r="BD102">
        <v>0</v>
      </c>
      <c r="BE102" t="s">
        <v>47</v>
      </c>
      <c r="BF102"/>
      <c r="BG102"/>
      <c r="BH102"/>
      <c r="BI102">
        <v>0</v>
      </c>
      <c r="BJ102">
        <v>0</v>
      </c>
      <c r="BK102"/>
      <c r="BL102"/>
      <c r="BM102" t="s">
        <v>47</v>
      </c>
      <c r="BN102" t="s">
        <v>47</v>
      </c>
      <c r="BO102" t="s">
        <v>47</v>
      </c>
      <c r="BP102" t="s">
        <v>47</v>
      </c>
      <c r="BQ102" t="s">
        <v>47</v>
      </c>
      <c r="BR102"/>
      <c r="BS102" t="s">
        <v>47</v>
      </c>
      <c r="BT102" t="s">
        <v>47</v>
      </c>
      <c r="BU102" t="s">
        <v>47</v>
      </c>
      <c r="BV102"/>
      <c r="BW102" t="s">
        <v>47</v>
      </c>
      <c r="BX102" t="s">
        <v>47</v>
      </c>
      <c r="BY102" t="s">
        <v>47</v>
      </c>
      <c r="BZ102" t="s">
        <v>47</v>
      </c>
      <c r="CA102" t="s">
        <v>47</v>
      </c>
      <c r="CB102" t="s">
        <v>47</v>
      </c>
      <c r="CC102" t="s">
        <v>47</v>
      </c>
      <c r="CD102" t="s">
        <v>47</v>
      </c>
      <c r="CE102" t="s">
        <v>292</v>
      </c>
      <c r="CF102" t="s">
        <v>47</v>
      </c>
      <c r="CG102" t="s">
        <v>291</v>
      </c>
      <c r="CH102" t="s">
        <v>47</v>
      </c>
      <c r="CI102" t="s">
        <v>47</v>
      </c>
      <c r="CJ102" t="s">
        <v>47</v>
      </c>
      <c r="CK102"/>
    </row>
    <row r="103" spans="1:89" s="7" customFormat="1" x14ac:dyDescent="0.25">
      <c r="A103" t="s">
        <v>1436</v>
      </c>
      <c r="B103" t="s">
        <v>1399</v>
      </c>
      <c r="C103" t="s">
        <v>723</v>
      </c>
      <c r="D103" t="s">
        <v>1748</v>
      </c>
      <c r="E103">
        <v>387</v>
      </c>
      <c r="F103" t="s">
        <v>143</v>
      </c>
      <c r="G103">
        <v>1082</v>
      </c>
      <c r="H103" s="9">
        <v>2.5</v>
      </c>
      <c r="I103" t="s">
        <v>143</v>
      </c>
      <c r="J103" t="s">
        <v>684</v>
      </c>
      <c r="K103" t="s">
        <v>1749</v>
      </c>
      <c r="L103" t="s">
        <v>1750</v>
      </c>
      <c r="M103" s="10" t="str">
        <f>HYPERLINK(cna_product_database_catalog_website[[#This Row],[Spec Sheet Link]], cna_product_database_catalog_website[[#Headers],[Spec Sheet Link]])</f>
        <v>Spec Sheet Link</v>
      </c>
      <c r="N103" t="s">
        <v>46</v>
      </c>
      <c r="O103">
        <v>1</v>
      </c>
      <c r="P103">
        <v>1</v>
      </c>
      <c r="Q103" t="s">
        <v>47</v>
      </c>
      <c r="R103" t="s">
        <v>291</v>
      </c>
      <c r="S103" t="s">
        <v>47</v>
      </c>
      <c r="T103" t="s">
        <v>47</v>
      </c>
      <c r="U103" t="s">
        <v>140</v>
      </c>
      <c r="V103" t="s">
        <v>47</v>
      </c>
      <c r="W103" t="s">
        <v>47</v>
      </c>
      <c r="X103" t="s">
        <v>47</v>
      </c>
      <c r="Y103" t="s">
        <v>47</v>
      </c>
      <c r="Z103" t="s">
        <v>47</v>
      </c>
      <c r="AA103" t="s">
        <v>54</v>
      </c>
      <c r="AB103" t="s">
        <v>47</v>
      </c>
      <c r="AC103" t="s">
        <v>47</v>
      </c>
      <c r="AD103" t="s">
        <v>47</v>
      </c>
      <c r="AE103"/>
      <c r="AF103" t="s">
        <v>47</v>
      </c>
      <c r="AG103" t="s">
        <v>47</v>
      </c>
      <c r="AH103" t="s">
        <v>47</v>
      </c>
      <c r="AI103" t="s">
        <v>47</v>
      </c>
      <c r="AJ103"/>
      <c r="AK103"/>
      <c r="AL103" t="s">
        <v>47</v>
      </c>
      <c r="AM103"/>
      <c r="AN103"/>
      <c r="AO103" t="s">
        <v>47</v>
      </c>
      <c r="AP103" t="s">
        <v>47</v>
      </c>
      <c r="AQ103" t="s">
        <v>47</v>
      </c>
      <c r="AR103">
        <v>270</v>
      </c>
      <c r="AS103">
        <v>0.6</v>
      </c>
      <c r="AT103"/>
      <c r="AU103"/>
      <c r="AV103" t="s">
        <v>47</v>
      </c>
      <c r="AW103" t="s">
        <v>47</v>
      </c>
      <c r="AX103">
        <v>1</v>
      </c>
      <c r="AY103">
        <v>1</v>
      </c>
      <c r="AZ103"/>
      <c r="BA103"/>
      <c r="BB103"/>
      <c r="BC103">
        <v>0</v>
      </c>
      <c r="BD103">
        <v>0</v>
      </c>
      <c r="BE103" t="s">
        <v>47</v>
      </c>
      <c r="BF103"/>
      <c r="BG103"/>
      <c r="BH103"/>
      <c r="BI103">
        <v>0</v>
      </c>
      <c r="BJ103">
        <v>0</v>
      </c>
      <c r="BK103"/>
      <c r="BL103"/>
      <c r="BM103" t="s">
        <v>47</v>
      </c>
      <c r="BN103" t="s">
        <v>47</v>
      </c>
      <c r="BO103" t="s">
        <v>47</v>
      </c>
      <c r="BP103" t="s">
        <v>47</v>
      </c>
      <c r="BQ103" t="s">
        <v>47</v>
      </c>
      <c r="BR103"/>
      <c r="BS103" t="s">
        <v>47</v>
      </c>
      <c r="BT103" t="s">
        <v>47</v>
      </c>
      <c r="BU103" t="s">
        <v>47</v>
      </c>
      <c r="BV103"/>
      <c r="BW103" t="s">
        <v>47</v>
      </c>
      <c r="BX103" t="s">
        <v>47</v>
      </c>
      <c r="BY103" t="s">
        <v>47</v>
      </c>
      <c r="BZ103" t="s">
        <v>47</v>
      </c>
      <c r="CA103" t="s">
        <v>47</v>
      </c>
      <c r="CB103" t="s">
        <v>47</v>
      </c>
      <c r="CC103" t="s">
        <v>47</v>
      </c>
      <c r="CD103" t="s">
        <v>47</v>
      </c>
      <c r="CE103" t="s">
        <v>292</v>
      </c>
      <c r="CF103" t="s">
        <v>47</v>
      </c>
      <c r="CG103" t="s">
        <v>291</v>
      </c>
      <c r="CH103" t="s">
        <v>47</v>
      </c>
      <c r="CI103" t="s">
        <v>47</v>
      </c>
      <c r="CJ103" t="s">
        <v>47</v>
      </c>
      <c r="CK103"/>
    </row>
    <row r="104" spans="1:89" s="7" customFormat="1" x14ac:dyDescent="0.25">
      <c r="A104" t="s">
        <v>1436</v>
      </c>
      <c r="B104" t="s">
        <v>1399</v>
      </c>
      <c r="C104" t="s">
        <v>724</v>
      </c>
      <c r="D104" t="s">
        <v>1751</v>
      </c>
      <c r="E104">
        <v>388</v>
      </c>
      <c r="F104" t="s">
        <v>147</v>
      </c>
      <c r="G104">
        <v>1083</v>
      </c>
      <c r="H104" s="9">
        <v>3</v>
      </c>
      <c r="I104" t="s">
        <v>147</v>
      </c>
      <c r="J104" t="s">
        <v>685</v>
      </c>
      <c r="K104" t="s">
        <v>1752</v>
      </c>
      <c r="L104" t="s">
        <v>1750</v>
      </c>
      <c r="M104" s="10" t="str">
        <f>HYPERLINK(cna_product_database_catalog_website[[#This Row],[Spec Sheet Link]], cna_product_database_catalog_website[[#Headers],[Spec Sheet Link]])</f>
        <v>Spec Sheet Link</v>
      </c>
      <c r="N104" t="s">
        <v>46</v>
      </c>
      <c r="O104">
        <v>1</v>
      </c>
      <c r="P104">
        <v>1</v>
      </c>
      <c r="Q104" t="s">
        <v>47</v>
      </c>
      <c r="R104" t="s">
        <v>291</v>
      </c>
      <c r="S104" t="s">
        <v>47</v>
      </c>
      <c r="T104" t="s">
        <v>47</v>
      </c>
      <c r="U104" t="s">
        <v>140</v>
      </c>
      <c r="V104" t="s">
        <v>47</v>
      </c>
      <c r="W104" t="s">
        <v>47</v>
      </c>
      <c r="X104" t="s">
        <v>47</v>
      </c>
      <c r="Y104" t="s">
        <v>47</v>
      </c>
      <c r="Z104" t="s">
        <v>47</v>
      </c>
      <c r="AA104" t="s">
        <v>54</v>
      </c>
      <c r="AB104" t="s">
        <v>47</v>
      </c>
      <c r="AC104" t="s">
        <v>47</v>
      </c>
      <c r="AD104" t="s">
        <v>47</v>
      </c>
      <c r="AE104"/>
      <c r="AF104" t="s">
        <v>47</v>
      </c>
      <c r="AG104" t="s">
        <v>47</v>
      </c>
      <c r="AH104" t="s">
        <v>47</v>
      </c>
      <c r="AI104" t="s">
        <v>47</v>
      </c>
      <c r="AJ104"/>
      <c r="AK104"/>
      <c r="AL104" t="s">
        <v>47</v>
      </c>
      <c r="AM104"/>
      <c r="AN104"/>
      <c r="AO104" t="s">
        <v>47</v>
      </c>
      <c r="AP104" t="s">
        <v>47</v>
      </c>
      <c r="AQ104" t="s">
        <v>47</v>
      </c>
      <c r="AR104">
        <v>9</v>
      </c>
      <c r="AS104">
        <v>0.02</v>
      </c>
      <c r="AT104"/>
      <c r="AU104"/>
      <c r="AV104" t="s">
        <v>47</v>
      </c>
      <c r="AW104" t="s">
        <v>47</v>
      </c>
      <c r="AX104">
        <v>1</v>
      </c>
      <c r="AY104">
        <v>1</v>
      </c>
      <c r="AZ104"/>
      <c r="BA104"/>
      <c r="BB104"/>
      <c r="BC104">
        <v>0</v>
      </c>
      <c r="BD104">
        <v>0</v>
      </c>
      <c r="BE104" t="s">
        <v>47</v>
      </c>
      <c r="BF104"/>
      <c r="BG104"/>
      <c r="BH104"/>
      <c r="BI104">
        <v>0</v>
      </c>
      <c r="BJ104">
        <v>0</v>
      </c>
      <c r="BK104"/>
      <c r="BL104"/>
      <c r="BM104" t="s">
        <v>47</v>
      </c>
      <c r="BN104" t="s">
        <v>47</v>
      </c>
      <c r="BO104" t="s">
        <v>47</v>
      </c>
      <c r="BP104" t="s">
        <v>47</v>
      </c>
      <c r="BQ104" t="s">
        <v>47</v>
      </c>
      <c r="BR104"/>
      <c r="BS104" t="s">
        <v>47</v>
      </c>
      <c r="BT104" t="s">
        <v>47</v>
      </c>
      <c r="BU104" t="s">
        <v>47</v>
      </c>
      <c r="BV104"/>
      <c r="BW104" t="s">
        <v>47</v>
      </c>
      <c r="BX104" t="s">
        <v>47</v>
      </c>
      <c r="BY104" t="s">
        <v>47</v>
      </c>
      <c r="BZ104" t="s">
        <v>47</v>
      </c>
      <c r="CA104" t="s">
        <v>47</v>
      </c>
      <c r="CB104" t="s">
        <v>47</v>
      </c>
      <c r="CC104" t="s">
        <v>47</v>
      </c>
      <c r="CD104" t="s">
        <v>47</v>
      </c>
      <c r="CE104" t="s">
        <v>292</v>
      </c>
      <c r="CF104" t="s">
        <v>47</v>
      </c>
      <c r="CG104" t="s">
        <v>291</v>
      </c>
      <c r="CH104" t="s">
        <v>47</v>
      </c>
      <c r="CI104" t="s">
        <v>47</v>
      </c>
      <c r="CJ104" t="s">
        <v>47</v>
      </c>
      <c r="CK104"/>
    </row>
    <row r="105" spans="1:89" s="7" customFormat="1" x14ac:dyDescent="0.25">
      <c r="A105" t="s">
        <v>1436</v>
      </c>
      <c r="B105" t="s">
        <v>1399</v>
      </c>
      <c r="C105" t="s">
        <v>725</v>
      </c>
      <c r="D105" t="s">
        <v>1753</v>
      </c>
      <c r="E105">
        <v>389</v>
      </c>
      <c r="F105" t="s">
        <v>148</v>
      </c>
      <c r="G105">
        <v>1084</v>
      </c>
      <c r="H105" s="9">
        <v>3</v>
      </c>
      <c r="I105" t="s">
        <v>148</v>
      </c>
      <c r="J105" t="s">
        <v>148</v>
      </c>
      <c r="K105" t="s">
        <v>1754</v>
      </c>
      <c r="L105" t="s">
        <v>1755</v>
      </c>
      <c r="M105" s="10" t="str">
        <f>HYPERLINK(cna_product_database_catalog_website[[#This Row],[Spec Sheet Link]], cna_product_database_catalog_website[[#Headers],[Spec Sheet Link]])</f>
        <v>Spec Sheet Link</v>
      </c>
      <c r="N105" t="s">
        <v>46</v>
      </c>
      <c r="O105">
        <v>1</v>
      </c>
      <c r="P105">
        <v>1</v>
      </c>
      <c r="Q105" t="s">
        <v>47</v>
      </c>
      <c r="R105" t="s">
        <v>291</v>
      </c>
      <c r="S105" t="s">
        <v>47</v>
      </c>
      <c r="T105" t="s">
        <v>47</v>
      </c>
      <c r="U105" t="s">
        <v>140</v>
      </c>
      <c r="V105" t="s">
        <v>47</v>
      </c>
      <c r="W105" t="s">
        <v>47</v>
      </c>
      <c r="X105" t="s">
        <v>47</v>
      </c>
      <c r="Y105" t="s">
        <v>47</v>
      </c>
      <c r="Z105" t="s">
        <v>47</v>
      </c>
      <c r="AA105" t="s">
        <v>54</v>
      </c>
      <c r="AB105" t="s">
        <v>47</v>
      </c>
      <c r="AC105" t="s">
        <v>47</v>
      </c>
      <c r="AD105" t="s">
        <v>47</v>
      </c>
      <c r="AE105"/>
      <c r="AF105" t="s">
        <v>47</v>
      </c>
      <c r="AG105" t="s">
        <v>47</v>
      </c>
      <c r="AH105" t="s">
        <v>47</v>
      </c>
      <c r="AI105" t="s">
        <v>47</v>
      </c>
      <c r="AJ105"/>
      <c r="AK105"/>
      <c r="AL105" t="s">
        <v>47</v>
      </c>
      <c r="AM105"/>
      <c r="AN105"/>
      <c r="AO105" t="s">
        <v>47</v>
      </c>
      <c r="AP105" t="s">
        <v>47</v>
      </c>
      <c r="AQ105" t="s">
        <v>47</v>
      </c>
      <c r="AR105">
        <v>9</v>
      </c>
      <c r="AS105">
        <v>0.02</v>
      </c>
      <c r="AT105"/>
      <c r="AU105"/>
      <c r="AV105" t="s">
        <v>47</v>
      </c>
      <c r="AW105" t="s">
        <v>47</v>
      </c>
      <c r="AX105">
        <v>1</v>
      </c>
      <c r="AY105">
        <v>1</v>
      </c>
      <c r="AZ105"/>
      <c r="BA105"/>
      <c r="BB105"/>
      <c r="BC105">
        <v>0</v>
      </c>
      <c r="BD105">
        <v>0</v>
      </c>
      <c r="BE105" t="s">
        <v>47</v>
      </c>
      <c r="BF105"/>
      <c r="BG105"/>
      <c r="BH105"/>
      <c r="BI105">
        <v>0</v>
      </c>
      <c r="BJ105">
        <v>0</v>
      </c>
      <c r="BK105"/>
      <c r="BL105"/>
      <c r="BM105" t="s">
        <v>47</v>
      </c>
      <c r="BN105" t="s">
        <v>47</v>
      </c>
      <c r="BO105" t="s">
        <v>47</v>
      </c>
      <c r="BP105" t="s">
        <v>47</v>
      </c>
      <c r="BQ105" t="s">
        <v>47</v>
      </c>
      <c r="BR105"/>
      <c r="BS105" t="s">
        <v>47</v>
      </c>
      <c r="BT105" t="s">
        <v>47</v>
      </c>
      <c r="BU105" t="s">
        <v>47</v>
      </c>
      <c r="BV105"/>
      <c r="BW105" t="s">
        <v>47</v>
      </c>
      <c r="BX105" t="s">
        <v>47</v>
      </c>
      <c r="BY105" t="s">
        <v>47</v>
      </c>
      <c r="BZ105" t="s">
        <v>47</v>
      </c>
      <c r="CA105" t="s">
        <v>47</v>
      </c>
      <c r="CB105" t="s">
        <v>47</v>
      </c>
      <c r="CC105" t="s">
        <v>47</v>
      </c>
      <c r="CD105" t="s">
        <v>47</v>
      </c>
      <c r="CE105" t="s">
        <v>292</v>
      </c>
      <c r="CF105" t="s">
        <v>47</v>
      </c>
      <c r="CG105" t="s">
        <v>291</v>
      </c>
      <c r="CH105" t="s">
        <v>47</v>
      </c>
      <c r="CI105" t="s">
        <v>47</v>
      </c>
      <c r="CJ105" t="s">
        <v>47</v>
      </c>
      <c r="CK105"/>
    </row>
    <row r="106" spans="1:89" s="7" customFormat="1" x14ac:dyDescent="0.25">
      <c r="A106" t="s">
        <v>1437</v>
      </c>
      <c r="B106" t="s">
        <v>1400</v>
      </c>
      <c r="C106" t="s">
        <v>1424</v>
      </c>
      <c r="D106" t="s">
        <v>1756</v>
      </c>
      <c r="E106">
        <v>400</v>
      </c>
      <c r="F106" t="s">
        <v>679</v>
      </c>
      <c r="G106">
        <v>1081</v>
      </c>
      <c r="H106" s="9">
        <v>8.9</v>
      </c>
      <c r="I106" t="s">
        <v>679</v>
      </c>
      <c r="J106" t="s">
        <v>679</v>
      </c>
      <c r="K106" t="s">
        <v>1697</v>
      </c>
      <c r="L106" t="s">
        <v>1698</v>
      </c>
      <c r="M106" s="10" t="str">
        <f>HYPERLINK(cna_product_database_catalog_website[[#This Row],[Spec Sheet Link]], cna_product_database_catalog_website[[#Headers],[Spec Sheet Link]])</f>
        <v>Spec Sheet Link</v>
      </c>
      <c r="N106" t="s">
        <v>46</v>
      </c>
      <c r="O106">
        <v>1</v>
      </c>
      <c r="P106">
        <v>1</v>
      </c>
      <c r="Q106" t="s">
        <v>47</v>
      </c>
      <c r="R106" t="s">
        <v>291</v>
      </c>
      <c r="S106" t="s">
        <v>47</v>
      </c>
      <c r="T106" t="s">
        <v>47</v>
      </c>
      <c r="U106" t="s">
        <v>140</v>
      </c>
      <c r="V106" t="s">
        <v>47</v>
      </c>
      <c r="W106" t="s">
        <v>47</v>
      </c>
      <c r="X106" t="s">
        <v>47</v>
      </c>
      <c r="Y106" t="s">
        <v>47</v>
      </c>
      <c r="Z106" t="s">
        <v>47</v>
      </c>
      <c r="AA106" t="s">
        <v>54</v>
      </c>
      <c r="AB106" t="s">
        <v>47</v>
      </c>
      <c r="AC106" t="s">
        <v>47</v>
      </c>
      <c r="AD106" t="s">
        <v>47</v>
      </c>
      <c r="AE106"/>
      <c r="AF106" t="s">
        <v>47</v>
      </c>
      <c r="AG106" t="s">
        <v>47</v>
      </c>
      <c r="AH106" t="s">
        <v>47</v>
      </c>
      <c r="AI106" t="s">
        <v>47</v>
      </c>
      <c r="AJ106"/>
      <c r="AK106"/>
      <c r="AL106" t="s">
        <v>47</v>
      </c>
      <c r="AM106"/>
      <c r="AN106"/>
      <c r="AO106" t="s">
        <v>47</v>
      </c>
      <c r="AP106" t="s">
        <v>47</v>
      </c>
      <c r="AQ106" t="s">
        <v>47</v>
      </c>
      <c r="AR106">
        <v>8</v>
      </c>
      <c r="AS106">
        <v>0.02</v>
      </c>
      <c r="AT106"/>
      <c r="AU106"/>
      <c r="AV106" t="s">
        <v>47</v>
      </c>
      <c r="AW106" t="s">
        <v>47</v>
      </c>
      <c r="AX106">
        <v>1</v>
      </c>
      <c r="AY106">
        <v>1</v>
      </c>
      <c r="AZ106"/>
      <c r="BA106"/>
      <c r="BB106"/>
      <c r="BC106">
        <v>0</v>
      </c>
      <c r="BD106">
        <v>0</v>
      </c>
      <c r="BE106" t="s">
        <v>47</v>
      </c>
      <c r="BF106"/>
      <c r="BG106"/>
      <c r="BH106"/>
      <c r="BI106">
        <v>0</v>
      </c>
      <c r="BJ106">
        <v>0</v>
      </c>
      <c r="BK106"/>
      <c r="BL106"/>
      <c r="BM106" t="s">
        <v>47</v>
      </c>
      <c r="BN106" t="s">
        <v>47</v>
      </c>
      <c r="BO106" t="s">
        <v>47</v>
      </c>
      <c r="BP106" t="s">
        <v>47</v>
      </c>
      <c r="BQ106" t="s">
        <v>47</v>
      </c>
      <c r="BR106"/>
      <c r="BS106" t="s">
        <v>47</v>
      </c>
      <c r="BT106" t="s">
        <v>47</v>
      </c>
      <c r="BU106" t="s">
        <v>47</v>
      </c>
      <c r="BV106"/>
      <c r="BW106" t="s">
        <v>47</v>
      </c>
      <c r="BX106" t="s">
        <v>47</v>
      </c>
      <c r="BY106" t="s">
        <v>47</v>
      </c>
      <c r="BZ106" t="s">
        <v>47</v>
      </c>
      <c r="CA106" t="s">
        <v>47</v>
      </c>
      <c r="CB106" t="s">
        <v>47</v>
      </c>
      <c r="CC106" t="s">
        <v>47</v>
      </c>
      <c r="CD106" t="s">
        <v>47</v>
      </c>
      <c r="CE106" t="s">
        <v>297</v>
      </c>
      <c r="CF106" t="s">
        <v>47</v>
      </c>
      <c r="CG106" t="s">
        <v>291</v>
      </c>
      <c r="CH106" t="s">
        <v>47</v>
      </c>
      <c r="CI106" t="s">
        <v>47</v>
      </c>
      <c r="CJ106" t="s">
        <v>47</v>
      </c>
      <c r="CK106"/>
    </row>
    <row r="107" spans="1:89" s="7" customFormat="1" x14ac:dyDescent="0.25">
      <c r="A107" t="s">
        <v>1437</v>
      </c>
      <c r="B107" t="s">
        <v>1400</v>
      </c>
      <c r="C107" t="s">
        <v>1425</v>
      </c>
      <c r="D107" t="s">
        <v>1757</v>
      </c>
      <c r="E107">
        <v>410</v>
      </c>
      <c r="F107" t="s">
        <v>752</v>
      </c>
      <c r="G107">
        <v>1201</v>
      </c>
      <c r="H107" s="9">
        <v>12.5</v>
      </c>
      <c r="I107" t="s">
        <v>752</v>
      </c>
      <c r="J107" t="s">
        <v>756</v>
      </c>
      <c r="K107" t="s">
        <v>1758</v>
      </c>
      <c r="L107" t="s">
        <v>1755</v>
      </c>
      <c r="M107" s="10" t="str">
        <f>HYPERLINK(cna_product_database_catalog_website[[#This Row],[Spec Sheet Link]], cna_product_database_catalog_website[[#Headers],[Spec Sheet Link]])</f>
        <v>Spec Sheet Link</v>
      </c>
      <c r="N107" t="s">
        <v>46</v>
      </c>
      <c r="O107">
        <v>1</v>
      </c>
      <c r="P107">
        <v>1</v>
      </c>
      <c r="Q107" t="s">
        <v>47</v>
      </c>
      <c r="R107" t="s">
        <v>291</v>
      </c>
      <c r="S107" t="s">
        <v>47</v>
      </c>
      <c r="T107" t="s">
        <v>47</v>
      </c>
      <c r="U107" t="s">
        <v>140</v>
      </c>
      <c r="V107" t="s">
        <v>47</v>
      </c>
      <c r="W107" t="s">
        <v>47</v>
      </c>
      <c r="X107" t="s">
        <v>47</v>
      </c>
      <c r="Y107" t="s">
        <v>47</v>
      </c>
      <c r="Z107" t="s">
        <v>47</v>
      </c>
      <c r="AA107" t="s">
        <v>54</v>
      </c>
      <c r="AB107" t="s">
        <v>47</v>
      </c>
      <c r="AC107" t="s">
        <v>47</v>
      </c>
      <c r="AD107" t="s">
        <v>47</v>
      </c>
      <c r="AE107"/>
      <c r="AF107" t="s">
        <v>47</v>
      </c>
      <c r="AG107" t="s">
        <v>47</v>
      </c>
      <c r="AH107" t="s">
        <v>47</v>
      </c>
      <c r="AI107" t="s">
        <v>47</v>
      </c>
      <c r="AJ107"/>
      <c r="AK107"/>
      <c r="AL107" t="s">
        <v>47</v>
      </c>
      <c r="AM107"/>
      <c r="AN107"/>
      <c r="AO107" t="s">
        <v>47</v>
      </c>
      <c r="AP107" t="s">
        <v>47</v>
      </c>
      <c r="AQ107" t="s">
        <v>47</v>
      </c>
      <c r="AR107"/>
      <c r="AS107"/>
      <c r="AT107"/>
      <c r="AU107"/>
      <c r="AV107" t="s">
        <v>47</v>
      </c>
      <c r="AW107" t="s">
        <v>47</v>
      </c>
      <c r="AX107" t="s">
        <v>47</v>
      </c>
      <c r="AY107" t="s">
        <v>47</v>
      </c>
      <c r="AZ107"/>
      <c r="BA107"/>
      <c r="BB107"/>
      <c r="BC107">
        <v>0</v>
      </c>
      <c r="BD107">
        <v>0</v>
      </c>
      <c r="BE107" t="s">
        <v>47</v>
      </c>
      <c r="BF107"/>
      <c r="BG107"/>
      <c r="BH107"/>
      <c r="BI107">
        <v>0</v>
      </c>
      <c r="BJ107">
        <v>0</v>
      </c>
      <c r="BK107"/>
      <c r="BL107"/>
      <c r="BM107" t="s">
        <v>47</v>
      </c>
      <c r="BN107" t="s">
        <v>47</v>
      </c>
      <c r="BO107" t="s">
        <v>47</v>
      </c>
      <c r="BP107" t="s">
        <v>47</v>
      </c>
      <c r="BQ107" t="s">
        <v>47</v>
      </c>
      <c r="BR107"/>
      <c r="BS107" t="s">
        <v>47</v>
      </c>
      <c r="BT107" t="s">
        <v>47</v>
      </c>
      <c r="BU107" t="s">
        <v>47</v>
      </c>
      <c r="BV107"/>
      <c r="BW107" t="s">
        <v>47</v>
      </c>
      <c r="BX107" t="s">
        <v>47</v>
      </c>
      <c r="BY107" t="s">
        <v>47</v>
      </c>
      <c r="BZ107" t="s">
        <v>47</v>
      </c>
      <c r="CA107" t="s">
        <v>47</v>
      </c>
      <c r="CB107" t="s">
        <v>47</v>
      </c>
      <c r="CC107" t="s">
        <v>47</v>
      </c>
      <c r="CD107" t="s">
        <v>47</v>
      </c>
      <c r="CE107" t="s">
        <v>47</v>
      </c>
      <c r="CF107" t="s">
        <v>47</v>
      </c>
      <c r="CG107" t="s">
        <v>47</v>
      </c>
      <c r="CH107" t="s">
        <v>47</v>
      </c>
      <c r="CI107" t="s">
        <v>47</v>
      </c>
      <c r="CJ107" t="s">
        <v>47</v>
      </c>
      <c r="CK107"/>
    </row>
    <row r="108" spans="1:89" s="7" customFormat="1" x14ac:dyDescent="0.25">
      <c r="A108" t="s">
        <v>1437</v>
      </c>
      <c r="B108" t="s">
        <v>1400</v>
      </c>
      <c r="C108" t="s">
        <v>1409</v>
      </c>
      <c r="D108" t="s">
        <v>1759</v>
      </c>
      <c r="E108">
        <v>420</v>
      </c>
      <c r="F108" t="s">
        <v>753</v>
      </c>
      <c r="G108">
        <v>1109</v>
      </c>
      <c r="H108" s="9">
        <v>19</v>
      </c>
      <c r="I108" t="s">
        <v>753</v>
      </c>
      <c r="J108" t="s">
        <v>202</v>
      </c>
      <c r="K108" t="s">
        <v>1760</v>
      </c>
      <c r="L108" t="s">
        <v>1761</v>
      </c>
      <c r="M108" s="10" t="str">
        <f>HYPERLINK(cna_product_database_catalog_website[[#This Row],[Spec Sheet Link]], cna_product_database_catalog_website[[#Headers],[Spec Sheet Link]])</f>
        <v>Spec Sheet Link</v>
      </c>
      <c r="N108" t="s">
        <v>46</v>
      </c>
      <c r="O108">
        <v>1</v>
      </c>
      <c r="P108">
        <v>1</v>
      </c>
      <c r="Q108" t="s">
        <v>299</v>
      </c>
      <c r="R108" t="s">
        <v>291</v>
      </c>
      <c r="S108" t="s">
        <v>47</v>
      </c>
      <c r="T108" t="s">
        <v>47</v>
      </c>
      <c r="U108" t="s">
        <v>140</v>
      </c>
      <c r="V108" t="s">
        <v>47</v>
      </c>
      <c r="W108" t="s">
        <v>47</v>
      </c>
      <c r="X108" t="s">
        <v>47</v>
      </c>
      <c r="Y108" t="s">
        <v>47</v>
      </c>
      <c r="Z108" t="s">
        <v>47</v>
      </c>
      <c r="AA108" t="s">
        <v>300</v>
      </c>
      <c r="AB108" t="s">
        <v>47</v>
      </c>
      <c r="AC108" t="s">
        <v>301</v>
      </c>
      <c r="AD108" t="s">
        <v>47</v>
      </c>
      <c r="AE108"/>
      <c r="AF108" t="s">
        <v>47</v>
      </c>
      <c r="AG108" t="s">
        <v>47</v>
      </c>
      <c r="AH108" t="s">
        <v>47</v>
      </c>
      <c r="AI108" t="s">
        <v>47</v>
      </c>
      <c r="AJ108"/>
      <c r="AK108"/>
      <c r="AL108" t="s">
        <v>47</v>
      </c>
      <c r="AM108"/>
      <c r="AN108"/>
      <c r="AO108" t="s">
        <v>47</v>
      </c>
      <c r="AP108" t="s">
        <v>47</v>
      </c>
      <c r="AQ108" t="s">
        <v>47</v>
      </c>
      <c r="AR108">
        <v>39</v>
      </c>
      <c r="AS108">
        <v>0.09</v>
      </c>
      <c r="AT108"/>
      <c r="AU108"/>
      <c r="AV108" t="s">
        <v>47</v>
      </c>
      <c r="AW108" t="s">
        <v>47</v>
      </c>
      <c r="AX108">
        <v>1</v>
      </c>
      <c r="AY108">
        <v>1</v>
      </c>
      <c r="AZ108"/>
      <c r="BA108"/>
      <c r="BB108"/>
      <c r="BC108">
        <v>0</v>
      </c>
      <c r="BD108">
        <v>0</v>
      </c>
      <c r="BE108" t="s">
        <v>47</v>
      </c>
      <c r="BF108"/>
      <c r="BG108"/>
      <c r="BH108"/>
      <c r="BI108">
        <v>0</v>
      </c>
      <c r="BJ108">
        <v>0</v>
      </c>
      <c r="BK108"/>
      <c r="BL108"/>
      <c r="BM108" t="s">
        <v>47</v>
      </c>
      <c r="BN108" t="s">
        <v>300</v>
      </c>
      <c r="BO108" t="s">
        <v>47</v>
      </c>
      <c r="BP108" t="s">
        <v>47</v>
      </c>
      <c r="BQ108" t="s">
        <v>47</v>
      </c>
      <c r="BR108"/>
      <c r="BS108" t="s">
        <v>47</v>
      </c>
      <c r="BT108" t="s">
        <v>47</v>
      </c>
      <c r="BU108" t="s">
        <v>47</v>
      </c>
      <c r="BV108"/>
      <c r="BW108" t="s">
        <v>47</v>
      </c>
      <c r="BX108" t="s">
        <v>47</v>
      </c>
      <c r="BY108" t="s">
        <v>47</v>
      </c>
      <c r="BZ108" t="s">
        <v>47</v>
      </c>
      <c r="CA108" t="s">
        <v>47</v>
      </c>
      <c r="CB108" t="s">
        <v>47</v>
      </c>
      <c r="CC108" t="s">
        <v>47</v>
      </c>
      <c r="CD108" t="s">
        <v>47</v>
      </c>
      <c r="CE108" t="s">
        <v>302</v>
      </c>
      <c r="CF108" t="s">
        <v>47</v>
      </c>
      <c r="CG108" t="s">
        <v>291</v>
      </c>
      <c r="CH108" t="s">
        <v>303</v>
      </c>
      <c r="CI108" t="s">
        <v>47</v>
      </c>
      <c r="CJ108" t="s">
        <v>47</v>
      </c>
      <c r="CK108"/>
    </row>
    <row r="109" spans="1:89" s="7" customFormat="1" x14ac:dyDescent="0.25">
      <c r="A109" t="s">
        <v>1437</v>
      </c>
      <c r="B109" t="s">
        <v>1400</v>
      </c>
      <c r="C109" t="s">
        <v>1410</v>
      </c>
      <c r="D109" t="s">
        <v>1762</v>
      </c>
      <c r="E109">
        <v>421</v>
      </c>
      <c r="F109" t="s">
        <v>754</v>
      </c>
      <c r="G109">
        <v>1128</v>
      </c>
      <c r="H109" s="9">
        <v>23</v>
      </c>
      <c r="I109" t="s">
        <v>754</v>
      </c>
      <c r="J109" t="s">
        <v>757</v>
      </c>
      <c r="K109" t="s">
        <v>1763</v>
      </c>
      <c r="L109" t="s">
        <v>1764</v>
      </c>
      <c r="M109" s="10" t="str">
        <f>HYPERLINK(cna_product_database_catalog_website[[#This Row],[Spec Sheet Link]], cna_product_database_catalog_website[[#Headers],[Spec Sheet Link]])</f>
        <v>Spec Sheet Link</v>
      </c>
      <c r="N109" t="s">
        <v>46</v>
      </c>
      <c r="O109">
        <v>1</v>
      </c>
      <c r="P109">
        <v>1</v>
      </c>
      <c r="Q109" t="s">
        <v>305</v>
      </c>
      <c r="R109" t="s">
        <v>291</v>
      </c>
      <c r="S109" t="s">
        <v>47</v>
      </c>
      <c r="T109" t="s">
        <v>47</v>
      </c>
      <c r="U109" t="s">
        <v>140</v>
      </c>
      <c r="V109" t="s">
        <v>47</v>
      </c>
      <c r="W109" t="s">
        <v>47</v>
      </c>
      <c r="X109" t="s">
        <v>47</v>
      </c>
      <c r="Y109" t="s">
        <v>47</v>
      </c>
      <c r="Z109" t="s">
        <v>47</v>
      </c>
      <c r="AA109" t="s">
        <v>300</v>
      </c>
      <c r="AB109" t="s">
        <v>47</v>
      </c>
      <c r="AC109" t="s">
        <v>301</v>
      </c>
      <c r="AD109" t="s">
        <v>47</v>
      </c>
      <c r="AE109"/>
      <c r="AF109" t="s">
        <v>47</v>
      </c>
      <c r="AG109" t="s">
        <v>47</v>
      </c>
      <c r="AH109" t="s">
        <v>47</v>
      </c>
      <c r="AI109" t="s">
        <v>47</v>
      </c>
      <c r="AJ109"/>
      <c r="AK109"/>
      <c r="AL109" t="s">
        <v>47</v>
      </c>
      <c r="AM109"/>
      <c r="AN109"/>
      <c r="AO109" t="s">
        <v>47</v>
      </c>
      <c r="AP109" t="s">
        <v>47</v>
      </c>
      <c r="AQ109" t="s">
        <v>47</v>
      </c>
      <c r="AR109">
        <v>48</v>
      </c>
      <c r="AS109">
        <v>0.11</v>
      </c>
      <c r="AT109"/>
      <c r="AU109"/>
      <c r="AV109" t="s">
        <v>47</v>
      </c>
      <c r="AW109" t="s">
        <v>47</v>
      </c>
      <c r="AX109">
        <v>1</v>
      </c>
      <c r="AY109">
        <v>1</v>
      </c>
      <c r="AZ109"/>
      <c r="BA109"/>
      <c r="BB109"/>
      <c r="BC109">
        <v>0</v>
      </c>
      <c r="BD109">
        <v>0</v>
      </c>
      <c r="BE109" t="s">
        <v>47</v>
      </c>
      <c r="BF109"/>
      <c r="BG109"/>
      <c r="BH109"/>
      <c r="BI109">
        <v>0</v>
      </c>
      <c r="BJ109">
        <v>0</v>
      </c>
      <c r="BK109"/>
      <c r="BL109"/>
      <c r="BM109" t="s">
        <v>47</v>
      </c>
      <c r="BN109" t="s">
        <v>300</v>
      </c>
      <c r="BO109" t="s">
        <v>47</v>
      </c>
      <c r="BP109" t="s">
        <v>47</v>
      </c>
      <c r="BQ109" t="s">
        <v>47</v>
      </c>
      <c r="BR109"/>
      <c r="BS109" t="s">
        <v>47</v>
      </c>
      <c r="BT109" t="s">
        <v>47</v>
      </c>
      <c r="BU109" t="s">
        <v>47</v>
      </c>
      <c r="BV109"/>
      <c r="BW109" t="s">
        <v>47</v>
      </c>
      <c r="BX109" t="s">
        <v>47</v>
      </c>
      <c r="BY109" t="s">
        <v>47</v>
      </c>
      <c r="BZ109" t="s">
        <v>47</v>
      </c>
      <c r="CA109" t="s">
        <v>47</v>
      </c>
      <c r="CB109" t="s">
        <v>47</v>
      </c>
      <c r="CC109" t="s">
        <v>47</v>
      </c>
      <c r="CD109" t="s">
        <v>47</v>
      </c>
      <c r="CE109" t="s">
        <v>302</v>
      </c>
      <c r="CF109" t="s">
        <v>47</v>
      </c>
      <c r="CG109" t="s">
        <v>291</v>
      </c>
      <c r="CH109" t="s">
        <v>306</v>
      </c>
      <c r="CI109" t="s">
        <v>47</v>
      </c>
      <c r="CJ109" t="s">
        <v>47</v>
      </c>
      <c r="CK109"/>
    </row>
    <row r="110" spans="1:89" s="7" customFormat="1" x14ac:dyDescent="0.25">
      <c r="A110" t="s">
        <v>1437</v>
      </c>
      <c r="B110" t="s">
        <v>1400</v>
      </c>
      <c r="C110" t="s">
        <v>1411</v>
      </c>
      <c r="D110" t="s">
        <v>1765</v>
      </c>
      <c r="E110">
        <v>422</v>
      </c>
      <c r="F110" t="s">
        <v>755</v>
      </c>
      <c r="G110">
        <v>1157</v>
      </c>
      <c r="H110" s="9">
        <v>23</v>
      </c>
      <c r="I110" t="s">
        <v>755</v>
      </c>
      <c r="J110" t="s">
        <v>758</v>
      </c>
      <c r="K110" t="s">
        <v>1766</v>
      </c>
      <c r="L110" t="s">
        <v>1767</v>
      </c>
      <c r="M110" s="10" t="str">
        <f>HYPERLINK(cna_product_database_catalog_website[[#This Row],[Spec Sheet Link]], cna_product_database_catalog_website[[#Headers],[Spec Sheet Link]])</f>
        <v>Spec Sheet Link</v>
      </c>
      <c r="N110" t="s">
        <v>46</v>
      </c>
      <c r="O110">
        <v>1</v>
      </c>
      <c r="P110">
        <v>1</v>
      </c>
      <c r="Q110" t="s">
        <v>47</v>
      </c>
      <c r="R110" t="s">
        <v>47</v>
      </c>
      <c r="S110" t="s">
        <v>47</v>
      </c>
      <c r="T110" t="s">
        <v>47</v>
      </c>
      <c r="U110" t="s">
        <v>47</v>
      </c>
      <c r="V110" t="s">
        <v>47</v>
      </c>
      <c r="W110" t="s">
        <v>47</v>
      </c>
      <c r="X110" t="s">
        <v>47</v>
      </c>
      <c r="Y110" t="s">
        <v>47</v>
      </c>
      <c r="Z110" t="s">
        <v>47</v>
      </c>
      <c r="AA110" t="s">
        <v>54</v>
      </c>
      <c r="AB110" t="s">
        <v>47</v>
      </c>
      <c r="AC110" t="s">
        <v>47</v>
      </c>
      <c r="AD110" t="s">
        <v>47</v>
      </c>
      <c r="AE110"/>
      <c r="AF110" t="s">
        <v>47</v>
      </c>
      <c r="AG110" t="s">
        <v>47</v>
      </c>
      <c r="AH110" t="s">
        <v>47</v>
      </c>
      <c r="AI110" t="s">
        <v>47</v>
      </c>
      <c r="AJ110"/>
      <c r="AK110"/>
      <c r="AL110" t="s">
        <v>47</v>
      </c>
      <c r="AM110"/>
      <c r="AN110"/>
      <c r="AO110" t="s">
        <v>47</v>
      </c>
      <c r="AP110" t="s">
        <v>47</v>
      </c>
      <c r="AQ110" t="s">
        <v>47</v>
      </c>
      <c r="AR110"/>
      <c r="AS110"/>
      <c r="AT110"/>
      <c r="AU110"/>
      <c r="AV110" t="s">
        <v>47</v>
      </c>
      <c r="AW110" t="s">
        <v>47</v>
      </c>
      <c r="AX110">
        <v>1</v>
      </c>
      <c r="AY110">
        <v>1</v>
      </c>
      <c r="AZ110"/>
      <c r="BA110"/>
      <c r="BB110"/>
      <c r="BC110">
        <v>0</v>
      </c>
      <c r="BD110">
        <v>0</v>
      </c>
      <c r="BE110" t="s">
        <v>47</v>
      </c>
      <c r="BF110"/>
      <c r="BG110"/>
      <c r="BH110"/>
      <c r="BI110">
        <v>0</v>
      </c>
      <c r="BJ110">
        <v>0</v>
      </c>
      <c r="BK110"/>
      <c r="BL110"/>
      <c r="BM110" t="s">
        <v>47</v>
      </c>
      <c r="BN110" t="s">
        <v>47</v>
      </c>
      <c r="BO110" t="s">
        <v>47</v>
      </c>
      <c r="BP110" t="s">
        <v>47</v>
      </c>
      <c r="BQ110" t="s">
        <v>47</v>
      </c>
      <c r="BR110"/>
      <c r="BS110" t="s">
        <v>47</v>
      </c>
      <c r="BT110" t="s">
        <v>47</v>
      </c>
      <c r="BU110" t="s">
        <v>47</v>
      </c>
      <c r="BV110"/>
      <c r="BW110" t="s">
        <v>47</v>
      </c>
      <c r="BX110" t="s">
        <v>47</v>
      </c>
      <c r="BY110" t="s">
        <v>47</v>
      </c>
      <c r="BZ110" t="s">
        <v>47</v>
      </c>
      <c r="CA110" t="s">
        <v>47</v>
      </c>
      <c r="CB110" t="s">
        <v>47</v>
      </c>
      <c r="CC110" t="s">
        <v>47</v>
      </c>
      <c r="CD110" t="s">
        <v>47</v>
      </c>
      <c r="CE110" t="s">
        <v>47</v>
      </c>
      <c r="CF110" t="s">
        <v>47</v>
      </c>
      <c r="CG110" t="s">
        <v>47</v>
      </c>
      <c r="CH110" t="s">
        <v>47</v>
      </c>
      <c r="CI110" t="s">
        <v>47</v>
      </c>
      <c r="CJ110" t="s">
        <v>47</v>
      </c>
      <c r="CK110"/>
    </row>
    <row r="111" spans="1:89" s="7" customFormat="1" x14ac:dyDescent="0.25">
      <c r="A111" t="s">
        <v>1437</v>
      </c>
      <c r="B111" t="s">
        <v>1400</v>
      </c>
      <c r="C111" t="s">
        <v>1412</v>
      </c>
      <c r="D111" t="s">
        <v>1768</v>
      </c>
      <c r="E111">
        <v>430</v>
      </c>
      <c r="F111" t="s">
        <v>1015</v>
      </c>
      <c r="G111">
        <v>910</v>
      </c>
      <c r="H111" s="9">
        <v>8.5</v>
      </c>
      <c r="I111" t="s">
        <v>1015</v>
      </c>
      <c r="J111" t="s">
        <v>1018</v>
      </c>
      <c r="K111" t="s">
        <v>1769</v>
      </c>
      <c r="L111" t="s">
        <v>1770</v>
      </c>
      <c r="M111" s="10" t="str">
        <f>HYPERLINK(cna_product_database_catalog_website[[#This Row],[Spec Sheet Link]], cna_product_database_catalog_website[[#Headers],[Spec Sheet Link]])</f>
        <v>Spec Sheet Link</v>
      </c>
      <c r="N111" t="s">
        <v>46</v>
      </c>
      <c r="O111">
        <v>1</v>
      </c>
      <c r="P111">
        <v>1</v>
      </c>
      <c r="Q111" t="s">
        <v>47</v>
      </c>
      <c r="R111" t="s">
        <v>47</v>
      </c>
      <c r="S111" t="s">
        <v>47</v>
      </c>
      <c r="T111" t="s">
        <v>47</v>
      </c>
      <c r="U111" t="s">
        <v>140</v>
      </c>
      <c r="V111" t="s">
        <v>47</v>
      </c>
      <c r="W111" t="s">
        <v>47</v>
      </c>
      <c r="X111" t="s">
        <v>47</v>
      </c>
      <c r="Y111" t="s">
        <v>47</v>
      </c>
      <c r="Z111" t="s">
        <v>47</v>
      </c>
      <c r="AA111" t="s">
        <v>69</v>
      </c>
      <c r="AB111" t="s">
        <v>47</v>
      </c>
      <c r="AC111" t="s">
        <v>47</v>
      </c>
      <c r="AD111" t="s">
        <v>47</v>
      </c>
      <c r="AE111"/>
      <c r="AF111" t="s">
        <v>47</v>
      </c>
      <c r="AG111" t="s">
        <v>47</v>
      </c>
      <c r="AH111" t="s">
        <v>47</v>
      </c>
      <c r="AI111" t="s">
        <v>47</v>
      </c>
      <c r="AJ111"/>
      <c r="AK111"/>
      <c r="AL111" t="s">
        <v>47</v>
      </c>
      <c r="AM111"/>
      <c r="AN111"/>
      <c r="AO111" t="s">
        <v>47</v>
      </c>
      <c r="AP111" t="s">
        <v>47</v>
      </c>
      <c r="AQ111" t="s">
        <v>47</v>
      </c>
      <c r="AR111">
        <v>334</v>
      </c>
      <c r="AS111"/>
      <c r="AT111"/>
      <c r="AU111"/>
      <c r="AV111" t="s">
        <v>47</v>
      </c>
      <c r="AW111" t="s">
        <v>47</v>
      </c>
      <c r="AX111">
        <v>1</v>
      </c>
      <c r="AY111">
        <v>1</v>
      </c>
      <c r="AZ111"/>
      <c r="BA111"/>
      <c r="BB111"/>
      <c r="BC111">
        <v>0</v>
      </c>
      <c r="BD111">
        <v>0</v>
      </c>
      <c r="BE111" t="s">
        <v>47</v>
      </c>
      <c r="BF111"/>
      <c r="BG111"/>
      <c r="BH111"/>
      <c r="BI111">
        <v>0</v>
      </c>
      <c r="BJ111">
        <v>0</v>
      </c>
      <c r="BK111"/>
      <c r="BL111"/>
      <c r="BM111" t="s">
        <v>47</v>
      </c>
      <c r="BN111" t="s">
        <v>47</v>
      </c>
      <c r="BO111" t="s">
        <v>47</v>
      </c>
      <c r="BP111" t="s">
        <v>47</v>
      </c>
      <c r="BQ111" t="s">
        <v>47</v>
      </c>
      <c r="BR111"/>
      <c r="BS111" t="s">
        <v>47</v>
      </c>
      <c r="BT111" t="s">
        <v>47</v>
      </c>
      <c r="BU111" t="s">
        <v>47</v>
      </c>
      <c r="BV111"/>
      <c r="BW111" t="s">
        <v>47</v>
      </c>
      <c r="BX111" t="s">
        <v>47</v>
      </c>
      <c r="BY111" t="s">
        <v>47</v>
      </c>
      <c r="BZ111" t="s">
        <v>47</v>
      </c>
      <c r="CA111" t="s">
        <v>47</v>
      </c>
      <c r="CB111" t="s">
        <v>47</v>
      </c>
      <c r="CC111" t="s">
        <v>47</v>
      </c>
      <c r="CD111" t="s">
        <v>47</v>
      </c>
      <c r="CE111" t="s">
        <v>309</v>
      </c>
      <c r="CF111" t="s">
        <v>47</v>
      </c>
      <c r="CG111" t="s">
        <v>291</v>
      </c>
      <c r="CH111" t="s">
        <v>47</v>
      </c>
      <c r="CI111" t="s">
        <v>47</v>
      </c>
      <c r="CJ111" t="s">
        <v>47</v>
      </c>
      <c r="CK111"/>
    </row>
    <row r="112" spans="1:89" s="7" customFormat="1" x14ac:dyDescent="0.25">
      <c r="A112" t="s">
        <v>1437</v>
      </c>
      <c r="B112" t="s">
        <v>1400</v>
      </c>
      <c r="C112" t="s">
        <v>1413</v>
      </c>
      <c r="D112" t="s">
        <v>1771</v>
      </c>
      <c r="E112">
        <v>431</v>
      </c>
      <c r="F112" t="s">
        <v>761</v>
      </c>
      <c r="G112">
        <v>1182</v>
      </c>
      <c r="H112" s="9">
        <v>9</v>
      </c>
      <c r="I112" t="s">
        <v>761</v>
      </c>
      <c r="J112" t="s">
        <v>767</v>
      </c>
      <c r="K112" t="s">
        <v>1772</v>
      </c>
      <c r="L112" t="s">
        <v>1773</v>
      </c>
      <c r="M112" s="10" t="str">
        <f>HYPERLINK(cna_product_database_catalog_website[[#This Row],[Spec Sheet Link]], cna_product_database_catalog_website[[#Headers],[Spec Sheet Link]])</f>
        <v>Spec Sheet Link</v>
      </c>
      <c r="N112" t="s">
        <v>46</v>
      </c>
      <c r="O112">
        <v>1</v>
      </c>
      <c r="P112">
        <v>1</v>
      </c>
      <c r="Q112" t="s">
        <v>47</v>
      </c>
      <c r="R112" t="s">
        <v>47</v>
      </c>
      <c r="S112" t="s">
        <v>47</v>
      </c>
      <c r="T112" t="s">
        <v>47</v>
      </c>
      <c r="U112" t="s">
        <v>140</v>
      </c>
      <c r="V112" t="s">
        <v>47</v>
      </c>
      <c r="W112" t="s">
        <v>47</v>
      </c>
      <c r="X112" t="s">
        <v>47</v>
      </c>
      <c r="Y112" t="s">
        <v>47</v>
      </c>
      <c r="Z112" t="s">
        <v>47</v>
      </c>
      <c r="AA112" t="s">
        <v>69</v>
      </c>
      <c r="AB112" t="s">
        <v>47</v>
      </c>
      <c r="AC112" t="s">
        <v>47</v>
      </c>
      <c r="AD112" t="s">
        <v>47</v>
      </c>
      <c r="AE112"/>
      <c r="AF112" t="s">
        <v>47</v>
      </c>
      <c r="AG112" t="s">
        <v>47</v>
      </c>
      <c r="AH112" t="s">
        <v>47</v>
      </c>
      <c r="AI112" t="s">
        <v>47</v>
      </c>
      <c r="AJ112"/>
      <c r="AK112"/>
      <c r="AL112" t="s">
        <v>47</v>
      </c>
      <c r="AM112"/>
      <c r="AN112"/>
      <c r="AO112" t="s">
        <v>47</v>
      </c>
      <c r="AP112" t="s">
        <v>47</v>
      </c>
      <c r="AQ112" t="s">
        <v>47</v>
      </c>
      <c r="AR112">
        <v>347</v>
      </c>
      <c r="AS112"/>
      <c r="AT112"/>
      <c r="AU112"/>
      <c r="AV112" t="s">
        <v>47</v>
      </c>
      <c r="AW112" t="s">
        <v>47</v>
      </c>
      <c r="AX112">
        <v>1</v>
      </c>
      <c r="AY112">
        <v>1</v>
      </c>
      <c r="AZ112"/>
      <c r="BA112"/>
      <c r="BB112"/>
      <c r="BC112">
        <v>0</v>
      </c>
      <c r="BD112">
        <v>0</v>
      </c>
      <c r="BE112" t="s">
        <v>47</v>
      </c>
      <c r="BF112"/>
      <c r="BG112"/>
      <c r="BH112"/>
      <c r="BI112">
        <v>0</v>
      </c>
      <c r="BJ112">
        <v>0</v>
      </c>
      <c r="BK112"/>
      <c r="BL112"/>
      <c r="BM112" t="s">
        <v>47</v>
      </c>
      <c r="BN112" t="s">
        <v>47</v>
      </c>
      <c r="BO112" t="s">
        <v>47</v>
      </c>
      <c r="BP112" t="s">
        <v>47</v>
      </c>
      <c r="BQ112" t="s">
        <v>47</v>
      </c>
      <c r="BR112"/>
      <c r="BS112" t="s">
        <v>47</v>
      </c>
      <c r="BT112" t="s">
        <v>47</v>
      </c>
      <c r="BU112" t="s">
        <v>47</v>
      </c>
      <c r="BV112"/>
      <c r="BW112" t="s">
        <v>47</v>
      </c>
      <c r="BX112" t="s">
        <v>47</v>
      </c>
      <c r="BY112" t="s">
        <v>47</v>
      </c>
      <c r="BZ112" t="s">
        <v>47</v>
      </c>
      <c r="CA112" t="s">
        <v>47</v>
      </c>
      <c r="CB112" t="s">
        <v>47</v>
      </c>
      <c r="CC112" t="s">
        <v>47</v>
      </c>
      <c r="CD112" t="s">
        <v>47</v>
      </c>
      <c r="CE112" t="s">
        <v>309</v>
      </c>
      <c r="CF112" t="s">
        <v>47</v>
      </c>
      <c r="CG112" t="s">
        <v>291</v>
      </c>
      <c r="CH112" t="s">
        <v>47</v>
      </c>
      <c r="CI112" t="s">
        <v>47</v>
      </c>
      <c r="CJ112" t="s">
        <v>47</v>
      </c>
      <c r="CK112"/>
    </row>
    <row r="113" spans="1:89" s="7" customFormat="1" x14ac:dyDescent="0.25">
      <c r="A113" t="s">
        <v>1437</v>
      </c>
      <c r="B113" t="s">
        <v>1400</v>
      </c>
      <c r="C113" t="s">
        <v>1414</v>
      </c>
      <c r="D113" t="s">
        <v>1774</v>
      </c>
      <c r="E113">
        <v>432</v>
      </c>
      <c r="F113" t="s">
        <v>762</v>
      </c>
      <c r="G113">
        <v>1181</v>
      </c>
      <c r="H113" s="9">
        <v>9</v>
      </c>
      <c r="I113" t="s">
        <v>762</v>
      </c>
      <c r="J113" t="s">
        <v>768</v>
      </c>
      <c r="K113" t="s">
        <v>1772</v>
      </c>
      <c r="L113" t="s">
        <v>1773</v>
      </c>
      <c r="M113" s="10" t="str">
        <f>HYPERLINK(cna_product_database_catalog_website[[#This Row],[Spec Sheet Link]], cna_product_database_catalog_website[[#Headers],[Spec Sheet Link]])</f>
        <v>Spec Sheet Link</v>
      </c>
      <c r="N113" t="s">
        <v>46</v>
      </c>
      <c r="O113">
        <v>1</v>
      </c>
      <c r="P113">
        <v>1</v>
      </c>
      <c r="Q113" t="s">
        <v>312</v>
      </c>
      <c r="R113" t="s">
        <v>47</v>
      </c>
      <c r="S113" t="s">
        <v>47</v>
      </c>
      <c r="T113" t="s">
        <v>47</v>
      </c>
      <c r="U113" t="s">
        <v>140</v>
      </c>
      <c r="V113" t="s">
        <v>47</v>
      </c>
      <c r="W113" t="s">
        <v>47</v>
      </c>
      <c r="X113" t="s">
        <v>47</v>
      </c>
      <c r="Y113" t="s">
        <v>47</v>
      </c>
      <c r="Z113" t="s">
        <v>47</v>
      </c>
      <c r="AA113" t="s">
        <v>69</v>
      </c>
      <c r="AB113" t="s">
        <v>47</v>
      </c>
      <c r="AC113" t="s">
        <v>47</v>
      </c>
      <c r="AD113" t="s">
        <v>47</v>
      </c>
      <c r="AE113"/>
      <c r="AF113" t="s">
        <v>47</v>
      </c>
      <c r="AG113" t="s">
        <v>47</v>
      </c>
      <c r="AH113" t="s">
        <v>47</v>
      </c>
      <c r="AI113" t="s">
        <v>47</v>
      </c>
      <c r="AJ113"/>
      <c r="AK113"/>
      <c r="AL113" t="s">
        <v>47</v>
      </c>
      <c r="AM113"/>
      <c r="AN113"/>
      <c r="AO113" t="s">
        <v>47</v>
      </c>
      <c r="AP113" t="s">
        <v>47</v>
      </c>
      <c r="AQ113" t="s">
        <v>47</v>
      </c>
      <c r="AR113"/>
      <c r="AS113"/>
      <c r="AT113"/>
      <c r="AU113"/>
      <c r="AV113" t="s">
        <v>47</v>
      </c>
      <c r="AW113" t="s">
        <v>47</v>
      </c>
      <c r="AX113">
        <v>1</v>
      </c>
      <c r="AY113">
        <v>1</v>
      </c>
      <c r="AZ113"/>
      <c r="BA113"/>
      <c r="BB113"/>
      <c r="BC113">
        <v>0</v>
      </c>
      <c r="BD113">
        <v>0</v>
      </c>
      <c r="BE113" t="s">
        <v>47</v>
      </c>
      <c r="BF113"/>
      <c r="BG113"/>
      <c r="BH113"/>
      <c r="BI113">
        <v>0</v>
      </c>
      <c r="BJ113">
        <v>0</v>
      </c>
      <c r="BK113"/>
      <c r="BL113"/>
      <c r="BM113" t="s">
        <v>47</v>
      </c>
      <c r="BN113" t="s">
        <v>47</v>
      </c>
      <c r="BO113" t="s">
        <v>47</v>
      </c>
      <c r="BP113" t="s">
        <v>47</v>
      </c>
      <c r="BQ113" t="s">
        <v>47</v>
      </c>
      <c r="BR113"/>
      <c r="BS113" t="s">
        <v>47</v>
      </c>
      <c r="BT113" t="s">
        <v>47</v>
      </c>
      <c r="BU113" t="s">
        <v>47</v>
      </c>
      <c r="BV113"/>
      <c r="BW113" t="s">
        <v>47</v>
      </c>
      <c r="BX113" t="s">
        <v>47</v>
      </c>
      <c r="BY113" t="s">
        <v>47</v>
      </c>
      <c r="BZ113" t="s">
        <v>47</v>
      </c>
      <c r="CA113" t="s">
        <v>47</v>
      </c>
      <c r="CB113" t="s">
        <v>47</v>
      </c>
      <c r="CC113" t="s">
        <v>47</v>
      </c>
      <c r="CD113" t="s">
        <v>47</v>
      </c>
      <c r="CE113" t="s">
        <v>50</v>
      </c>
      <c r="CF113" t="s">
        <v>47</v>
      </c>
      <c r="CG113" t="s">
        <v>291</v>
      </c>
      <c r="CH113" t="s">
        <v>47</v>
      </c>
      <c r="CI113" t="s">
        <v>47</v>
      </c>
      <c r="CJ113" t="s">
        <v>47</v>
      </c>
      <c r="CK113"/>
    </row>
    <row r="114" spans="1:89" s="7" customFormat="1" x14ac:dyDescent="0.25">
      <c r="A114" t="s">
        <v>1437</v>
      </c>
      <c r="B114" t="s">
        <v>1400</v>
      </c>
      <c r="C114" t="s">
        <v>1415</v>
      </c>
      <c r="D114" t="s">
        <v>1775</v>
      </c>
      <c r="E114">
        <v>433</v>
      </c>
      <c r="F114" t="s">
        <v>763</v>
      </c>
      <c r="G114">
        <v>1184</v>
      </c>
      <c r="H114" s="9">
        <v>11</v>
      </c>
      <c r="I114" t="s">
        <v>763</v>
      </c>
      <c r="J114" t="s">
        <v>769</v>
      </c>
      <c r="K114" t="s">
        <v>1772</v>
      </c>
      <c r="L114" t="s">
        <v>1776</v>
      </c>
      <c r="M114" s="10" t="str">
        <f>HYPERLINK(cna_product_database_catalog_website[[#This Row],[Spec Sheet Link]], cna_product_database_catalog_website[[#Headers],[Spec Sheet Link]])</f>
        <v>Spec Sheet Link</v>
      </c>
      <c r="N114" t="s">
        <v>46</v>
      </c>
      <c r="O114">
        <v>1</v>
      </c>
      <c r="P114">
        <v>1</v>
      </c>
      <c r="Q114" t="s">
        <v>314</v>
      </c>
      <c r="R114" t="s">
        <v>47</v>
      </c>
      <c r="S114" t="s">
        <v>47</v>
      </c>
      <c r="T114" t="s">
        <v>47</v>
      </c>
      <c r="U114" t="s">
        <v>140</v>
      </c>
      <c r="V114" t="s">
        <v>47</v>
      </c>
      <c r="W114" t="s">
        <v>47</v>
      </c>
      <c r="X114" t="s">
        <v>47</v>
      </c>
      <c r="Y114" t="s">
        <v>47</v>
      </c>
      <c r="Z114" t="s">
        <v>47</v>
      </c>
      <c r="AA114" t="s">
        <v>69</v>
      </c>
      <c r="AB114" t="s">
        <v>47</v>
      </c>
      <c r="AC114" t="s">
        <v>47</v>
      </c>
      <c r="AD114" t="s">
        <v>47</v>
      </c>
      <c r="AE114"/>
      <c r="AF114" t="s">
        <v>47</v>
      </c>
      <c r="AG114" t="s">
        <v>47</v>
      </c>
      <c r="AH114" t="s">
        <v>47</v>
      </c>
      <c r="AI114" t="s">
        <v>47</v>
      </c>
      <c r="AJ114"/>
      <c r="AK114"/>
      <c r="AL114" t="s">
        <v>47</v>
      </c>
      <c r="AM114"/>
      <c r="AN114"/>
      <c r="AO114" t="s">
        <v>47</v>
      </c>
      <c r="AP114" t="s">
        <v>47</v>
      </c>
      <c r="AQ114" t="s">
        <v>47</v>
      </c>
      <c r="AR114">
        <v>435</v>
      </c>
      <c r="AS114"/>
      <c r="AT114"/>
      <c r="AU114"/>
      <c r="AV114" t="s">
        <v>47</v>
      </c>
      <c r="AW114" t="s">
        <v>47</v>
      </c>
      <c r="AX114">
        <v>1</v>
      </c>
      <c r="AY114">
        <v>1</v>
      </c>
      <c r="AZ114"/>
      <c r="BA114"/>
      <c r="BB114"/>
      <c r="BC114">
        <v>0</v>
      </c>
      <c r="BD114">
        <v>0</v>
      </c>
      <c r="BE114" t="s">
        <v>47</v>
      </c>
      <c r="BF114"/>
      <c r="BG114"/>
      <c r="BH114"/>
      <c r="BI114">
        <v>0</v>
      </c>
      <c r="BJ114">
        <v>0</v>
      </c>
      <c r="BK114"/>
      <c r="BL114"/>
      <c r="BM114" t="s">
        <v>47</v>
      </c>
      <c r="BN114" t="s">
        <v>47</v>
      </c>
      <c r="BO114" t="s">
        <v>47</v>
      </c>
      <c r="BP114" t="s">
        <v>47</v>
      </c>
      <c r="BQ114" t="s">
        <v>47</v>
      </c>
      <c r="BR114"/>
      <c r="BS114" t="s">
        <v>47</v>
      </c>
      <c r="BT114" t="s">
        <v>47</v>
      </c>
      <c r="BU114" t="s">
        <v>47</v>
      </c>
      <c r="BV114"/>
      <c r="BW114" t="s">
        <v>47</v>
      </c>
      <c r="BX114" t="s">
        <v>47</v>
      </c>
      <c r="BY114" t="s">
        <v>47</v>
      </c>
      <c r="BZ114" t="s">
        <v>47</v>
      </c>
      <c r="CA114" t="s">
        <v>47</v>
      </c>
      <c r="CB114" t="s">
        <v>47</v>
      </c>
      <c r="CC114" t="s">
        <v>47</v>
      </c>
      <c r="CD114" t="s">
        <v>47</v>
      </c>
      <c r="CE114" t="s">
        <v>309</v>
      </c>
      <c r="CF114" t="s">
        <v>47</v>
      </c>
      <c r="CG114" t="s">
        <v>291</v>
      </c>
      <c r="CH114" t="s">
        <v>47</v>
      </c>
      <c r="CI114" t="s">
        <v>47</v>
      </c>
      <c r="CJ114" t="s">
        <v>47</v>
      </c>
      <c r="CK114"/>
    </row>
    <row r="115" spans="1:89" s="7" customFormat="1" x14ac:dyDescent="0.25">
      <c r="A115" t="s">
        <v>1437</v>
      </c>
      <c r="B115" t="s">
        <v>1400</v>
      </c>
      <c r="C115" t="s">
        <v>1416</v>
      </c>
      <c r="D115" t="s">
        <v>1777</v>
      </c>
      <c r="E115">
        <v>434</v>
      </c>
      <c r="F115" t="s">
        <v>764</v>
      </c>
      <c r="G115">
        <v>1183</v>
      </c>
      <c r="H115" s="9">
        <v>11</v>
      </c>
      <c r="I115" t="s">
        <v>764</v>
      </c>
      <c r="J115" t="s">
        <v>770</v>
      </c>
      <c r="K115" t="s">
        <v>1772</v>
      </c>
      <c r="L115" t="s">
        <v>1776</v>
      </c>
      <c r="M115" s="10" t="str">
        <f>HYPERLINK(cna_product_database_catalog_website[[#This Row],[Spec Sheet Link]], cna_product_database_catalog_website[[#Headers],[Spec Sheet Link]])</f>
        <v>Spec Sheet Link</v>
      </c>
      <c r="N115" t="s">
        <v>46</v>
      </c>
      <c r="O115">
        <v>1</v>
      </c>
      <c r="P115">
        <v>1</v>
      </c>
      <c r="Q115" t="s">
        <v>47</v>
      </c>
      <c r="R115" t="s">
        <v>315</v>
      </c>
      <c r="S115" t="s">
        <v>47</v>
      </c>
      <c r="T115" t="s">
        <v>47</v>
      </c>
      <c r="U115" t="s">
        <v>140</v>
      </c>
      <c r="V115" t="s">
        <v>47</v>
      </c>
      <c r="W115" t="s">
        <v>47</v>
      </c>
      <c r="X115" t="s">
        <v>47</v>
      </c>
      <c r="Y115" t="s">
        <v>47</v>
      </c>
      <c r="Z115" t="s">
        <v>47</v>
      </c>
      <c r="AA115" t="s">
        <v>54</v>
      </c>
      <c r="AB115" t="s">
        <v>47</v>
      </c>
      <c r="AC115" t="s">
        <v>47</v>
      </c>
      <c r="AD115" t="s">
        <v>47</v>
      </c>
      <c r="AE115"/>
      <c r="AF115" t="s">
        <v>47</v>
      </c>
      <c r="AG115" t="s">
        <v>47</v>
      </c>
      <c r="AH115" t="s">
        <v>47</v>
      </c>
      <c r="AI115" t="s">
        <v>47</v>
      </c>
      <c r="AJ115"/>
      <c r="AK115"/>
      <c r="AL115" t="s">
        <v>47</v>
      </c>
      <c r="AM115"/>
      <c r="AN115"/>
      <c r="AO115" t="s">
        <v>47</v>
      </c>
      <c r="AP115" t="s">
        <v>47</v>
      </c>
      <c r="AQ115" t="s">
        <v>47</v>
      </c>
      <c r="AR115"/>
      <c r="AS115"/>
      <c r="AT115"/>
      <c r="AU115"/>
      <c r="AV115" t="s">
        <v>47</v>
      </c>
      <c r="AW115" t="s">
        <v>47</v>
      </c>
      <c r="AX115" t="s">
        <v>47</v>
      </c>
      <c r="AY115" t="s">
        <v>47</v>
      </c>
      <c r="AZ115"/>
      <c r="BA115"/>
      <c r="BB115"/>
      <c r="BC115">
        <v>0</v>
      </c>
      <c r="BD115">
        <v>0</v>
      </c>
      <c r="BE115" t="s">
        <v>47</v>
      </c>
      <c r="BF115"/>
      <c r="BG115"/>
      <c r="BH115"/>
      <c r="BI115">
        <v>0</v>
      </c>
      <c r="BJ115">
        <v>0</v>
      </c>
      <c r="BK115"/>
      <c r="BL115"/>
      <c r="BM115" t="s">
        <v>47</v>
      </c>
      <c r="BN115" t="s">
        <v>47</v>
      </c>
      <c r="BO115" t="s">
        <v>47</v>
      </c>
      <c r="BP115" t="s">
        <v>47</v>
      </c>
      <c r="BQ115" t="s">
        <v>47</v>
      </c>
      <c r="BR115"/>
      <c r="BS115" t="s">
        <v>47</v>
      </c>
      <c r="BT115" t="s">
        <v>47</v>
      </c>
      <c r="BU115" t="s">
        <v>47</v>
      </c>
      <c r="BV115"/>
      <c r="BW115" t="s">
        <v>47</v>
      </c>
      <c r="BX115" t="s">
        <v>47</v>
      </c>
      <c r="BY115" t="s">
        <v>47</v>
      </c>
      <c r="BZ115" t="s">
        <v>47</v>
      </c>
      <c r="CA115" t="s">
        <v>47</v>
      </c>
      <c r="CB115" t="s">
        <v>47</v>
      </c>
      <c r="CC115" t="s">
        <v>47</v>
      </c>
      <c r="CD115" t="s">
        <v>47</v>
      </c>
      <c r="CE115" t="s">
        <v>47</v>
      </c>
      <c r="CF115" t="s">
        <v>47</v>
      </c>
      <c r="CG115" t="s">
        <v>47</v>
      </c>
      <c r="CH115" t="s">
        <v>47</v>
      </c>
      <c r="CI115" t="s">
        <v>47</v>
      </c>
      <c r="CJ115" t="s">
        <v>47</v>
      </c>
      <c r="CK115"/>
    </row>
    <row r="116" spans="1:89" s="7" customFormat="1" x14ac:dyDescent="0.25">
      <c r="A116" t="s">
        <v>1437</v>
      </c>
      <c r="B116" t="s">
        <v>1400</v>
      </c>
      <c r="C116" t="s">
        <v>1417</v>
      </c>
      <c r="D116" t="s">
        <v>1778</v>
      </c>
      <c r="E116">
        <v>435</v>
      </c>
      <c r="F116" t="s">
        <v>765</v>
      </c>
      <c r="G116">
        <v>1186</v>
      </c>
      <c r="H116" s="9">
        <v>16</v>
      </c>
      <c r="I116" t="s">
        <v>765</v>
      </c>
      <c r="J116" t="s">
        <v>771</v>
      </c>
      <c r="K116" t="s">
        <v>1772</v>
      </c>
      <c r="L116" t="s">
        <v>1779</v>
      </c>
      <c r="M116" s="10" t="str">
        <f>HYPERLINK(cna_product_database_catalog_website[[#This Row],[Spec Sheet Link]], cna_product_database_catalog_website[[#Headers],[Spec Sheet Link]])</f>
        <v>Spec Sheet Link</v>
      </c>
      <c r="N116" t="s">
        <v>46</v>
      </c>
      <c r="O116">
        <v>1</v>
      </c>
      <c r="P116">
        <v>1</v>
      </c>
      <c r="Q116" t="s">
        <v>47</v>
      </c>
      <c r="R116" t="s">
        <v>315</v>
      </c>
      <c r="S116" t="s">
        <v>47</v>
      </c>
      <c r="T116" t="s">
        <v>47</v>
      </c>
      <c r="U116" t="s">
        <v>140</v>
      </c>
      <c r="V116" t="s">
        <v>47</v>
      </c>
      <c r="W116" t="s">
        <v>47</v>
      </c>
      <c r="X116" t="s">
        <v>47</v>
      </c>
      <c r="Y116" t="s">
        <v>47</v>
      </c>
      <c r="Z116" t="s">
        <v>47</v>
      </c>
      <c r="AA116" t="s">
        <v>54</v>
      </c>
      <c r="AB116" t="s">
        <v>47</v>
      </c>
      <c r="AC116" t="s">
        <v>47</v>
      </c>
      <c r="AD116" t="s">
        <v>47</v>
      </c>
      <c r="AE116"/>
      <c r="AF116" t="s">
        <v>47</v>
      </c>
      <c r="AG116" t="s">
        <v>47</v>
      </c>
      <c r="AH116" t="s">
        <v>47</v>
      </c>
      <c r="AI116" t="s">
        <v>47</v>
      </c>
      <c r="AJ116"/>
      <c r="AK116"/>
      <c r="AL116" t="s">
        <v>47</v>
      </c>
      <c r="AM116"/>
      <c r="AN116"/>
      <c r="AO116" t="s">
        <v>47</v>
      </c>
      <c r="AP116" t="s">
        <v>47</v>
      </c>
      <c r="AQ116" t="s">
        <v>47</v>
      </c>
      <c r="AR116"/>
      <c r="AS116"/>
      <c r="AT116"/>
      <c r="AU116"/>
      <c r="AV116" t="s">
        <v>47</v>
      </c>
      <c r="AW116" t="s">
        <v>47</v>
      </c>
      <c r="AX116" t="s">
        <v>47</v>
      </c>
      <c r="AY116" t="s">
        <v>47</v>
      </c>
      <c r="AZ116"/>
      <c r="BA116"/>
      <c r="BB116"/>
      <c r="BC116">
        <v>0</v>
      </c>
      <c r="BD116">
        <v>0</v>
      </c>
      <c r="BE116" t="s">
        <v>47</v>
      </c>
      <c r="BF116"/>
      <c r="BG116"/>
      <c r="BH116"/>
      <c r="BI116">
        <v>0</v>
      </c>
      <c r="BJ116">
        <v>0</v>
      </c>
      <c r="BK116"/>
      <c r="BL116"/>
      <c r="BM116" t="s">
        <v>47</v>
      </c>
      <c r="BN116" t="s">
        <v>47</v>
      </c>
      <c r="BO116" t="s">
        <v>47</v>
      </c>
      <c r="BP116" t="s">
        <v>47</v>
      </c>
      <c r="BQ116" t="s">
        <v>47</v>
      </c>
      <c r="BR116"/>
      <c r="BS116" t="s">
        <v>47</v>
      </c>
      <c r="BT116" t="s">
        <v>47</v>
      </c>
      <c r="BU116" t="s">
        <v>47</v>
      </c>
      <c r="BV116"/>
      <c r="BW116" t="s">
        <v>47</v>
      </c>
      <c r="BX116" t="s">
        <v>47</v>
      </c>
      <c r="BY116" t="s">
        <v>47</v>
      </c>
      <c r="BZ116" t="s">
        <v>47</v>
      </c>
      <c r="CA116" t="s">
        <v>47</v>
      </c>
      <c r="CB116" t="s">
        <v>47</v>
      </c>
      <c r="CC116" t="s">
        <v>47</v>
      </c>
      <c r="CD116" t="s">
        <v>47</v>
      </c>
      <c r="CE116" t="s">
        <v>47</v>
      </c>
      <c r="CF116" t="s">
        <v>47</v>
      </c>
      <c r="CG116" t="s">
        <v>47</v>
      </c>
      <c r="CH116" t="s">
        <v>47</v>
      </c>
      <c r="CI116" t="s">
        <v>47</v>
      </c>
      <c r="CJ116" t="s">
        <v>47</v>
      </c>
      <c r="CK116"/>
    </row>
    <row r="117" spans="1:89" s="7" customFormat="1" x14ac:dyDescent="0.25">
      <c r="A117" t="s">
        <v>1437</v>
      </c>
      <c r="B117" t="s">
        <v>1400</v>
      </c>
      <c r="C117" t="s">
        <v>1418</v>
      </c>
      <c r="D117" t="s">
        <v>1780</v>
      </c>
      <c r="E117">
        <v>436</v>
      </c>
      <c r="F117" t="s">
        <v>766</v>
      </c>
      <c r="G117">
        <v>1185</v>
      </c>
      <c r="H117" s="9">
        <v>16</v>
      </c>
      <c r="I117" t="s">
        <v>766</v>
      </c>
      <c r="J117" t="s">
        <v>772</v>
      </c>
      <c r="K117" t="s">
        <v>1772</v>
      </c>
      <c r="L117" t="s">
        <v>1779</v>
      </c>
      <c r="M117" s="10" t="str">
        <f>HYPERLINK(cna_product_database_catalog_website[[#This Row],[Spec Sheet Link]], cna_product_database_catalog_website[[#Headers],[Spec Sheet Link]])</f>
        <v>Spec Sheet Link</v>
      </c>
      <c r="N117" t="s">
        <v>46</v>
      </c>
      <c r="O117">
        <v>1</v>
      </c>
      <c r="P117">
        <v>1</v>
      </c>
      <c r="Q117" t="s">
        <v>47</v>
      </c>
      <c r="R117" t="s">
        <v>315</v>
      </c>
      <c r="S117" t="s">
        <v>47</v>
      </c>
      <c r="T117" t="s">
        <v>47</v>
      </c>
      <c r="U117" t="s">
        <v>140</v>
      </c>
      <c r="V117" t="s">
        <v>47</v>
      </c>
      <c r="W117" t="s">
        <v>47</v>
      </c>
      <c r="X117" t="s">
        <v>47</v>
      </c>
      <c r="Y117" t="s">
        <v>47</v>
      </c>
      <c r="Z117" t="s">
        <v>47</v>
      </c>
      <c r="AA117" t="s">
        <v>54</v>
      </c>
      <c r="AB117" t="s">
        <v>47</v>
      </c>
      <c r="AC117" t="s">
        <v>47</v>
      </c>
      <c r="AD117" t="s">
        <v>47</v>
      </c>
      <c r="AE117"/>
      <c r="AF117" t="s">
        <v>47</v>
      </c>
      <c r="AG117" t="s">
        <v>47</v>
      </c>
      <c r="AH117" t="s">
        <v>47</v>
      </c>
      <c r="AI117" t="s">
        <v>47</v>
      </c>
      <c r="AJ117"/>
      <c r="AK117"/>
      <c r="AL117" t="s">
        <v>47</v>
      </c>
      <c r="AM117"/>
      <c r="AN117"/>
      <c r="AO117" t="s">
        <v>47</v>
      </c>
      <c r="AP117" t="s">
        <v>47</v>
      </c>
      <c r="AQ117" t="s">
        <v>47</v>
      </c>
      <c r="AR117"/>
      <c r="AS117"/>
      <c r="AT117"/>
      <c r="AU117"/>
      <c r="AV117" t="s">
        <v>47</v>
      </c>
      <c r="AW117" t="s">
        <v>47</v>
      </c>
      <c r="AX117" t="s">
        <v>47</v>
      </c>
      <c r="AY117" t="s">
        <v>47</v>
      </c>
      <c r="AZ117"/>
      <c r="BA117"/>
      <c r="BB117"/>
      <c r="BC117">
        <v>0</v>
      </c>
      <c r="BD117">
        <v>0</v>
      </c>
      <c r="BE117" t="s">
        <v>47</v>
      </c>
      <c r="BF117"/>
      <c r="BG117"/>
      <c r="BH117"/>
      <c r="BI117">
        <v>0</v>
      </c>
      <c r="BJ117">
        <v>0</v>
      </c>
      <c r="BK117"/>
      <c r="BL117"/>
      <c r="BM117" t="s">
        <v>47</v>
      </c>
      <c r="BN117" t="s">
        <v>47</v>
      </c>
      <c r="BO117" t="s">
        <v>47</v>
      </c>
      <c r="BP117" t="s">
        <v>47</v>
      </c>
      <c r="BQ117" t="s">
        <v>47</v>
      </c>
      <c r="BR117"/>
      <c r="BS117" t="s">
        <v>47</v>
      </c>
      <c r="BT117" t="s">
        <v>47</v>
      </c>
      <c r="BU117" t="s">
        <v>47</v>
      </c>
      <c r="BV117"/>
      <c r="BW117" t="s">
        <v>47</v>
      </c>
      <c r="BX117" t="s">
        <v>47</v>
      </c>
      <c r="BY117" t="s">
        <v>47</v>
      </c>
      <c r="BZ117" t="s">
        <v>47</v>
      </c>
      <c r="CA117" t="s">
        <v>47</v>
      </c>
      <c r="CB117" t="s">
        <v>47</v>
      </c>
      <c r="CC117" t="s">
        <v>47</v>
      </c>
      <c r="CD117" t="s">
        <v>47</v>
      </c>
      <c r="CE117" t="s">
        <v>47</v>
      </c>
      <c r="CF117" t="s">
        <v>47</v>
      </c>
      <c r="CG117" t="s">
        <v>47</v>
      </c>
      <c r="CH117" t="s">
        <v>47</v>
      </c>
      <c r="CI117" t="s">
        <v>47</v>
      </c>
      <c r="CJ117" t="s">
        <v>47</v>
      </c>
      <c r="CK117"/>
    </row>
    <row r="118" spans="1:89" s="7" customFormat="1" x14ac:dyDescent="0.25">
      <c r="A118" t="s">
        <v>1437</v>
      </c>
      <c r="B118" t="s">
        <v>1400</v>
      </c>
      <c r="C118" t="s">
        <v>1419</v>
      </c>
      <c r="D118" t="s">
        <v>1781</v>
      </c>
      <c r="E118">
        <v>437</v>
      </c>
      <c r="F118" t="s">
        <v>1017</v>
      </c>
      <c r="G118">
        <v>169</v>
      </c>
      <c r="H118" s="9">
        <v>22</v>
      </c>
      <c r="I118" t="s">
        <v>1017</v>
      </c>
      <c r="J118" t="s">
        <v>1019</v>
      </c>
      <c r="K118" t="s">
        <v>1782</v>
      </c>
      <c r="L118" t="s">
        <v>1783</v>
      </c>
      <c r="M118" s="10" t="str">
        <f>HYPERLINK(cna_product_database_catalog_website[[#This Row],[Spec Sheet Link]], cna_product_database_catalog_website[[#Headers],[Spec Sheet Link]])</f>
        <v>Spec Sheet Link</v>
      </c>
      <c r="N118" t="s">
        <v>46</v>
      </c>
      <c r="O118">
        <v>1</v>
      </c>
      <c r="P118">
        <v>1</v>
      </c>
      <c r="Q118" t="s">
        <v>47</v>
      </c>
      <c r="R118" t="s">
        <v>315</v>
      </c>
      <c r="S118" t="s">
        <v>47</v>
      </c>
      <c r="T118" t="s">
        <v>47</v>
      </c>
      <c r="U118" t="s">
        <v>140</v>
      </c>
      <c r="V118" t="s">
        <v>47</v>
      </c>
      <c r="W118" t="s">
        <v>47</v>
      </c>
      <c r="X118" t="s">
        <v>47</v>
      </c>
      <c r="Y118" t="s">
        <v>47</v>
      </c>
      <c r="Z118" t="s">
        <v>47</v>
      </c>
      <c r="AA118" t="s">
        <v>54</v>
      </c>
      <c r="AB118" t="s">
        <v>47</v>
      </c>
      <c r="AC118" t="s">
        <v>47</v>
      </c>
      <c r="AD118" t="s">
        <v>47</v>
      </c>
      <c r="AE118"/>
      <c r="AF118" t="s">
        <v>47</v>
      </c>
      <c r="AG118" t="s">
        <v>47</v>
      </c>
      <c r="AH118" t="s">
        <v>47</v>
      </c>
      <c r="AI118" t="s">
        <v>47</v>
      </c>
      <c r="AJ118"/>
      <c r="AK118"/>
      <c r="AL118" t="s">
        <v>47</v>
      </c>
      <c r="AM118"/>
      <c r="AN118"/>
      <c r="AO118" t="s">
        <v>47</v>
      </c>
      <c r="AP118" t="s">
        <v>47</v>
      </c>
      <c r="AQ118" t="s">
        <v>47</v>
      </c>
      <c r="AR118"/>
      <c r="AS118"/>
      <c r="AT118"/>
      <c r="AU118"/>
      <c r="AV118" t="s">
        <v>47</v>
      </c>
      <c r="AW118" t="s">
        <v>47</v>
      </c>
      <c r="AX118" t="s">
        <v>47</v>
      </c>
      <c r="AY118" t="s">
        <v>47</v>
      </c>
      <c r="AZ118"/>
      <c r="BA118"/>
      <c r="BB118"/>
      <c r="BC118">
        <v>0</v>
      </c>
      <c r="BD118">
        <v>0</v>
      </c>
      <c r="BE118" t="s">
        <v>47</v>
      </c>
      <c r="BF118"/>
      <c r="BG118"/>
      <c r="BH118"/>
      <c r="BI118">
        <v>0</v>
      </c>
      <c r="BJ118">
        <v>0</v>
      </c>
      <c r="BK118"/>
      <c r="BL118"/>
      <c r="BM118" t="s">
        <v>47</v>
      </c>
      <c r="BN118" t="s">
        <v>47</v>
      </c>
      <c r="BO118" t="s">
        <v>47</v>
      </c>
      <c r="BP118" t="s">
        <v>47</v>
      </c>
      <c r="BQ118" t="s">
        <v>47</v>
      </c>
      <c r="BR118"/>
      <c r="BS118" t="s">
        <v>47</v>
      </c>
      <c r="BT118" t="s">
        <v>47</v>
      </c>
      <c r="BU118" t="s">
        <v>47</v>
      </c>
      <c r="BV118"/>
      <c r="BW118" t="s">
        <v>47</v>
      </c>
      <c r="BX118" t="s">
        <v>47</v>
      </c>
      <c r="BY118" t="s">
        <v>47</v>
      </c>
      <c r="BZ118" t="s">
        <v>47</v>
      </c>
      <c r="CA118" t="s">
        <v>47</v>
      </c>
      <c r="CB118" t="s">
        <v>47</v>
      </c>
      <c r="CC118" t="s">
        <v>47</v>
      </c>
      <c r="CD118" t="s">
        <v>47</v>
      </c>
      <c r="CE118" t="s">
        <v>47</v>
      </c>
      <c r="CF118" t="s">
        <v>47</v>
      </c>
      <c r="CG118" t="s">
        <v>47</v>
      </c>
      <c r="CH118" t="s">
        <v>47</v>
      </c>
      <c r="CI118" t="s">
        <v>47</v>
      </c>
      <c r="CJ118" t="s">
        <v>47</v>
      </c>
      <c r="CK118"/>
    </row>
    <row r="119" spans="1:89" s="7" customFormat="1" x14ac:dyDescent="0.25">
      <c r="A119" t="s">
        <v>1437</v>
      </c>
      <c r="B119" t="s">
        <v>1400</v>
      </c>
      <c r="C119" t="s">
        <v>1420</v>
      </c>
      <c r="D119" t="s">
        <v>1784</v>
      </c>
      <c r="E119">
        <v>438</v>
      </c>
      <c r="F119" t="s">
        <v>1016</v>
      </c>
      <c r="G119">
        <v>1199</v>
      </c>
      <c r="H119" s="9">
        <v>28</v>
      </c>
      <c r="I119" t="s">
        <v>1016</v>
      </c>
      <c r="J119" t="s">
        <v>1020</v>
      </c>
      <c r="K119" t="s">
        <v>1785</v>
      </c>
      <c r="L119" t="s">
        <v>1786</v>
      </c>
      <c r="M119" s="10" t="str">
        <f>HYPERLINK(cna_product_database_catalog_website[[#This Row],[Spec Sheet Link]], cna_product_database_catalog_website[[#Headers],[Spec Sheet Link]])</f>
        <v>Spec Sheet Link</v>
      </c>
      <c r="N119" t="s">
        <v>46</v>
      </c>
      <c r="O119">
        <v>1</v>
      </c>
      <c r="P119">
        <v>1</v>
      </c>
      <c r="Q119" t="s">
        <v>47</v>
      </c>
      <c r="R119" t="s">
        <v>315</v>
      </c>
      <c r="S119" t="s">
        <v>47</v>
      </c>
      <c r="T119" t="s">
        <v>47</v>
      </c>
      <c r="U119" t="s">
        <v>140</v>
      </c>
      <c r="V119" t="s">
        <v>47</v>
      </c>
      <c r="W119" t="s">
        <v>47</v>
      </c>
      <c r="X119" t="s">
        <v>47</v>
      </c>
      <c r="Y119" t="s">
        <v>47</v>
      </c>
      <c r="Z119" t="s">
        <v>47</v>
      </c>
      <c r="AA119" t="s">
        <v>54</v>
      </c>
      <c r="AB119" t="s">
        <v>47</v>
      </c>
      <c r="AC119" t="s">
        <v>47</v>
      </c>
      <c r="AD119" t="s">
        <v>47</v>
      </c>
      <c r="AE119"/>
      <c r="AF119" t="s">
        <v>47</v>
      </c>
      <c r="AG119" t="s">
        <v>316</v>
      </c>
      <c r="AH119" t="s">
        <v>317</v>
      </c>
      <c r="AI119" t="s">
        <v>317</v>
      </c>
      <c r="AJ119"/>
      <c r="AK119"/>
      <c r="AL119"/>
      <c r="AM119"/>
      <c r="AN119" t="s">
        <v>317</v>
      </c>
      <c r="AO119" t="s">
        <v>47</v>
      </c>
      <c r="AP119" t="s">
        <v>47</v>
      </c>
      <c r="AQ119" t="s">
        <v>47</v>
      </c>
      <c r="AR119"/>
      <c r="AS119"/>
      <c r="AT119"/>
      <c r="AU119"/>
      <c r="AV119" t="s">
        <v>47</v>
      </c>
      <c r="AW119" t="s">
        <v>47</v>
      </c>
      <c r="AX119" t="s">
        <v>47</v>
      </c>
      <c r="AY119" t="s">
        <v>47</v>
      </c>
      <c r="AZ119"/>
      <c r="BA119"/>
      <c r="BB119"/>
      <c r="BC119">
        <v>0</v>
      </c>
      <c r="BD119">
        <v>0</v>
      </c>
      <c r="BE119" t="s">
        <v>47</v>
      </c>
      <c r="BF119"/>
      <c r="BG119"/>
      <c r="BH119"/>
      <c r="BI119">
        <v>0</v>
      </c>
      <c r="BJ119">
        <v>0</v>
      </c>
      <c r="BK119"/>
      <c r="BL119"/>
      <c r="BM119" t="s">
        <v>47</v>
      </c>
      <c r="BN119" t="s">
        <v>47</v>
      </c>
      <c r="BO119" t="s">
        <v>47</v>
      </c>
      <c r="BP119" t="s">
        <v>47</v>
      </c>
      <c r="BQ119" t="s">
        <v>47</v>
      </c>
      <c r="BR119"/>
      <c r="BS119" t="s">
        <v>47</v>
      </c>
      <c r="BT119" t="s">
        <v>47</v>
      </c>
      <c r="BU119" t="s">
        <v>47</v>
      </c>
      <c r="BV119"/>
      <c r="BW119" t="s">
        <v>47</v>
      </c>
      <c r="BX119" t="s">
        <v>47</v>
      </c>
      <c r="BY119" t="s">
        <v>47</v>
      </c>
      <c r="BZ119" t="s">
        <v>47</v>
      </c>
      <c r="CA119" t="s">
        <v>47</v>
      </c>
      <c r="CB119" t="s">
        <v>47</v>
      </c>
      <c r="CC119" t="s">
        <v>47</v>
      </c>
      <c r="CD119" t="s">
        <v>47</v>
      </c>
      <c r="CE119" t="s">
        <v>47</v>
      </c>
      <c r="CF119" t="s">
        <v>47</v>
      </c>
      <c r="CG119" t="s">
        <v>47</v>
      </c>
      <c r="CH119" t="s">
        <v>47</v>
      </c>
      <c r="CI119" t="s">
        <v>47</v>
      </c>
      <c r="CJ119" t="s">
        <v>47</v>
      </c>
      <c r="CK119"/>
    </row>
    <row r="120" spans="1:89" s="7" customFormat="1" x14ac:dyDescent="0.25">
      <c r="A120" t="s">
        <v>1437</v>
      </c>
      <c r="B120" t="s">
        <v>1407</v>
      </c>
      <c r="C120" t="s">
        <v>1377</v>
      </c>
      <c r="D120" t="s">
        <v>1787</v>
      </c>
      <c r="E120">
        <v>450</v>
      </c>
      <c r="F120" t="s">
        <v>1378</v>
      </c>
      <c r="G120">
        <v>1205</v>
      </c>
      <c r="H120" s="9">
        <v>17</v>
      </c>
      <c r="I120" t="s">
        <v>1378</v>
      </c>
      <c r="J120" t="s">
        <v>1378</v>
      </c>
      <c r="K120" t="s">
        <v>1788</v>
      </c>
      <c r="L120" t="s">
        <v>1789</v>
      </c>
      <c r="M120" s="10" t="str">
        <f>HYPERLINK(cna_product_database_catalog_website[[#This Row],[Spec Sheet Link]], cna_product_database_catalog_website[[#Headers],[Spec Sheet Link]])</f>
        <v>Spec Sheet Link</v>
      </c>
      <c r="N120" t="s">
        <v>46</v>
      </c>
      <c r="O120">
        <v>1</v>
      </c>
      <c r="P120">
        <v>1</v>
      </c>
      <c r="Q120" t="s">
        <v>47</v>
      </c>
      <c r="R120" t="s">
        <v>315</v>
      </c>
      <c r="S120" t="s">
        <v>47</v>
      </c>
      <c r="T120" t="s">
        <v>47</v>
      </c>
      <c r="U120" t="s">
        <v>47</v>
      </c>
      <c r="V120" t="s">
        <v>47</v>
      </c>
      <c r="W120" t="s">
        <v>47</v>
      </c>
      <c r="X120" t="s">
        <v>47</v>
      </c>
      <c r="Y120" t="s">
        <v>47</v>
      </c>
      <c r="Z120" t="s">
        <v>47</v>
      </c>
      <c r="AA120" t="s">
        <v>69</v>
      </c>
      <c r="AB120" t="s">
        <v>47</v>
      </c>
      <c r="AC120" t="s">
        <v>47</v>
      </c>
      <c r="AD120" t="s">
        <v>47</v>
      </c>
      <c r="AE120"/>
      <c r="AF120" t="s">
        <v>47</v>
      </c>
      <c r="AG120" t="s">
        <v>47</v>
      </c>
      <c r="AH120" t="s">
        <v>47</v>
      </c>
      <c r="AI120" t="s">
        <v>47</v>
      </c>
      <c r="AJ120"/>
      <c r="AK120"/>
      <c r="AL120" t="s">
        <v>47</v>
      </c>
      <c r="AM120"/>
      <c r="AN120"/>
      <c r="AO120" t="s">
        <v>47</v>
      </c>
      <c r="AP120" t="s">
        <v>47</v>
      </c>
      <c r="AQ120" t="s">
        <v>47</v>
      </c>
      <c r="AR120"/>
      <c r="AS120"/>
      <c r="AT120"/>
      <c r="AU120"/>
      <c r="AV120" t="s">
        <v>47</v>
      </c>
      <c r="AW120" t="s">
        <v>47</v>
      </c>
      <c r="AX120" t="s">
        <v>47</v>
      </c>
      <c r="AY120" t="s">
        <v>47</v>
      </c>
      <c r="AZ120"/>
      <c r="BA120"/>
      <c r="BB120"/>
      <c r="BC120">
        <v>0</v>
      </c>
      <c r="BD120">
        <v>0</v>
      </c>
      <c r="BE120" t="s">
        <v>47</v>
      </c>
      <c r="BF120"/>
      <c r="BG120"/>
      <c r="BH120"/>
      <c r="BI120">
        <v>0</v>
      </c>
      <c r="BJ120">
        <v>0</v>
      </c>
      <c r="BK120"/>
      <c r="BL120"/>
      <c r="BM120" t="s">
        <v>47</v>
      </c>
      <c r="BN120" t="s">
        <v>47</v>
      </c>
      <c r="BO120" t="s">
        <v>47</v>
      </c>
      <c r="BP120" t="s">
        <v>47</v>
      </c>
      <c r="BQ120" t="s">
        <v>47</v>
      </c>
      <c r="BR120"/>
      <c r="BS120" t="s">
        <v>47</v>
      </c>
      <c r="BT120" t="s">
        <v>47</v>
      </c>
      <c r="BU120" t="s">
        <v>47</v>
      </c>
      <c r="BV120"/>
      <c r="BW120" t="s">
        <v>47</v>
      </c>
      <c r="BX120" t="s">
        <v>47</v>
      </c>
      <c r="BY120" t="s">
        <v>47</v>
      </c>
      <c r="BZ120" t="s">
        <v>47</v>
      </c>
      <c r="CA120" t="s">
        <v>47</v>
      </c>
      <c r="CB120" t="s">
        <v>47</v>
      </c>
      <c r="CC120" t="s">
        <v>47</v>
      </c>
      <c r="CD120" t="s">
        <v>47</v>
      </c>
      <c r="CE120" t="s">
        <v>47</v>
      </c>
      <c r="CF120" t="s">
        <v>47</v>
      </c>
      <c r="CG120" t="s">
        <v>47</v>
      </c>
      <c r="CH120" t="s">
        <v>47</v>
      </c>
      <c r="CI120" t="s">
        <v>47</v>
      </c>
      <c r="CJ120" t="s">
        <v>47</v>
      </c>
      <c r="CK120"/>
    </row>
    <row r="121" spans="1:89" s="7" customFormat="1" x14ac:dyDescent="0.25">
      <c r="A121" t="s">
        <v>1437</v>
      </c>
      <c r="B121" t="s">
        <v>1407</v>
      </c>
      <c r="C121" t="s">
        <v>741</v>
      </c>
      <c r="D121" t="s">
        <v>1790</v>
      </c>
      <c r="E121">
        <v>451</v>
      </c>
      <c r="F121" t="s">
        <v>742</v>
      </c>
      <c r="G121">
        <v>1206</v>
      </c>
      <c r="H121" s="9">
        <v>22</v>
      </c>
      <c r="I121" t="s">
        <v>742</v>
      </c>
      <c r="J121" t="s">
        <v>742</v>
      </c>
      <c r="K121" t="s">
        <v>1791</v>
      </c>
      <c r="L121" t="s">
        <v>1792</v>
      </c>
      <c r="M121" s="10" t="str">
        <f>HYPERLINK(cna_product_database_catalog_website[[#This Row],[Spec Sheet Link]], cna_product_database_catalog_website[[#Headers],[Spec Sheet Link]])</f>
        <v>Spec Sheet Link</v>
      </c>
      <c r="N121" t="s">
        <v>46</v>
      </c>
      <c r="O121">
        <v>1</v>
      </c>
      <c r="P121">
        <v>1</v>
      </c>
      <c r="Q121" t="s">
        <v>980</v>
      </c>
      <c r="R121" t="s">
        <v>291</v>
      </c>
      <c r="S121" t="s">
        <v>1064</v>
      </c>
      <c r="T121" t="s">
        <v>217</v>
      </c>
      <c r="U121" t="s">
        <v>150</v>
      </c>
      <c r="V121" t="s">
        <v>1067</v>
      </c>
      <c r="W121" t="s">
        <v>151</v>
      </c>
      <c r="X121" t="s">
        <v>63</v>
      </c>
      <c r="Y121" t="s">
        <v>2214</v>
      </c>
      <c r="Z121">
        <v>80</v>
      </c>
      <c r="AA121" t="s">
        <v>54</v>
      </c>
      <c r="AB121" t="s">
        <v>636</v>
      </c>
      <c r="AC121" t="s">
        <v>47</v>
      </c>
      <c r="AD121" t="s">
        <v>157</v>
      </c>
      <c r="AE121"/>
      <c r="AF121" t="s">
        <v>47</v>
      </c>
      <c r="AG121" t="s">
        <v>47</v>
      </c>
      <c r="AH121" t="s">
        <v>47</v>
      </c>
      <c r="AI121" t="s">
        <v>47</v>
      </c>
      <c r="AJ121"/>
      <c r="AK121"/>
      <c r="AL121" t="s">
        <v>47</v>
      </c>
      <c r="AM121"/>
      <c r="AN121" t="s">
        <v>56</v>
      </c>
      <c r="AO121" t="s">
        <v>47</v>
      </c>
      <c r="AP121" t="s">
        <v>81</v>
      </c>
      <c r="AQ121" t="s">
        <v>47</v>
      </c>
      <c r="AR121">
        <v>49</v>
      </c>
      <c r="AS121"/>
      <c r="AT121"/>
      <c r="AU121"/>
      <c r="AV121" t="s">
        <v>1092</v>
      </c>
      <c r="AW121" t="s">
        <v>142</v>
      </c>
      <c r="AX121">
        <v>210</v>
      </c>
      <c r="AY121">
        <v>210</v>
      </c>
      <c r="AZ121"/>
      <c r="BA121"/>
      <c r="BB121"/>
      <c r="BC121">
        <v>0</v>
      </c>
      <c r="BD121">
        <v>0</v>
      </c>
      <c r="BE121" t="s">
        <v>47</v>
      </c>
      <c r="BF121"/>
      <c r="BG121"/>
      <c r="BH121"/>
      <c r="BI121">
        <v>0</v>
      </c>
      <c r="BJ121">
        <v>0</v>
      </c>
      <c r="BK121"/>
      <c r="BL121"/>
      <c r="BM121" t="s">
        <v>47</v>
      </c>
      <c r="BN121" t="s">
        <v>47</v>
      </c>
      <c r="BO121" t="s">
        <v>47</v>
      </c>
      <c r="BP121" t="s">
        <v>47</v>
      </c>
      <c r="BQ121" t="s">
        <v>47</v>
      </c>
      <c r="BR121"/>
      <c r="BS121" t="s">
        <v>47</v>
      </c>
      <c r="BT121" t="s">
        <v>47</v>
      </c>
      <c r="BU121" t="s">
        <v>47</v>
      </c>
      <c r="BV121"/>
      <c r="BW121" t="s">
        <v>47</v>
      </c>
      <c r="BX121" t="s">
        <v>47</v>
      </c>
      <c r="BY121" t="s">
        <v>47</v>
      </c>
      <c r="BZ121" t="s">
        <v>47</v>
      </c>
      <c r="CA121" t="s">
        <v>47</v>
      </c>
      <c r="CB121" t="s">
        <v>47</v>
      </c>
      <c r="CC121" t="s">
        <v>47</v>
      </c>
      <c r="CD121" t="s">
        <v>47</v>
      </c>
      <c r="CE121" t="s">
        <v>47</v>
      </c>
      <c r="CF121" t="s">
        <v>47</v>
      </c>
      <c r="CG121" t="s">
        <v>47</v>
      </c>
      <c r="CH121" t="s">
        <v>47</v>
      </c>
      <c r="CI121" t="s">
        <v>47</v>
      </c>
      <c r="CJ121" t="s">
        <v>47</v>
      </c>
      <c r="CK121"/>
    </row>
    <row r="122" spans="1:89" s="7" customFormat="1" x14ac:dyDescent="0.25">
      <c r="A122" t="s">
        <v>1437</v>
      </c>
      <c r="B122" t="s">
        <v>1401</v>
      </c>
      <c r="C122" t="s">
        <v>1402</v>
      </c>
      <c r="D122" t="s">
        <v>1793</v>
      </c>
      <c r="E122">
        <v>455</v>
      </c>
      <c r="F122" t="s">
        <v>743</v>
      </c>
      <c r="G122">
        <v>1204</v>
      </c>
      <c r="H122" s="9">
        <v>27</v>
      </c>
      <c r="I122" t="s">
        <v>743</v>
      </c>
      <c r="J122" t="s">
        <v>743</v>
      </c>
      <c r="K122" t="s">
        <v>1794</v>
      </c>
      <c r="L122" t="s">
        <v>1795</v>
      </c>
      <c r="M122" s="10" t="str">
        <f>HYPERLINK(cna_product_database_catalog_website[[#This Row],[Spec Sheet Link]], cna_product_database_catalog_website[[#Headers],[Spec Sheet Link]])</f>
        <v>Spec Sheet Link</v>
      </c>
      <c r="N122" t="s">
        <v>46</v>
      </c>
      <c r="O122">
        <v>1</v>
      </c>
      <c r="P122">
        <v>1</v>
      </c>
      <c r="Q122" t="s">
        <v>319</v>
      </c>
      <c r="R122" t="s">
        <v>50</v>
      </c>
      <c r="S122" t="s">
        <v>47</v>
      </c>
      <c r="T122" t="s">
        <v>47</v>
      </c>
      <c r="U122" t="s">
        <v>47</v>
      </c>
      <c r="V122" t="s">
        <v>47</v>
      </c>
      <c r="W122" t="s">
        <v>47</v>
      </c>
      <c r="X122" t="s">
        <v>47</v>
      </c>
      <c r="Y122" t="s">
        <v>47</v>
      </c>
      <c r="Z122" t="s">
        <v>47</v>
      </c>
      <c r="AA122" t="s">
        <v>54</v>
      </c>
      <c r="AB122" t="s">
        <v>47</v>
      </c>
      <c r="AC122" t="s">
        <v>47</v>
      </c>
      <c r="AD122" t="s">
        <v>47</v>
      </c>
      <c r="AE122"/>
      <c r="AF122" t="s">
        <v>47</v>
      </c>
      <c r="AG122" t="s">
        <v>47</v>
      </c>
      <c r="AH122" t="s">
        <v>47</v>
      </c>
      <c r="AI122" t="s">
        <v>47</v>
      </c>
      <c r="AJ122"/>
      <c r="AK122"/>
      <c r="AL122" t="s">
        <v>47</v>
      </c>
      <c r="AM122"/>
      <c r="AN122"/>
      <c r="AO122" t="s">
        <v>47</v>
      </c>
      <c r="AP122" t="s">
        <v>47</v>
      </c>
      <c r="AQ122" t="s">
        <v>47</v>
      </c>
      <c r="AR122">
        <v>256</v>
      </c>
      <c r="AS122"/>
      <c r="AT122"/>
      <c r="AU122"/>
      <c r="AV122" t="s">
        <v>47</v>
      </c>
      <c r="AW122" t="s">
        <v>142</v>
      </c>
      <c r="AX122">
        <v>1</v>
      </c>
      <c r="AY122">
        <v>20</v>
      </c>
      <c r="AZ122"/>
      <c r="BA122"/>
      <c r="BB122"/>
      <c r="BC122">
        <v>0</v>
      </c>
      <c r="BD122">
        <v>0</v>
      </c>
      <c r="BE122" t="s">
        <v>47</v>
      </c>
      <c r="BF122"/>
      <c r="BG122"/>
      <c r="BH122"/>
      <c r="BI122">
        <v>0</v>
      </c>
      <c r="BJ122">
        <v>0</v>
      </c>
      <c r="BK122"/>
      <c r="BL122"/>
      <c r="BM122" t="s">
        <v>47</v>
      </c>
      <c r="BN122" t="s">
        <v>47</v>
      </c>
      <c r="BO122" t="s">
        <v>47</v>
      </c>
      <c r="BP122" t="s">
        <v>47</v>
      </c>
      <c r="BQ122" t="s">
        <v>47</v>
      </c>
      <c r="BR122"/>
      <c r="BS122" t="s">
        <v>47</v>
      </c>
      <c r="BT122" t="s">
        <v>47</v>
      </c>
      <c r="BU122" t="s">
        <v>47</v>
      </c>
      <c r="BV122"/>
      <c r="BW122" t="s">
        <v>47</v>
      </c>
      <c r="BX122" t="s">
        <v>47</v>
      </c>
      <c r="BY122" t="s">
        <v>47</v>
      </c>
      <c r="BZ122" t="s">
        <v>47</v>
      </c>
      <c r="CA122" t="s">
        <v>47</v>
      </c>
      <c r="CB122" t="s">
        <v>47</v>
      </c>
      <c r="CC122" t="s">
        <v>47</v>
      </c>
      <c r="CD122" t="s">
        <v>47</v>
      </c>
      <c r="CE122" t="s">
        <v>47</v>
      </c>
      <c r="CF122" t="s">
        <v>47</v>
      </c>
      <c r="CG122" t="s">
        <v>47</v>
      </c>
      <c r="CH122" t="s">
        <v>47</v>
      </c>
      <c r="CI122" t="s">
        <v>47</v>
      </c>
      <c r="CJ122" t="s">
        <v>47</v>
      </c>
      <c r="CK122"/>
    </row>
    <row r="123" spans="1:89" s="7" customFormat="1" x14ac:dyDescent="0.25">
      <c r="A123" t="s">
        <v>1437</v>
      </c>
      <c r="B123" t="s">
        <v>1401</v>
      </c>
      <c r="C123" t="s">
        <v>1403</v>
      </c>
      <c r="D123" t="s">
        <v>1796</v>
      </c>
      <c r="E123">
        <v>456</v>
      </c>
      <c r="F123" t="s">
        <v>744</v>
      </c>
      <c r="G123">
        <v>1136</v>
      </c>
      <c r="H123" s="9">
        <v>27</v>
      </c>
      <c r="I123" t="s">
        <v>744</v>
      </c>
      <c r="J123" t="s">
        <v>744</v>
      </c>
      <c r="K123" t="s">
        <v>1797</v>
      </c>
      <c r="L123" t="s">
        <v>1798</v>
      </c>
      <c r="M123" s="10" t="str">
        <f>HYPERLINK(cna_product_database_catalog_website[[#This Row],[Spec Sheet Link]], cna_product_database_catalog_website[[#Headers],[Spec Sheet Link]])</f>
        <v>Spec Sheet Link</v>
      </c>
      <c r="N123" t="s">
        <v>46</v>
      </c>
      <c r="O123">
        <v>1</v>
      </c>
      <c r="P123">
        <v>1</v>
      </c>
      <c r="Q123" t="s">
        <v>319</v>
      </c>
      <c r="R123" t="s">
        <v>50</v>
      </c>
      <c r="S123" t="s">
        <v>47</v>
      </c>
      <c r="T123" t="s">
        <v>47</v>
      </c>
      <c r="U123" t="s">
        <v>47</v>
      </c>
      <c r="V123" t="s">
        <v>47</v>
      </c>
      <c r="W123" t="s">
        <v>47</v>
      </c>
      <c r="X123" t="s">
        <v>47</v>
      </c>
      <c r="Y123" t="s">
        <v>47</v>
      </c>
      <c r="Z123" t="s">
        <v>47</v>
      </c>
      <c r="AA123" t="s">
        <v>54</v>
      </c>
      <c r="AB123" t="s">
        <v>47</v>
      </c>
      <c r="AC123" t="s">
        <v>47</v>
      </c>
      <c r="AD123" t="s">
        <v>47</v>
      </c>
      <c r="AE123"/>
      <c r="AF123" t="s">
        <v>47</v>
      </c>
      <c r="AG123" t="s">
        <v>47</v>
      </c>
      <c r="AH123" t="s">
        <v>47</v>
      </c>
      <c r="AI123" t="s">
        <v>47</v>
      </c>
      <c r="AJ123"/>
      <c r="AK123"/>
      <c r="AL123" t="s">
        <v>47</v>
      </c>
      <c r="AM123"/>
      <c r="AN123"/>
      <c r="AO123" t="s">
        <v>47</v>
      </c>
      <c r="AP123" t="s">
        <v>47</v>
      </c>
      <c r="AQ123" t="s">
        <v>47</v>
      </c>
      <c r="AR123">
        <v>256</v>
      </c>
      <c r="AS123"/>
      <c r="AT123"/>
      <c r="AU123"/>
      <c r="AV123" t="s">
        <v>47</v>
      </c>
      <c r="AW123" t="s">
        <v>142</v>
      </c>
      <c r="AX123">
        <v>1</v>
      </c>
      <c r="AY123">
        <v>20</v>
      </c>
      <c r="AZ123"/>
      <c r="BA123"/>
      <c r="BB123"/>
      <c r="BC123">
        <v>0</v>
      </c>
      <c r="BD123">
        <v>0</v>
      </c>
      <c r="BE123" t="s">
        <v>47</v>
      </c>
      <c r="BF123"/>
      <c r="BG123"/>
      <c r="BH123"/>
      <c r="BI123">
        <v>0</v>
      </c>
      <c r="BJ123">
        <v>0</v>
      </c>
      <c r="BK123"/>
      <c r="BL123"/>
      <c r="BM123" t="s">
        <v>47</v>
      </c>
      <c r="BN123" t="s">
        <v>47</v>
      </c>
      <c r="BO123" t="s">
        <v>47</v>
      </c>
      <c r="BP123" t="s">
        <v>47</v>
      </c>
      <c r="BQ123" t="s">
        <v>47</v>
      </c>
      <c r="BR123"/>
      <c r="BS123" t="s">
        <v>47</v>
      </c>
      <c r="BT123" t="s">
        <v>47</v>
      </c>
      <c r="BU123" t="s">
        <v>47</v>
      </c>
      <c r="BV123"/>
      <c r="BW123" t="s">
        <v>47</v>
      </c>
      <c r="BX123" t="s">
        <v>47</v>
      </c>
      <c r="BY123" t="s">
        <v>47</v>
      </c>
      <c r="BZ123" t="s">
        <v>47</v>
      </c>
      <c r="CA123" t="s">
        <v>47</v>
      </c>
      <c r="CB123" t="s">
        <v>47</v>
      </c>
      <c r="CC123" t="s">
        <v>47</v>
      </c>
      <c r="CD123" t="s">
        <v>47</v>
      </c>
      <c r="CE123" t="s">
        <v>47</v>
      </c>
      <c r="CF123" t="s">
        <v>47</v>
      </c>
      <c r="CG123" t="s">
        <v>47</v>
      </c>
      <c r="CH123" t="s">
        <v>47</v>
      </c>
      <c r="CI123" t="s">
        <v>47</v>
      </c>
      <c r="CJ123" t="s">
        <v>47</v>
      </c>
      <c r="CK123"/>
    </row>
    <row r="124" spans="1:89" s="7" customFormat="1" x14ac:dyDescent="0.25">
      <c r="A124" t="s">
        <v>1437</v>
      </c>
      <c r="B124" t="s">
        <v>1401</v>
      </c>
      <c r="C124" t="s">
        <v>1404</v>
      </c>
      <c r="D124" t="s">
        <v>1799</v>
      </c>
      <c r="E124">
        <v>457</v>
      </c>
      <c r="F124" t="s">
        <v>745</v>
      </c>
      <c r="G124">
        <v>1045</v>
      </c>
      <c r="H124" s="9">
        <v>37</v>
      </c>
      <c r="I124" t="s">
        <v>745</v>
      </c>
      <c r="J124" t="s">
        <v>745</v>
      </c>
      <c r="K124" t="s">
        <v>1800</v>
      </c>
      <c r="L124" t="s">
        <v>1801</v>
      </c>
      <c r="M124" s="10" t="str">
        <f>HYPERLINK(cna_product_database_catalog_website[[#This Row],[Spec Sheet Link]], cna_product_database_catalog_website[[#Headers],[Spec Sheet Link]])</f>
        <v>Spec Sheet Link</v>
      </c>
      <c r="N124" t="s">
        <v>46</v>
      </c>
      <c r="O124">
        <v>1</v>
      </c>
      <c r="P124">
        <v>1</v>
      </c>
      <c r="Q124" t="s">
        <v>319</v>
      </c>
      <c r="R124" t="s">
        <v>50</v>
      </c>
      <c r="S124" t="s">
        <v>47</v>
      </c>
      <c r="T124" t="s">
        <v>47</v>
      </c>
      <c r="U124" t="s">
        <v>47</v>
      </c>
      <c r="V124" t="s">
        <v>47</v>
      </c>
      <c r="W124" t="s">
        <v>47</v>
      </c>
      <c r="X124" t="s">
        <v>47</v>
      </c>
      <c r="Y124" t="s">
        <v>47</v>
      </c>
      <c r="Z124" t="s">
        <v>47</v>
      </c>
      <c r="AA124" t="s">
        <v>54</v>
      </c>
      <c r="AB124" t="s">
        <v>47</v>
      </c>
      <c r="AC124" t="s">
        <v>47</v>
      </c>
      <c r="AD124" t="s">
        <v>47</v>
      </c>
      <c r="AE124"/>
      <c r="AF124" t="s">
        <v>47</v>
      </c>
      <c r="AG124" t="s">
        <v>47</v>
      </c>
      <c r="AH124" t="s">
        <v>47</v>
      </c>
      <c r="AI124" t="s">
        <v>47</v>
      </c>
      <c r="AJ124"/>
      <c r="AK124"/>
      <c r="AL124" t="s">
        <v>47</v>
      </c>
      <c r="AM124"/>
      <c r="AN124"/>
      <c r="AO124" t="s">
        <v>47</v>
      </c>
      <c r="AP124" t="s">
        <v>47</v>
      </c>
      <c r="AQ124" t="s">
        <v>47</v>
      </c>
      <c r="AR124">
        <v>256</v>
      </c>
      <c r="AS124"/>
      <c r="AT124"/>
      <c r="AU124"/>
      <c r="AV124" t="s">
        <v>47</v>
      </c>
      <c r="AW124" t="s">
        <v>142</v>
      </c>
      <c r="AX124">
        <v>1</v>
      </c>
      <c r="AY124">
        <v>20</v>
      </c>
      <c r="AZ124"/>
      <c r="BA124"/>
      <c r="BB124"/>
      <c r="BC124">
        <v>0</v>
      </c>
      <c r="BD124">
        <v>0</v>
      </c>
      <c r="BE124" t="s">
        <v>47</v>
      </c>
      <c r="BF124"/>
      <c r="BG124"/>
      <c r="BH124"/>
      <c r="BI124">
        <v>0</v>
      </c>
      <c r="BJ124">
        <v>0</v>
      </c>
      <c r="BK124"/>
      <c r="BL124"/>
      <c r="BM124" t="s">
        <v>47</v>
      </c>
      <c r="BN124" t="s">
        <v>47</v>
      </c>
      <c r="BO124" t="s">
        <v>47</v>
      </c>
      <c r="BP124" t="s">
        <v>47</v>
      </c>
      <c r="BQ124" t="s">
        <v>47</v>
      </c>
      <c r="BR124"/>
      <c r="BS124" t="s">
        <v>47</v>
      </c>
      <c r="BT124" t="s">
        <v>47</v>
      </c>
      <c r="BU124" t="s">
        <v>47</v>
      </c>
      <c r="BV124"/>
      <c r="BW124" t="s">
        <v>47</v>
      </c>
      <c r="BX124" t="s">
        <v>47</v>
      </c>
      <c r="BY124" t="s">
        <v>47</v>
      </c>
      <c r="BZ124" t="s">
        <v>47</v>
      </c>
      <c r="CA124" t="s">
        <v>47</v>
      </c>
      <c r="CB124" t="s">
        <v>47</v>
      </c>
      <c r="CC124" t="s">
        <v>47</v>
      </c>
      <c r="CD124" t="s">
        <v>47</v>
      </c>
      <c r="CE124" t="s">
        <v>47</v>
      </c>
      <c r="CF124" t="s">
        <v>47</v>
      </c>
      <c r="CG124" t="s">
        <v>47</v>
      </c>
      <c r="CH124" t="s">
        <v>47</v>
      </c>
      <c r="CI124" t="s">
        <v>47</v>
      </c>
      <c r="CJ124" t="s">
        <v>47</v>
      </c>
      <c r="CK124"/>
    </row>
    <row r="125" spans="1:89" s="7" customFormat="1" x14ac:dyDescent="0.25">
      <c r="A125" t="s">
        <v>1437</v>
      </c>
      <c r="B125" t="s">
        <v>1401</v>
      </c>
      <c r="C125" t="s">
        <v>1405</v>
      </c>
      <c r="D125" t="s">
        <v>1802</v>
      </c>
      <c r="E125">
        <v>458</v>
      </c>
      <c r="F125" t="s">
        <v>746</v>
      </c>
      <c r="G125">
        <v>1085</v>
      </c>
      <c r="H125" s="9">
        <v>37</v>
      </c>
      <c r="I125" t="s">
        <v>746</v>
      </c>
      <c r="J125" t="s">
        <v>746</v>
      </c>
      <c r="K125" t="s">
        <v>1803</v>
      </c>
      <c r="L125" t="s">
        <v>1804</v>
      </c>
      <c r="M125" s="10" t="str">
        <f>HYPERLINK(cna_product_database_catalog_website[[#This Row],[Spec Sheet Link]], cna_product_database_catalog_website[[#Headers],[Spec Sheet Link]])</f>
        <v>Spec Sheet Link</v>
      </c>
      <c r="N125" t="s">
        <v>46</v>
      </c>
      <c r="O125">
        <v>1</v>
      </c>
      <c r="P125">
        <v>1</v>
      </c>
      <c r="Q125" t="s">
        <v>129</v>
      </c>
      <c r="R125" t="s">
        <v>251</v>
      </c>
      <c r="S125" t="s">
        <v>66</v>
      </c>
      <c r="T125" t="s">
        <v>588</v>
      </c>
      <c r="U125" t="s">
        <v>67</v>
      </c>
      <c r="V125" t="s">
        <v>47</v>
      </c>
      <c r="W125" t="s">
        <v>252</v>
      </c>
      <c r="X125" t="s">
        <v>59</v>
      </c>
      <c r="Y125" t="s">
        <v>47</v>
      </c>
      <c r="Z125" t="s">
        <v>552</v>
      </c>
      <c r="AA125" t="s">
        <v>69</v>
      </c>
      <c r="AB125" t="s">
        <v>636</v>
      </c>
      <c r="AC125" t="s">
        <v>1354</v>
      </c>
      <c r="AD125" t="s">
        <v>157</v>
      </c>
      <c r="AE125"/>
      <c r="AF125" t="s">
        <v>658</v>
      </c>
      <c r="AG125" t="s">
        <v>1351</v>
      </c>
      <c r="AH125" t="s">
        <v>1352</v>
      </c>
      <c r="AI125" t="s">
        <v>253</v>
      </c>
      <c r="AJ125"/>
      <c r="AK125" t="s">
        <v>1350</v>
      </c>
      <c r="AL125"/>
      <c r="AM125"/>
      <c r="AN125" t="s">
        <v>1348</v>
      </c>
      <c r="AO125" t="s">
        <v>47</v>
      </c>
      <c r="AP125" t="s">
        <v>1349</v>
      </c>
      <c r="AQ125" t="s">
        <v>47</v>
      </c>
      <c r="AR125">
        <v>1915</v>
      </c>
      <c r="AS125">
        <v>4.22</v>
      </c>
      <c r="AT125"/>
      <c r="AU125"/>
      <c r="AV125" t="s">
        <v>47</v>
      </c>
      <c r="AW125" t="s">
        <v>587</v>
      </c>
      <c r="AX125">
        <v>8</v>
      </c>
      <c r="AY125">
        <v>8</v>
      </c>
      <c r="AZ125">
        <v>28</v>
      </c>
      <c r="BA125">
        <v>17</v>
      </c>
      <c r="BB125">
        <v>20</v>
      </c>
      <c r="BC125">
        <v>9.5200000000000007E-3</v>
      </c>
      <c r="BD125">
        <v>0.33619594400000002</v>
      </c>
      <c r="BE125" t="s">
        <v>47</v>
      </c>
      <c r="BF125"/>
      <c r="BG125"/>
      <c r="BH125"/>
      <c r="BI125">
        <v>0</v>
      </c>
      <c r="BJ125">
        <v>0</v>
      </c>
      <c r="BK125"/>
      <c r="BL125"/>
      <c r="BM125" t="s">
        <v>47</v>
      </c>
      <c r="BN125"/>
      <c r="BO125" t="s">
        <v>47</v>
      </c>
      <c r="BP125" t="s">
        <v>47</v>
      </c>
      <c r="BQ125" t="s">
        <v>47</v>
      </c>
      <c r="BR125"/>
      <c r="BS125" t="s">
        <v>47</v>
      </c>
      <c r="BT125" t="s">
        <v>47</v>
      </c>
      <c r="BU125" t="s">
        <v>47</v>
      </c>
      <c r="BV125"/>
      <c r="BW125" t="s">
        <v>47</v>
      </c>
      <c r="BX125" t="s">
        <v>47</v>
      </c>
      <c r="BY125" t="s">
        <v>47</v>
      </c>
      <c r="BZ125" t="s">
        <v>47</v>
      </c>
      <c r="CA125" t="s">
        <v>47</v>
      </c>
      <c r="CB125" t="s">
        <v>47</v>
      </c>
      <c r="CC125" t="s">
        <v>47</v>
      </c>
      <c r="CD125" t="s">
        <v>47</v>
      </c>
      <c r="CE125" t="s">
        <v>47</v>
      </c>
      <c r="CF125" t="s">
        <v>47</v>
      </c>
      <c r="CG125" t="s">
        <v>47</v>
      </c>
      <c r="CH125" t="s">
        <v>47</v>
      </c>
      <c r="CI125" t="s">
        <v>1353</v>
      </c>
      <c r="CJ125" t="s">
        <v>47</v>
      </c>
      <c r="CK125"/>
    </row>
    <row r="126" spans="1:89" s="7" customFormat="1" x14ac:dyDescent="0.25">
      <c r="A126" t="s">
        <v>1437</v>
      </c>
      <c r="B126" t="s">
        <v>1406</v>
      </c>
      <c r="C126" t="s">
        <v>1426</v>
      </c>
      <c r="D126" t="s">
        <v>1805</v>
      </c>
      <c r="E126">
        <v>460</v>
      </c>
      <c r="F126" t="s">
        <v>1253</v>
      </c>
      <c r="G126">
        <v>601</v>
      </c>
      <c r="H126" s="9">
        <v>35</v>
      </c>
      <c r="I126" t="s">
        <v>1253</v>
      </c>
      <c r="J126" t="s">
        <v>1253</v>
      </c>
      <c r="K126" t="s">
        <v>1806</v>
      </c>
      <c r="L126" t="s">
        <v>1807</v>
      </c>
      <c r="M126" s="10" t="str">
        <f>HYPERLINK(cna_product_database_catalog_website[[#This Row],[Spec Sheet Link]], cna_product_database_catalog_website[[#Headers],[Spec Sheet Link]])</f>
        <v>Spec Sheet Link</v>
      </c>
      <c r="N126" t="s">
        <v>46</v>
      </c>
      <c r="O126">
        <v>1</v>
      </c>
      <c r="P126">
        <v>1</v>
      </c>
      <c r="Q126" t="s">
        <v>71</v>
      </c>
      <c r="R126" t="s">
        <v>226</v>
      </c>
      <c r="S126" t="s">
        <v>227</v>
      </c>
      <c r="T126" t="s">
        <v>639</v>
      </c>
      <c r="U126" t="s">
        <v>150</v>
      </c>
      <c r="V126" t="s">
        <v>1009</v>
      </c>
      <c r="W126" t="s">
        <v>228</v>
      </c>
      <c r="X126" t="s">
        <v>616</v>
      </c>
      <c r="Y126" t="s">
        <v>558</v>
      </c>
      <c r="Z126" t="s">
        <v>552</v>
      </c>
      <c r="AA126" t="s">
        <v>69</v>
      </c>
      <c r="AB126" t="s">
        <v>555</v>
      </c>
      <c r="AC126" t="s">
        <v>637</v>
      </c>
      <c r="AD126" t="s">
        <v>970</v>
      </c>
      <c r="AE126"/>
      <c r="AF126" t="s">
        <v>47</v>
      </c>
      <c r="AG126" t="s">
        <v>643</v>
      </c>
      <c r="AH126" t="s">
        <v>645</v>
      </c>
      <c r="AI126"/>
      <c r="AJ126" t="s">
        <v>55</v>
      </c>
      <c r="AK126" t="s">
        <v>56</v>
      </c>
      <c r="AL126"/>
      <c r="AM126" t="s">
        <v>644</v>
      </c>
      <c r="AN126" t="s">
        <v>86</v>
      </c>
      <c r="AO126" t="s">
        <v>47</v>
      </c>
      <c r="AP126" t="s">
        <v>47</v>
      </c>
      <c r="AQ126" t="s">
        <v>47</v>
      </c>
      <c r="AR126"/>
      <c r="AS126"/>
      <c r="AT126"/>
      <c r="AU126"/>
      <c r="AV126" t="s">
        <v>47</v>
      </c>
      <c r="AW126" t="s">
        <v>142</v>
      </c>
      <c r="AX126">
        <v>24</v>
      </c>
      <c r="AY126">
        <v>24</v>
      </c>
      <c r="AZ126"/>
      <c r="BA126"/>
      <c r="BB126"/>
      <c r="BC126">
        <v>0</v>
      </c>
      <c r="BD126">
        <v>0</v>
      </c>
      <c r="BE126" t="s">
        <v>47</v>
      </c>
      <c r="BF126"/>
      <c r="BG126"/>
      <c r="BH126"/>
      <c r="BI126">
        <v>0</v>
      </c>
      <c r="BJ126">
        <v>0</v>
      </c>
      <c r="BK126"/>
      <c r="BL126"/>
      <c r="BM126" t="s">
        <v>47</v>
      </c>
      <c r="BN126"/>
      <c r="BO126" t="s">
        <v>47</v>
      </c>
      <c r="BP126" t="s">
        <v>47</v>
      </c>
      <c r="BQ126" t="s">
        <v>47</v>
      </c>
      <c r="BR126"/>
      <c r="BS126" t="s">
        <v>47</v>
      </c>
      <c r="BT126" t="s">
        <v>963</v>
      </c>
      <c r="BU126" t="s">
        <v>47</v>
      </c>
      <c r="BV126"/>
      <c r="BW126" t="s">
        <v>47</v>
      </c>
      <c r="BX126" t="s">
        <v>47</v>
      </c>
      <c r="BY126" t="s">
        <v>47</v>
      </c>
      <c r="BZ126" t="s">
        <v>47</v>
      </c>
      <c r="CA126" t="s">
        <v>47</v>
      </c>
      <c r="CB126" t="s">
        <v>47</v>
      </c>
      <c r="CC126" t="s">
        <v>47</v>
      </c>
      <c r="CD126" t="s">
        <v>47</v>
      </c>
      <c r="CE126" t="s">
        <v>47</v>
      </c>
      <c r="CF126" t="s">
        <v>47</v>
      </c>
      <c r="CG126" t="s">
        <v>47</v>
      </c>
      <c r="CH126" t="s">
        <v>47</v>
      </c>
      <c r="CI126" t="s">
        <v>47</v>
      </c>
      <c r="CJ126" t="s">
        <v>975</v>
      </c>
      <c r="CK126"/>
    </row>
    <row r="127" spans="1:89" s="7" customFormat="1" x14ac:dyDescent="0.25">
      <c r="A127" t="s">
        <v>1437</v>
      </c>
      <c r="B127" t="s">
        <v>1406</v>
      </c>
      <c r="C127" t="s">
        <v>1428</v>
      </c>
      <c r="D127" t="s">
        <v>1808</v>
      </c>
      <c r="E127">
        <v>461</v>
      </c>
      <c r="F127" t="s">
        <v>1254</v>
      </c>
      <c r="G127">
        <v>602</v>
      </c>
      <c r="H127" s="9">
        <v>35</v>
      </c>
      <c r="I127" t="s">
        <v>1254</v>
      </c>
      <c r="J127" t="s">
        <v>1254</v>
      </c>
      <c r="K127" t="s">
        <v>1809</v>
      </c>
      <c r="L127" t="s">
        <v>1807</v>
      </c>
      <c r="M127" s="10" t="str">
        <f>HYPERLINK(cna_product_database_catalog_website[[#This Row],[Spec Sheet Link]], cna_product_database_catalog_website[[#Headers],[Spec Sheet Link]])</f>
        <v>Spec Sheet Link</v>
      </c>
      <c r="N127" t="s">
        <v>46</v>
      </c>
      <c r="O127">
        <v>1</v>
      </c>
      <c r="P127">
        <v>1</v>
      </c>
      <c r="Q127" t="s">
        <v>123</v>
      </c>
      <c r="R127" t="s">
        <v>659</v>
      </c>
      <c r="S127" t="s">
        <v>966</v>
      </c>
      <c r="T127" t="s">
        <v>967</v>
      </c>
      <c r="U127" t="s">
        <v>150</v>
      </c>
      <c r="V127" t="s">
        <v>1010</v>
      </c>
      <c r="W127" t="s">
        <v>648</v>
      </c>
      <c r="X127" t="s">
        <v>95</v>
      </c>
      <c r="Y127" t="s">
        <v>968</v>
      </c>
      <c r="Z127" t="s">
        <v>552</v>
      </c>
      <c r="AA127" t="s">
        <v>69</v>
      </c>
      <c r="AB127" t="s">
        <v>969</v>
      </c>
      <c r="AC127"/>
      <c r="AD127" t="s">
        <v>970</v>
      </c>
      <c r="AE127"/>
      <c r="AF127"/>
      <c r="AG127" t="s">
        <v>971</v>
      </c>
      <c r="AH127" t="s">
        <v>79</v>
      </c>
      <c r="AI127" t="s">
        <v>972</v>
      </c>
      <c r="AJ127" t="s">
        <v>61</v>
      </c>
      <c r="AK127" t="s">
        <v>62</v>
      </c>
      <c r="AL127" t="s">
        <v>972</v>
      </c>
      <c r="AM127"/>
      <c r="AN127" t="s">
        <v>79</v>
      </c>
      <c r="AO127"/>
      <c r="AP127"/>
      <c r="AQ127"/>
      <c r="AR127"/>
      <c r="AS127"/>
      <c r="AT127"/>
      <c r="AU127"/>
      <c r="AV127"/>
      <c r="AW127" t="s">
        <v>276</v>
      </c>
      <c r="AX127">
        <v>50</v>
      </c>
      <c r="AY127">
        <v>50</v>
      </c>
      <c r="AZ127"/>
      <c r="BA127"/>
      <c r="BB127"/>
      <c r="BC127">
        <v>0</v>
      </c>
      <c r="BD127">
        <v>0</v>
      </c>
      <c r="BE127"/>
      <c r="BF127"/>
      <c r="BG127"/>
      <c r="BH127"/>
      <c r="BI127">
        <v>0</v>
      </c>
      <c r="BJ127">
        <v>0</v>
      </c>
      <c r="BK127"/>
      <c r="BL127"/>
      <c r="BM127"/>
      <c r="BN127"/>
      <c r="BO127"/>
      <c r="BP127" t="s">
        <v>973</v>
      </c>
      <c r="BQ127"/>
      <c r="BR127"/>
      <c r="BS127"/>
      <c r="BT127" t="s">
        <v>963</v>
      </c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 t="s">
        <v>975</v>
      </c>
      <c r="CK127"/>
    </row>
    <row r="128" spans="1:89" s="7" customFormat="1" x14ac:dyDescent="0.25">
      <c r="A128" t="s">
        <v>1437</v>
      </c>
      <c r="B128" t="s">
        <v>1406</v>
      </c>
      <c r="C128" t="s">
        <v>1427</v>
      </c>
      <c r="D128" t="s">
        <v>1810</v>
      </c>
      <c r="E128">
        <v>462</v>
      </c>
      <c r="F128" t="s">
        <v>1255</v>
      </c>
      <c r="G128">
        <v>603</v>
      </c>
      <c r="H128" s="9">
        <v>35</v>
      </c>
      <c r="I128" t="s">
        <v>1255</v>
      </c>
      <c r="J128" t="s">
        <v>1255</v>
      </c>
      <c r="K128" t="s">
        <v>1811</v>
      </c>
      <c r="L128" t="s">
        <v>1807</v>
      </c>
      <c r="M128" s="10" t="str">
        <f>HYPERLINK(cna_product_database_catalog_website[[#This Row],[Spec Sheet Link]], cna_product_database_catalog_website[[#Headers],[Spec Sheet Link]])</f>
        <v>Spec Sheet Link</v>
      </c>
      <c r="N128" t="s">
        <v>46</v>
      </c>
      <c r="O128">
        <v>1</v>
      </c>
      <c r="P128">
        <v>1</v>
      </c>
      <c r="Q128" t="s">
        <v>123</v>
      </c>
      <c r="R128" t="s">
        <v>226</v>
      </c>
      <c r="S128" t="s">
        <v>144</v>
      </c>
      <c r="T128" t="s">
        <v>640</v>
      </c>
      <c r="U128" t="s">
        <v>230</v>
      </c>
      <c r="V128" t="s">
        <v>1011</v>
      </c>
      <c r="W128" t="s">
        <v>648</v>
      </c>
      <c r="X128" t="s">
        <v>63</v>
      </c>
      <c r="Y128" t="s">
        <v>561</v>
      </c>
      <c r="Z128" t="s">
        <v>552</v>
      </c>
      <c r="AA128" t="s">
        <v>69</v>
      </c>
      <c r="AB128" t="s">
        <v>555</v>
      </c>
      <c r="AC128" t="s">
        <v>93</v>
      </c>
      <c r="AD128" t="s">
        <v>638</v>
      </c>
      <c r="AE128"/>
      <c r="AF128" t="s">
        <v>47</v>
      </c>
      <c r="AG128" t="s">
        <v>76</v>
      </c>
      <c r="AH128" t="s">
        <v>77</v>
      </c>
      <c r="AI128"/>
      <c r="AJ128" t="s">
        <v>130</v>
      </c>
      <c r="AK128" t="s">
        <v>231</v>
      </c>
      <c r="AL128"/>
      <c r="AM128" t="s">
        <v>130</v>
      </c>
      <c r="AN128" t="s">
        <v>231</v>
      </c>
      <c r="AO128"/>
      <c r="AP128"/>
      <c r="AQ128"/>
      <c r="AR128">
        <v>360</v>
      </c>
      <c r="AS128">
        <v>0.79</v>
      </c>
      <c r="AT128"/>
      <c r="AU128"/>
      <c r="AV128" t="s">
        <v>47</v>
      </c>
      <c r="AW128" t="s">
        <v>276</v>
      </c>
      <c r="AX128">
        <v>10</v>
      </c>
      <c r="AY128">
        <v>50</v>
      </c>
      <c r="AZ128"/>
      <c r="BA128"/>
      <c r="BB128"/>
      <c r="BC128">
        <v>0</v>
      </c>
      <c r="BD128">
        <v>0</v>
      </c>
      <c r="BE128" t="s">
        <v>47</v>
      </c>
      <c r="BF128"/>
      <c r="BG128"/>
      <c r="BH128"/>
      <c r="BI128">
        <v>0</v>
      </c>
      <c r="BJ128">
        <v>0</v>
      </c>
      <c r="BK128"/>
      <c r="BL128"/>
      <c r="BM128" t="s">
        <v>47</v>
      </c>
      <c r="BN128"/>
      <c r="BO128" t="s">
        <v>47</v>
      </c>
      <c r="BP128" t="s">
        <v>974</v>
      </c>
      <c r="BQ128" t="s">
        <v>47</v>
      </c>
      <c r="BR128"/>
      <c r="BS128" t="s">
        <v>47</v>
      </c>
      <c r="BT128" t="s">
        <v>963</v>
      </c>
      <c r="BU128" t="s">
        <v>47</v>
      </c>
      <c r="BV128"/>
      <c r="BW128" t="s">
        <v>47</v>
      </c>
      <c r="BX128" t="s">
        <v>47</v>
      </c>
      <c r="BY128" t="s">
        <v>47</v>
      </c>
      <c r="BZ128" t="s">
        <v>47</v>
      </c>
      <c r="CA128" t="s">
        <v>47</v>
      </c>
      <c r="CB128" t="s">
        <v>47</v>
      </c>
      <c r="CC128" t="s">
        <v>47</v>
      </c>
      <c r="CD128" t="s">
        <v>47</v>
      </c>
      <c r="CE128" t="s">
        <v>47</v>
      </c>
      <c r="CF128" t="s">
        <v>47</v>
      </c>
      <c r="CG128" t="s">
        <v>47</v>
      </c>
      <c r="CH128" t="s">
        <v>47</v>
      </c>
      <c r="CI128" t="s">
        <v>47</v>
      </c>
      <c r="CJ128" t="s">
        <v>975</v>
      </c>
      <c r="CK128"/>
    </row>
    <row r="129" spans="1:89" s="7" customFormat="1" x14ac:dyDescent="0.25">
      <c r="A129" t="s">
        <v>1437</v>
      </c>
      <c r="B129" t="s">
        <v>1408</v>
      </c>
      <c r="C129" t="s">
        <v>740</v>
      </c>
      <c r="D129" t="s">
        <v>1812</v>
      </c>
      <c r="E129">
        <v>470</v>
      </c>
      <c r="F129" t="s">
        <v>211</v>
      </c>
      <c r="G129">
        <v>978</v>
      </c>
      <c r="H129" s="9">
        <v>13.5</v>
      </c>
      <c r="I129" t="s">
        <v>211</v>
      </c>
      <c r="J129" t="s">
        <v>211</v>
      </c>
      <c r="K129" t="s">
        <v>1813</v>
      </c>
      <c r="L129" t="s">
        <v>1814</v>
      </c>
      <c r="M129" s="10" t="str">
        <f>HYPERLINK(cna_product_database_catalog_website[[#This Row],[Spec Sheet Link]], cna_product_database_catalog_website[[#Headers],[Spec Sheet Link]])</f>
        <v>Spec Sheet Link</v>
      </c>
      <c r="N129" t="s">
        <v>46</v>
      </c>
      <c r="O129">
        <v>1</v>
      </c>
      <c r="P129">
        <v>1</v>
      </c>
      <c r="Q129" t="s">
        <v>123</v>
      </c>
      <c r="R129" t="s">
        <v>226</v>
      </c>
      <c r="S129" t="s">
        <v>144</v>
      </c>
      <c r="T129" t="s">
        <v>640</v>
      </c>
      <c r="U129" t="s">
        <v>230</v>
      </c>
      <c r="V129" t="s">
        <v>1011</v>
      </c>
      <c r="W129" t="s">
        <v>648</v>
      </c>
      <c r="X129" t="s">
        <v>52</v>
      </c>
      <c r="Y129" t="s">
        <v>561</v>
      </c>
      <c r="Z129" t="s">
        <v>552</v>
      </c>
      <c r="AA129" t="s">
        <v>69</v>
      </c>
      <c r="AB129" t="s">
        <v>555</v>
      </c>
      <c r="AC129" t="s">
        <v>93</v>
      </c>
      <c r="AD129" t="s">
        <v>638</v>
      </c>
      <c r="AE129"/>
      <c r="AF129" t="s">
        <v>47</v>
      </c>
      <c r="AG129" t="s">
        <v>76</v>
      </c>
      <c r="AH129" t="s">
        <v>77</v>
      </c>
      <c r="AI129"/>
      <c r="AJ129" t="s">
        <v>130</v>
      </c>
      <c r="AK129" t="s">
        <v>231</v>
      </c>
      <c r="AL129"/>
      <c r="AM129" t="s">
        <v>130</v>
      </c>
      <c r="AN129" t="s">
        <v>231</v>
      </c>
      <c r="AO129"/>
      <c r="AP129"/>
      <c r="AQ129"/>
      <c r="AR129">
        <v>400</v>
      </c>
      <c r="AS129">
        <v>0.88</v>
      </c>
      <c r="AT129"/>
      <c r="AU129"/>
      <c r="AV129" t="s">
        <v>47</v>
      </c>
      <c r="AW129" t="s">
        <v>276</v>
      </c>
      <c r="AX129">
        <v>10</v>
      </c>
      <c r="AY129">
        <v>50</v>
      </c>
      <c r="AZ129"/>
      <c r="BA129"/>
      <c r="BB129"/>
      <c r="BC129">
        <v>0</v>
      </c>
      <c r="BD129">
        <v>0</v>
      </c>
      <c r="BE129" t="s">
        <v>47</v>
      </c>
      <c r="BF129"/>
      <c r="BG129"/>
      <c r="BH129"/>
      <c r="BI129">
        <v>0</v>
      </c>
      <c r="BJ129">
        <v>0</v>
      </c>
      <c r="BK129"/>
      <c r="BL129"/>
      <c r="BM129" t="s">
        <v>47</v>
      </c>
      <c r="BN129"/>
      <c r="BO129" t="s">
        <v>47</v>
      </c>
      <c r="BP129" t="s">
        <v>47</v>
      </c>
      <c r="BQ129" t="s">
        <v>47</v>
      </c>
      <c r="BR129"/>
      <c r="BS129" t="s">
        <v>47</v>
      </c>
      <c r="BT129" t="s">
        <v>963</v>
      </c>
      <c r="BU129" t="s">
        <v>47</v>
      </c>
      <c r="BV129"/>
      <c r="BW129" t="s">
        <v>47</v>
      </c>
      <c r="BX129" t="s">
        <v>47</v>
      </c>
      <c r="BY129" t="s">
        <v>47</v>
      </c>
      <c r="BZ129" t="s">
        <v>47</v>
      </c>
      <c r="CA129" t="s">
        <v>47</v>
      </c>
      <c r="CB129" t="s">
        <v>47</v>
      </c>
      <c r="CC129" t="s">
        <v>47</v>
      </c>
      <c r="CD129" t="s">
        <v>47</v>
      </c>
      <c r="CE129" t="s">
        <v>47</v>
      </c>
      <c r="CF129" t="s">
        <v>47</v>
      </c>
      <c r="CG129" t="s">
        <v>47</v>
      </c>
      <c r="CH129" t="s">
        <v>47</v>
      </c>
      <c r="CI129" t="s">
        <v>47</v>
      </c>
      <c r="CJ129" t="s">
        <v>975</v>
      </c>
      <c r="CK129"/>
    </row>
    <row r="130" spans="1:89" s="7" customFormat="1" x14ac:dyDescent="0.25">
      <c r="A130" t="s">
        <v>1437</v>
      </c>
      <c r="B130" t="s">
        <v>1408</v>
      </c>
      <c r="C130" t="s">
        <v>1434</v>
      </c>
      <c r="D130" t="s">
        <v>1815</v>
      </c>
      <c r="E130">
        <v>471</v>
      </c>
      <c r="F130" t="s">
        <v>1093</v>
      </c>
      <c r="G130">
        <v>1055</v>
      </c>
      <c r="H130" s="9">
        <v>23</v>
      </c>
      <c r="I130" t="s">
        <v>1093</v>
      </c>
      <c r="J130" t="s">
        <v>1093</v>
      </c>
      <c r="K130" t="s">
        <v>1816</v>
      </c>
      <c r="L130" t="s">
        <v>1817</v>
      </c>
      <c r="M130" s="10" t="str">
        <f>HYPERLINK(cna_product_database_catalog_website[[#This Row],[Spec Sheet Link]], cna_product_database_catalog_website[[#Headers],[Spec Sheet Link]])</f>
        <v>Spec Sheet Link</v>
      </c>
      <c r="N130" t="s">
        <v>46</v>
      </c>
      <c r="O130">
        <v>1</v>
      </c>
      <c r="P130">
        <v>1</v>
      </c>
      <c r="Q130" t="s">
        <v>92</v>
      </c>
      <c r="R130" t="s">
        <v>226</v>
      </c>
      <c r="S130" t="s">
        <v>233</v>
      </c>
      <c r="T130" t="s">
        <v>641</v>
      </c>
      <c r="U130" t="s">
        <v>150</v>
      </c>
      <c r="V130" t="s">
        <v>1012</v>
      </c>
      <c r="W130" t="s">
        <v>234</v>
      </c>
      <c r="X130" t="s">
        <v>52</v>
      </c>
      <c r="Y130" t="s">
        <v>561</v>
      </c>
      <c r="Z130" t="s">
        <v>552</v>
      </c>
      <c r="AA130" t="s">
        <v>69</v>
      </c>
      <c r="AB130" t="s">
        <v>555</v>
      </c>
      <c r="AC130" t="s">
        <v>637</v>
      </c>
      <c r="AD130" t="s">
        <v>638</v>
      </c>
      <c r="AE130"/>
      <c r="AF130" t="s">
        <v>47</v>
      </c>
      <c r="AG130" t="s">
        <v>646</v>
      </c>
      <c r="AH130" t="s">
        <v>647</v>
      </c>
      <c r="AI130"/>
      <c r="AJ130" t="s">
        <v>131</v>
      </c>
      <c r="AK130" t="s">
        <v>62</v>
      </c>
      <c r="AL130"/>
      <c r="AM130" t="s">
        <v>131</v>
      </c>
      <c r="AN130" t="s">
        <v>62</v>
      </c>
      <c r="AO130"/>
      <c r="AP130"/>
      <c r="AQ130" t="s">
        <v>47</v>
      </c>
      <c r="AR130"/>
      <c r="AS130"/>
      <c r="AT130"/>
      <c r="AU130"/>
      <c r="AV130" t="s">
        <v>47</v>
      </c>
      <c r="AW130" t="s">
        <v>142</v>
      </c>
      <c r="AX130" t="s">
        <v>47</v>
      </c>
      <c r="AY130" t="s">
        <v>47</v>
      </c>
      <c r="AZ130"/>
      <c r="BA130"/>
      <c r="BB130"/>
      <c r="BC130">
        <v>0</v>
      </c>
      <c r="BD130">
        <v>0</v>
      </c>
      <c r="BE130" t="s">
        <v>47</v>
      </c>
      <c r="BF130"/>
      <c r="BG130"/>
      <c r="BH130"/>
      <c r="BI130">
        <v>0</v>
      </c>
      <c r="BJ130">
        <v>0</v>
      </c>
      <c r="BK130"/>
      <c r="BL130"/>
      <c r="BM130" t="s">
        <v>47</v>
      </c>
      <c r="BN130"/>
      <c r="BO130" t="s">
        <v>47</v>
      </c>
      <c r="BP130" t="s">
        <v>47</v>
      </c>
      <c r="BQ130" t="s">
        <v>47</v>
      </c>
      <c r="BR130"/>
      <c r="BS130" t="s">
        <v>47</v>
      </c>
      <c r="BT130" t="s">
        <v>963</v>
      </c>
      <c r="BU130" t="s">
        <v>47</v>
      </c>
      <c r="BV130"/>
      <c r="BW130" t="s">
        <v>47</v>
      </c>
      <c r="BX130" t="s">
        <v>47</v>
      </c>
      <c r="BY130" t="s">
        <v>47</v>
      </c>
      <c r="BZ130" t="s">
        <v>47</v>
      </c>
      <c r="CA130" t="s">
        <v>47</v>
      </c>
      <c r="CB130" t="s">
        <v>47</v>
      </c>
      <c r="CC130" t="s">
        <v>47</v>
      </c>
      <c r="CD130" t="s">
        <v>47</v>
      </c>
      <c r="CE130" t="s">
        <v>47</v>
      </c>
      <c r="CF130" t="s">
        <v>47</v>
      </c>
      <c r="CG130" t="s">
        <v>47</v>
      </c>
      <c r="CH130" t="s">
        <v>47</v>
      </c>
      <c r="CI130" t="s">
        <v>47</v>
      </c>
      <c r="CJ130" t="s">
        <v>975</v>
      </c>
      <c r="CK130"/>
    </row>
    <row r="131" spans="1:89" s="7" customFormat="1" x14ac:dyDescent="0.25">
      <c r="A131" t="s">
        <v>1437</v>
      </c>
      <c r="B131" t="s">
        <v>1423</v>
      </c>
      <c r="C131" t="s">
        <v>1421</v>
      </c>
      <c r="D131" t="s">
        <v>1818</v>
      </c>
      <c r="E131">
        <v>475</v>
      </c>
      <c r="F131" t="s">
        <v>208</v>
      </c>
      <c r="G131">
        <v>952</v>
      </c>
      <c r="H131" s="9">
        <v>11</v>
      </c>
      <c r="I131" t="s">
        <v>208</v>
      </c>
      <c r="J131" t="s">
        <v>773</v>
      </c>
      <c r="K131" t="s">
        <v>1819</v>
      </c>
      <c r="L131" t="s">
        <v>1820</v>
      </c>
      <c r="M131" s="10" t="str">
        <f>HYPERLINK(cna_product_database_catalog_website[[#This Row],[Spec Sheet Link]], cna_product_database_catalog_website[[#Headers],[Spec Sheet Link]])</f>
        <v>Spec Sheet Link</v>
      </c>
      <c r="N131" t="s">
        <v>46</v>
      </c>
      <c r="O131">
        <v>1</v>
      </c>
      <c r="P131">
        <v>1</v>
      </c>
      <c r="Q131" t="s">
        <v>236</v>
      </c>
      <c r="R131" t="s">
        <v>226</v>
      </c>
      <c r="S131" t="s">
        <v>237</v>
      </c>
      <c r="T131" t="s">
        <v>642</v>
      </c>
      <c r="U131" t="s">
        <v>230</v>
      </c>
      <c r="V131" t="s">
        <v>1012</v>
      </c>
      <c r="W131" t="s">
        <v>649</v>
      </c>
      <c r="X131" t="s">
        <v>63</v>
      </c>
      <c r="Y131" t="s">
        <v>561</v>
      </c>
      <c r="Z131" t="s">
        <v>552</v>
      </c>
      <c r="AA131" t="s">
        <v>69</v>
      </c>
      <c r="AB131" t="s">
        <v>555</v>
      </c>
      <c r="AC131" t="s">
        <v>93</v>
      </c>
      <c r="AD131" t="s">
        <v>638</v>
      </c>
      <c r="AE131"/>
      <c r="AF131" t="s">
        <v>47</v>
      </c>
      <c r="AG131" t="s">
        <v>238</v>
      </c>
      <c r="AH131" t="s">
        <v>239</v>
      </c>
      <c r="AI131"/>
      <c r="AJ131" t="s">
        <v>130</v>
      </c>
      <c r="AK131" t="s">
        <v>231</v>
      </c>
      <c r="AL131"/>
      <c r="AM131"/>
      <c r="AN131" t="s">
        <v>239</v>
      </c>
      <c r="AO131"/>
      <c r="AP131"/>
      <c r="AQ131"/>
      <c r="AR131">
        <v>487</v>
      </c>
      <c r="AS131">
        <v>1.07</v>
      </c>
      <c r="AT131"/>
      <c r="AU131"/>
      <c r="AV131" t="s">
        <v>47</v>
      </c>
      <c r="AW131" t="s">
        <v>276</v>
      </c>
      <c r="AX131">
        <v>10</v>
      </c>
      <c r="AY131">
        <v>50</v>
      </c>
      <c r="AZ131"/>
      <c r="BA131"/>
      <c r="BB131"/>
      <c r="BC131">
        <v>0</v>
      </c>
      <c r="BD131">
        <v>0</v>
      </c>
      <c r="BE131" t="s">
        <v>47</v>
      </c>
      <c r="BF131"/>
      <c r="BG131"/>
      <c r="BH131"/>
      <c r="BI131">
        <v>0</v>
      </c>
      <c r="BJ131">
        <v>0</v>
      </c>
      <c r="BK131"/>
      <c r="BL131"/>
      <c r="BM131" t="s">
        <v>47</v>
      </c>
      <c r="BN131"/>
      <c r="BO131" t="s">
        <v>47</v>
      </c>
      <c r="BP131" t="s">
        <v>47</v>
      </c>
      <c r="BQ131" t="s">
        <v>47</v>
      </c>
      <c r="BR131"/>
      <c r="BS131" t="s">
        <v>47</v>
      </c>
      <c r="BT131" t="s">
        <v>963</v>
      </c>
      <c r="BU131" t="s">
        <v>47</v>
      </c>
      <c r="BV131"/>
      <c r="BW131" t="s">
        <v>47</v>
      </c>
      <c r="BX131" t="s">
        <v>47</v>
      </c>
      <c r="BY131" t="s">
        <v>47</v>
      </c>
      <c r="BZ131" t="s">
        <v>47</v>
      </c>
      <c r="CA131" t="s">
        <v>47</v>
      </c>
      <c r="CB131" t="s">
        <v>47</v>
      </c>
      <c r="CC131" t="s">
        <v>47</v>
      </c>
      <c r="CD131" t="s">
        <v>47</v>
      </c>
      <c r="CE131" t="s">
        <v>47</v>
      </c>
      <c r="CF131" t="s">
        <v>47</v>
      </c>
      <c r="CG131" t="s">
        <v>47</v>
      </c>
      <c r="CH131" t="s">
        <v>47</v>
      </c>
      <c r="CI131" t="s">
        <v>47</v>
      </c>
      <c r="CJ131" t="s">
        <v>975</v>
      </c>
      <c r="CK131"/>
    </row>
    <row r="132" spans="1:89" s="7" customFormat="1" x14ac:dyDescent="0.25">
      <c r="A132" t="s">
        <v>1437</v>
      </c>
      <c r="B132" t="s">
        <v>1423</v>
      </c>
      <c r="C132" t="s">
        <v>1422</v>
      </c>
      <c r="D132" t="s">
        <v>1821</v>
      </c>
      <c r="E132">
        <v>476</v>
      </c>
      <c r="F132" t="s">
        <v>210</v>
      </c>
      <c r="G132">
        <v>953</v>
      </c>
      <c r="H132" s="9">
        <v>15</v>
      </c>
      <c r="I132" t="s">
        <v>210</v>
      </c>
      <c r="J132" t="s">
        <v>774</v>
      </c>
      <c r="K132" t="s">
        <v>1822</v>
      </c>
      <c r="L132" t="s">
        <v>1820</v>
      </c>
      <c r="M132" s="10" t="str">
        <f>HYPERLINK(cna_product_database_catalog_website[[#This Row],[Spec Sheet Link]], cna_product_database_catalog_website[[#Headers],[Spec Sheet Link]])</f>
        <v>Spec Sheet Link</v>
      </c>
      <c r="N132" t="s">
        <v>46</v>
      </c>
      <c r="O132">
        <v>1</v>
      </c>
      <c r="P132">
        <v>1</v>
      </c>
      <c r="Q132" t="s">
        <v>100</v>
      </c>
      <c r="R132" t="s">
        <v>659</v>
      </c>
      <c r="S132" t="s">
        <v>651</v>
      </c>
      <c r="T132" t="s">
        <v>660</v>
      </c>
      <c r="U132" t="s">
        <v>150</v>
      </c>
      <c r="V132" t="s">
        <v>47</v>
      </c>
      <c r="W132" t="s">
        <v>661</v>
      </c>
      <c r="X132" t="s">
        <v>52</v>
      </c>
      <c r="Y132" t="s">
        <v>562</v>
      </c>
      <c r="Z132" t="s">
        <v>552</v>
      </c>
      <c r="AA132" t="s">
        <v>69</v>
      </c>
      <c r="AB132" t="s">
        <v>47</v>
      </c>
      <c r="AC132" t="s">
        <v>47</v>
      </c>
      <c r="AD132" t="s">
        <v>662</v>
      </c>
      <c r="AE132"/>
      <c r="AF132" t="s">
        <v>243</v>
      </c>
      <c r="AG132" t="s">
        <v>47</v>
      </c>
      <c r="AH132" t="s">
        <v>47</v>
      </c>
      <c r="AI132" t="s">
        <v>47</v>
      </c>
      <c r="AJ132"/>
      <c r="AK132"/>
      <c r="AL132" t="s">
        <v>47</v>
      </c>
      <c r="AM132"/>
      <c r="AN132"/>
      <c r="AO132" t="s">
        <v>47</v>
      </c>
      <c r="AP132" t="s">
        <v>47</v>
      </c>
      <c r="AQ132" t="s">
        <v>47</v>
      </c>
      <c r="AR132">
        <v>250</v>
      </c>
      <c r="AS132"/>
      <c r="AT132"/>
      <c r="AU132"/>
      <c r="AV132" t="s">
        <v>47</v>
      </c>
      <c r="AW132" t="s">
        <v>142</v>
      </c>
      <c r="AX132">
        <v>25</v>
      </c>
      <c r="AY132">
        <v>25</v>
      </c>
      <c r="AZ132"/>
      <c r="BA132"/>
      <c r="BB132"/>
      <c r="BC132">
        <v>0</v>
      </c>
      <c r="BD132">
        <v>0</v>
      </c>
      <c r="BE132" t="s">
        <v>47</v>
      </c>
      <c r="BF132"/>
      <c r="BG132"/>
      <c r="BH132"/>
      <c r="BI132">
        <v>0</v>
      </c>
      <c r="BJ132">
        <v>0</v>
      </c>
      <c r="BK132"/>
      <c r="BL132"/>
      <c r="BM132" t="s">
        <v>47</v>
      </c>
      <c r="BN132"/>
      <c r="BO132" t="s">
        <v>47</v>
      </c>
      <c r="BP132" t="s">
        <v>47</v>
      </c>
      <c r="BQ132" t="s">
        <v>47</v>
      </c>
      <c r="BR132"/>
      <c r="BS132" t="s">
        <v>47</v>
      </c>
      <c r="BT132" t="s">
        <v>244</v>
      </c>
      <c r="BU132" t="s">
        <v>47</v>
      </c>
      <c r="BV132"/>
      <c r="BW132" t="s">
        <v>47</v>
      </c>
      <c r="BX132" t="s">
        <v>47</v>
      </c>
      <c r="BY132" t="s">
        <v>47</v>
      </c>
      <c r="BZ132" t="s">
        <v>47</v>
      </c>
      <c r="CA132" t="s">
        <v>47</v>
      </c>
      <c r="CB132" t="s">
        <v>47</v>
      </c>
      <c r="CC132" t="s">
        <v>47</v>
      </c>
      <c r="CD132" t="s">
        <v>47</v>
      </c>
      <c r="CE132" t="s">
        <v>47</v>
      </c>
      <c r="CF132" t="s">
        <v>47</v>
      </c>
      <c r="CG132" t="s">
        <v>47</v>
      </c>
      <c r="CH132" t="s">
        <v>47</v>
      </c>
      <c r="CI132" t="s">
        <v>47</v>
      </c>
      <c r="CJ132" t="s">
        <v>663</v>
      </c>
      <c r="CK132"/>
    </row>
    <row r="133" spans="1:89" s="7" customFormat="1" x14ac:dyDescent="0.25">
      <c r="A133" t="s">
        <v>1437</v>
      </c>
      <c r="B133" t="s">
        <v>1399</v>
      </c>
      <c r="C133" t="s">
        <v>1429</v>
      </c>
      <c r="D133" t="s">
        <v>1823</v>
      </c>
      <c r="E133">
        <v>480</v>
      </c>
      <c r="F133" t="s">
        <v>143</v>
      </c>
      <c r="G133">
        <v>1082</v>
      </c>
      <c r="H133" s="9">
        <v>2.5</v>
      </c>
      <c r="I133" t="s">
        <v>143</v>
      </c>
      <c r="J133" t="s">
        <v>747</v>
      </c>
      <c r="K133" t="s">
        <v>1749</v>
      </c>
      <c r="L133" t="s">
        <v>1750</v>
      </c>
      <c r="M133" s="10" t="str">
        <f>HYPERLINK(cna_product_database_catalog_website[[#This Row],[Spec Sheet Link]], cna_product_database_catalog_website[[#Headers],[Spec Sheet Link]])</f>
        <v>Spec Sheet Link</v>
      </c>
      <c r="N133" t="s">
        <v>46</v>
      </c>
      <c r="O133">
        <v>1</v>
      </c>
      <c r="P133">
        <v>1</v>
      </c>
      <c r="Q133" t="s">
        <v>100</v>
      </c>
      <c r="R133" t="s">
        <v>659</v>
      </c>
      <c r="S133" t="s">
        <v>651</v>
      </c>
      <c r="T133" t="s">
        <v>660</v>
      </c>
      <c r="U133" t="s">
        <v>150</v>
      </c>
      <c r="V133" t="s">
        <v>47</v>
      </c>
      <c r="W133" t="s">
        <v>661</v>
      </c>
      <c r="X133" t="s">
        <v>370</v>
      </c>
      <c r="Y133" t="s">
        <v>562</v>
      </c>
      <c r="Z133" t="s">
        <v>552</v>
      </c>
      <c r="AA133" t="s">
        <v>69</v>
      </c>
      <c r="AB133" t="s">
        <v>47</v>
      </c>
      <c r="AC133" t="s">
        <v>47</v>
      </c>
      <c r="AD133" t="s">
        <v>662</v>
      </c>
      <c r="AE133"/>
      <c r="AF133" t="s">
        <v>243</v>
      </c>
      <c r="AG133" t="s">
        <v>47</v>
      </c>
      <c r="AH133" t="s">
        <v>47</v>
      </c>
      <c r="AI133" t="s">
        <v>47</v>
      </c>
      <c r="AJ133"/>
      <c r="AK133"/>
      <c r="AL133" t="s">
        <v>47</v>
      </c>
      <c r="AM133"/>
      <c r="AN133"/>
      <c r="AO133" t="s">
        <v>47</v>
      </c>
      <c r="AP133" t="s">
        <v>47</v>
      </c>
      <c r="AQ133" t="s">
        <v>47</v>
      </c>
      <c r="AR133">
        <v>250</v>
      </c>
      <c r="AS133"/>
      <c r="AT133"/>
      <c r="AU133"/>
      <c r="AV133" t="s">
        <v>47</v>
      </c>
      <c r="AW133" t="s">
        <v>142</v>
      </c>
      <c r="AX133">
        <v>25</v>
      </c>
      <c r="AY133">
        <v>25</v>
      </c>
      <c r="AZ133"/>
      <c r="BA133"/>
      <c r="BB133"/>
      <c r="BC133">
        <v>0</v>
      </c>
      <c r="BD133">
        <v>0</v>
      </c>
      <c r="BE133" t="s">
        <v>47</v>
      </c>
      <c r="BF133"/>
      <c r="BG133"/>
      <c r="BH133"/>
      <c r="BI133">
        <v>0</v>
      </c>
      <c r="BJ133">
        <v>0</v>
      </c>
      <c r="BK133"/>
      <c r="BL133"/>
      <c r="BM133" t="s">
        <v>47</v>
      </c>
      <c r="BN133"/>
      <c r="BO133" t="s">
        <v>47</v>
      </c>
      <c r="BP133" t="s">
        <v>47</v>
      </c>
      <c r="BQ133" t="s">
        <v>47</v>
      </c>
      <c r="BR133"/>
      <c r="BS133" t="s">
        <v>47</v>
      </c>
      <c r="BT133" t="s">
        <v>244</v>
      </c>
      <c r="BU133" t="s">
        <v>47</v>
      </c>
      <c r="BV133"/>
      <c r="BW133" t="s">
        <v>47</v>
      </c>
      <c r="BX133" t="s">
        <v>47</v>
      </c>
      <c r="BY133" t="s">
        <v>47</v>
      </c>
      <c r="BZ133" t="s">
        <v>47</v>
      </c>
      <c r="CA133" t="s">
        <v>47</v>
      </c>
      <c r="CB133" t="s">
        <v>47</v>
      </c>
      <c r="CC133" t="s">
        <v>47</v>
      </c>
      <c r="CD133" t="s">
        <v>47</v>
      </c>
      <c r="CE133" t="s">
        <v>47</v>
      </c>
      <c r="CF133" t="s">
        <v>47</v>
      </c>
      <c r="CG133" t="s">
        <v>47</v>
      </c>
      <c r="CH133" t="s">
        <v>47</v>
      </c>
      <c r="CI133" t="s">
        <v>47</v>
      </c>
      <c r="CJ133" t="s">
        <v>663</v>
      </c>
      <c r="CK133"/>
    </row>
    <row r="134" spans="1:89" s="7" customFormat="1" x14ac:dyDescent="0.25">
      <c r="A134" t="s">
        <v>1437</v>
      </c>
      <c r="B134" t="s">
        <v>1399</v>
      </c>
      <c r="C134" t="s">
        <v>1430</v>
      </c>
      <c r="D134" t="s">
        <v>1824</v>
      </c>
      <c r="E134">
        <v>481</v>
      </c>
      <c r="F134" t="s">
        <v>147</v>
      </c>
      <c r="G134">
        <v>1083</v>
      </c>
      <c r="H134" s="9">
        <v>3</v>
      </c>
      <c r="I134" t="s">
        <v>147</v>
      </c>
      <c r="J134" t="s">
        <v>748</v>
      </c>
      <c r="K134" t="s">
        <v>1752</v>
      </c>
      <c r="L134" t="s">
        <v>1750</v>
      </c>
      <c r="M134" s="10" t="str">
        <f>HYPERLINK(cna_product_database_catalog_website[[#This Row],[Spec Sheet Link]], cna_product_database_catalog_website[[#Headers],[Spec Sheet Link]])</f>
        <v>Spec Sheet Link</v>
      </c>
      <c r="N134" t="s">
        <v>46</v>
      </c>
      <c r="O134">
        <v>1</v>
      </c>
      <c r="P134">
        <v>1</v>
      </c>
      <c r="Q134" t="s">
        <v>650</v>
      </c>
      <c r="R134" t="s">
        <v>47</v>
      </c>
      <c r="S134" t="s">
        <v>651</v>
      </c>
      <c r="T134" t="s">
        <v>653</v>
      </c>
      <c r="U134" t="s">
        <v>150</v>
      </c>
      <c r="V134" t="s">
        <v>47</v>
      </c>
      <c r="W134" t="s">
        <v>654</v>
      </c>
      <c r="X134" t="s">
        <v>617</v>
      </c>
      <c r="Y134" t="s">
        <v>655</v>
      </c>
      <c r="Z134" t="s">
        <v>552</v>
      </c>
      <c r="AA134" t="s">
        <v>69</v>
      </c>
      <c r="AB134"/>
      <c r="AC134" t="s">
        <v>47</v>
      </c>
      <c r="AD134" t="s">
        <v>656</v>
      </c>
      <c r="AE134"/>
      <c r="AF134" t="s">
        <v>243</v>
      </c>
      <c r="AG134" t="s">
        <v>47</v>
      </c>
      <c r="AH134" t="s">
        <v>633</v>
      </c>
      <c r="AI134" t="s">
        <v>47</v>
      </c>
      <c r="AJ134"/>
      <c r="AK134"/>
      <c r="AL134" t="s">
        <v>47</v>
      </c>
      <c r="AM134"/>
      <c r="AN134" t="s">
        <v>633</v>
      </c>
      <c r="AO134" t="s">
        <v>47</v>
      </c>
      <c r="AP134" t="s">
        <v>47</v>
      </c>
      <c r="AQ134" t="s">
        <v>47</v>
      </c>
      <c r="AR134"/>
      <c r="AS134"/>
      <c r="AT134"/>
      <c r="AU134"/>
      <c r="AV134" t="s">
        <v>47</v>
      </c>
      <c r="AW134" t="s">
        <v>142</v>
      </c>
      <c r="AX134">
        <v>25</v>
      </c>
      <c r="AY134">
        <v>25</v>
      </c>
      <c r="AZ134"/>
      <c r="BA134"/>
      <c r="BB134"/>
      <c r="BC134">
        <v>0</v>
      </c>
      <c r="BD134">
        <v>0</v>
      </c>
      <c r="BE134" t="s">
        <v>47</v>
      </c>
      <c r="BF134"/>
      <c r="BG134"/>
      <c r="BH134"/>
      <c r="BI134">
        <v>0</v>
      </c>
      <c r="BJ134">
        <v>0</v>
      </c>
      <c r="BK134"/>
      <c r="BL134"/>
      <c r="BM134" t="s">
        <v>47</v>
      </c>
      <c r="BN134"/>
      <c r="BO134" t="s">
        <v>47</v>
      </c>
      <c r="BP134" t="s">
        <v>47</v>
      </c>
      <c r="BQ134" t="s">
        <v>47</v>
      </c>
      <c r="BR134"/>
      <c r="BS134" t="s">
        <v>47</v>
      </c>
      <c r="BT134" t="s">
        <v>244</v>
      </c>
      <c r="BU134" t="s">
        <v>47</v>
      </c>
      <c r="BV134"/>
      <c r="BW134" t="s">
        <v>47</v>
      </c>
      <c r="BX134" t="s">
        <v>47</v>
      </c>
      <c r="BY134" t="s">
        <v>47</v>
      </c>
      <c r="BZ134" t="s">
        <v>47</v>
      </c>
      <c r="CA134" t="s">
        <v>47</v>
      </c>
      <c r="CB134" t="s">
        <v>47</v>
      </c>
      <c r="CC134" t="s">
        <v>47</v>
      </c>
      <c r="CD134" t="s">
        <v>47</v>
      </c>
      <c r="CE134" t="s">
        <v>47</v>
      </c>
      <c r="CF134" t="s">
        <v>47</v>
      </c>
      <c r="CG134" t="s">
        <v>47</v>
      </c>
      <c r="CH134" t="s">
        <v>47</v>
      </c>
      <c r="CI134" t="s">
        <v>47</v>
      </c>
      <c r="CJ134" t="s">
        <v>657</v>
      </c>
      <c r="CK134"/>
    </row>
    <row r="135" spans="1:89" s="7" customFormat="1" x14ac:dyDescent="0.25">
      <c r="A135" t="s">
        <v>1437</v>
      </c>
      <c r="B135" t="s">
        <v>1399</v>
      </c>
      <c r="C135" t="s">
        <v>1431</v>
      </c>
      <c r="D135" t="s">
        <v>1825</v>
      </c>
      <c r="E135">
        <v>482</v>
      </c>
      <c r="F135" t="s">
        <v>148</v>
      </c>
      <c r="G135">
        <v>1084</v>
      </c>
      <c r="H135" s="9">
        <v>3</v>
      </c>
      <c r="I135" t="s">
        <v>148</v>
      </c>
      <c r="J135" t="s">
        <v>749</v>
      </c>
      <c r="K135" t="s">
        <v>1754</v>
      </c>
      <c r="L135" t="s">
        <v>1755</v>
      </c>
      <c r="M135" s="10" t="str">
        <f>HYPERLINK(cna_product_database_catalog_website[[#This Row],[Spec Sheet Link]], cna_product_database_catalog_website[[#Headers],[Spec Sheet Link]])</f>
        <v>Spec Sheet Link</v>
      </c>
      <c r="N135" t="s">
        <v>46</v>
      </c>
      <c r="O135">
        <v>1</v>
      </c>
      <c r="P135">
        <v>1</v>
      </c>
      <c r="Q135" t="s">
        <v>650</v>
      </c>
      <c r="R135" t="s">
        <v>47</v>
      </c>
      <c r="S135" t="s">
        <v>651</v>
      </c>
      <c r="T135" t="s">
        <v>653</v>
      </c>
      <c r="U135" t="s">
        <v>150</v>
      </c>
      <c r="V135" t="s">
        <v>47</v>
      </c>
      <c r="W135" t="s">
        <v>654</v>
      </c>
      <c r="X135" t="s">
        <v>52</v>
      </c>
      <c r="Y135" t="s">
        <v>655</v>
      </c>
      <c r="Z135" t="s">
        <v>552</v>
      </c>
      <c r="AA135" t="s">
        <v>69</v>
      </c>
      <c r="AB135" t="s">
        <v>47</v>
      </c>
      <c r="AC135" t="s">
        <v>47</v>
      </c>
      <c r="AD135" t="s">
        <v>656</v>
      </c>
      <c r="AE135"/>
      <c r="AF135" t="s">
        <v>243</v>
      </c>
      <c r="AG135" t="s">
        <v>47</v>
      </c>
      <c r="AH135" t="s">
        <v>633</v>
      </c>
      <c r="AI135" t="s">
        <v>47</v>
      </c>
      <c r="AJ135"/>
      <c r="AK135"/>
      <c r="AL135" t="s">
        <v>47</v>
      </c>
      <c r="AM135"/>
      <c r="AN135" t="s">
        <v>633</v>
      </c>
      <c r="AO135" t="s">
        <v>47</v>
      </c>
      <c r="AP135" t="s">
        <v>47</v>
      </c>
      <c r="AQ135" t="s">
        <v>47</v>
      </c>
      <c r="AR135"/>
      <c r="AS135"/>
      <c r="AT135"/>
      <c r="AU135"/>
      <c r="AV135" t="s">
        <v>47</v>
      </c>
      <c r="AW135" t="s">
        <v>142</v>
      </c>
      <c r="AX135">
        <v>25</v>
      </c>
      <c r="AY135">
        <v>25</v>
      </c>
      <c r="AZ135"/>
      <c r="BA135"/>
      <c r="BB135"/>
      <c r="BC135">
        <v>0</v>
      </c>
      <c r="BD135">
        <v>0</v>
      </c>
      <c r="BE135" t="s">
        <v>47</v>
      </c>
      <c r="BF135"/>
      <c r="BG135"/>
      <c r="BH135"/>
      <c r="BI135">
        <v>0</v>
      </c>
      <c r="BJ135">
        <v>0</v>
      </c>
      <c r="BK135"/>
      <c r="BL135"/>
      <c r="BM135" t="s">
        <v>47</v>
      </c>
      <c r="BN135"/>
      <c r="BO135" t="s">
        <v>47</v>
      </c>
      <c r="BP135" t="s">
        <v>47</v>
      </c>
      <c r="BQ135" t="s">
        <v>47</v>
      </c>
      <c r="BR135"/>
      <c r="BS135" t="s">
        <v>47</v>
      </c>
      <c r="BT135" t="s">
        <v>244</v>
      </c>
      <c r="BU135" t="s">
        <v>47</v>
      </c>
      <c r="BV135"/>
      <c r="BW135" t="s">
        <v>47</v>
      </c>
      <c r="BX135" t="s">
        <v>47</v>
      </c>
      <c r="BY135" t="s">
        <v>47</v>
      </c>
      <c r="BZ135" t="s">
        <v>47</v>
      </c>
      <c r="CA135" t="s">
        <v>47</v>
      </c>
      <c r="CB135" t="s">
        <v>47</v>
      </c>
      <c r="CC135" t="s">
        <v>47</v>
      </c>
      <c r="CD135" t="s">
        <v>47</v>
      </c>
      <c r="CE135" t="s">
        <v>47</v>
      </c>
      <c r="CF135" t="s">
        <v>47</v>
      </c>
      <c r="CG135" t="s">
        <v>47</v>
      </c>
      <c r="CH135" t="s">
        <v>47</v>
      </c>
      <c r="CI135" t="s">
        <v>47</v>
      </c>
      <c r="CJ135" t="s">
        <v>657</v>
      </c>
      <c r="CK135"/>
    </row>
    <row r="136" spans="1:89" s="7" customFormat="1" x14ac:dyDescent="0.25">
      <c r="A136" t="s">
        <v>1437</v>
      </c>
      <c r="B136" t="s">
        <v>1399</v>
      </c>
      <c r="C136" t="s">
        <v>1432</v>
      </c>
      <c r="D136" t="s">
        <v>1826</v>
      </c>
      <c r="E136">
        <v>485</v>
      </c>
      <c r="F136" t="s">
        <v>222</v>
      </c>
      <c r="G136">
        <v>1202</v>
      </c>
      <c r="H136" s="9">
        <v>2.5</v>
      </c>
      <c r="I136" t="s">
        <v>222</v>
      </c>
      <c r="J136" t="s">
        <v>750</v>
      </c>
      <c r="K136"/>
      <c r="L136" t="s">
        <v>45</v>
      </c>
      <c r="M136" s="10"/>
      <c r="N136" t="s">
        <v>46</v>
      </c>
      <c r="O136">
        <v>1</v>
      </c>
      <c r="P136">
        <v>1</v>
      </c>
      <c r="Q136" t="s">
        <v>102</v>
      </c>
      <c r="R136" t="s">
        <v>47</v>
      </c>
      <c r="S136" t="s">
        <v>652</v>
      </c>
      <c r="T136" t="s">
        <v>653</v>
      </c>
      <c r="U136" t="s">
        <v>150</v>
      </c>
      <c r="V136" t="s">
        <v>47</v>
      </c>
      <c r="W136" t="s">
        <v>654</v>
      </c>
      <c r="X136" t="s">
        <v>370</v>
      </c>
      <c r="Y136" t="s">
        <v>655</v>
      </c>
      <c r="Z136" t="s">
        <v>552</v>
      </c>
      <c r="AA136" t="s">
        <v>69</v>
      </c>
      <c r="AB136" t="s">
        <v>47</v>
      </c>
      <c r="AC136" t="s">
        <v>47</v>
      </c>
      <c r="AD136" t="s">
        <v>656</v>
      </c>
      <c r="AE136"/>
      <c r="AF136" t="s">
        <v>243</v>
      </c>
      <c r="AG136" t="s">
        <v>47</v>
      </c>
      <c r="AH136" t="s">
        <v>633</v>
      </c>
      <c r="AI136" t="s">
        <v>47</v>
      </c>
      <c r="AJ136"/>
      <c r="AK136"/>
      <c r="AL136" t="s">
        <v>47</v>
      </c>
      <c r="AM136"/>
      <c r="AN136" t="s">
        <v>633</v>
      </c>
      <c r="AO136" t="s">
        <v>47</v>
      </c>
      <c r="AP136" t="s">
        <v>47</v>
      </c>
      <c r="AQ136" t="s">
        <v>47</v>
      </c>
      <c r="AR136"/>
      <c r="AS136"/>
      <c r="AT136"/>
      <c r="AU136"/>
      <c r="AV136" t="s">
        <v>47</v>
      </c>
      <c r="AW136" t="s">
        <v>142</v>
      </c>
      <c r="AX136">
        <v>25</v>
      </c>
      <c r="AY136">
        <v>25</v>
      </c>
      <c r="AZ136"/>
      <c r="BA136"/>
      <c r="BB136"/>
      <c r="BC136">
        <v>0</v>
      </c>
      <c r="BD136">
        <v>0</v>
      </c>
      <c r="BE136" t="s">
        <v>47</v>
      </c>
      <c r="BF136"/>
      <c r="BG136"/>
      <c r="BH136"/>
      <c r="BI136">
        <v>0</v>
      </c>
      <c r="BJ136">
        <v>0</v>
      </c>
      <c r="BK136"/>
      <c r="BL136"/>
      <c r="BM136" t="s">
        <v>47</v>
      </c>
      <c r="BN136"/>
      <c r="BO136" t="s">
        <v>47</v>
      </c>
      <c r="BP136" t="s">
        <v>47</v>
      </c>
      <c r="BQ136" t="s">
        <v>47</v>
      </c>
      <c r="BR136"/>
      <c r="BS136" t="s">
        <v>47</v>
      </c>
      <c r="BT136" t="s">
        <v>244</v>
      </c>
      <c r="BU136" t="s">
        <v>47</v>
      </c>
      <c r="BV136"/>
      <c r="BW136" t="s">
        <v>47</v>
      </c>
      <c r="BX136" t="s">
        <v>47</v>
      </c>
      <c r="BY136" t="s">
        <v>47</v>
      </c>
      <c r="BZ136" t="s">
        <v>47</v>
      </c>
      <c r="CA136" t="s">
        <v>47</v>
      </c>
      <c r="CB136" t="s">
        <v>47</v>
      </c>
      <c r="CC136" t="s">
        <v>47</v>
      </c>
      <c r="CD136" t="s">
        <v>47</v>
      </c>
      <c r="CE136" t="s">
        <v>47</v>
      </c>
      <c r="CF136" t="s">
        <v>47</v>
      </c>
      <c r="CG136" t="s">
        <v>47</v>
      </c>
      <c r="CH136" t="s">
        <v>47</v>
      </c>
      <c r="CI136" t="s">
        <v>47</v>
      </c>
      <c r="CJ136" t="s">
        <v>657</v>
      </c>
      <c r="CK136"/>
    </row>
    <row r="137" spans="1:89" s="7" customFormat="1" x14ac:dyDescent="0.25">
      <c r="A137" t="s">
        <v>1437</v>
      </c>
      <c r="B137" t="s">
        <v>1399</v>
      </c>
      <c r="C137" t="s">
        <v>1433</v>
      </c>
      <c r="D137" t="s">
        <v>1827</v>
      </c>
      <c r="E137">
        <v>486</v>
      </c>
      <c r="F137" t="s">
        <v>223</v>
      </c>
      <c r="G137">
        <v>1203</v>
      </c>
      <c r="H137" s="9">
        <v>2.5</v>
      </c>
      <c r="I137" t="s">
        <v>223</v>
      </c>
      <c r="J137" t="s">
        <v>751</v>
      </c>
      <c r="K137" t="s">
        <v>47</v>
      </c>
      <c r="L137" t="s">
        <v>45</v>
      </c>
      <c r="M137" s="10"/>
      <c r="N137" t="s">
        <v>46</v>
      </c>
      <c r="O137">
        <v>1</v>
      </c>
      <c r="P137">
        <v>1</v>
      </c>
      <c r="Q137" t="s">
        <v>100</v>
      </c>
      <c r="R137" t="s">
        <v>664</v>
      </c>
      <c r="S137" t="s">
        <v>651</v>
      </c>
      <c r="T137" t="s">
        <v>667</v>
      </c>
      <c r="U137" t="s">
        <v>150</v>
      </c>
      <c r="V137" t="s">
        <v>47</v>
      </c>
      <c r="W137" t="s">
        <v>669</v>
      </c>
      <c r="X137" t="s">
        <v>52</v>
      </c>
      <c r="Y137" t="s">
        <v>564</v>
      </c>
      <c r="Z137">
        <v>82</v>
      </c>
      <c r="AA137" t="s">
        <v>69</v>
      </c>
      <c r="AB137" t="s">
        <v>47</v>
      </c>
      <c r="AC137" t="s">
        <v>47</v>
      </c>
      <c r="AD137" t="s">
        <v>670</v>
      </c>
      <c r="AE137"/>
      <c r="AF137" t="s">
        <v>243</v>
      </c>
      <c r="AG137" t="s">
        <v>47</v>
      </c>
      <c r="AH137" t="s">
        <v>47</v>
      </c>
      <c r="AI137" t="s">
        <v>47</v>
      </c>
      <c r="AJ137"/>
      <c r="AK137"/>
      <c r="AL137" t="s">
        <v>47</v>
      </c>
      <c r="AM137"/>
      <c r="AN137"/>
      <c r="AO137" t="s">
        <v>47</v>
      </c>
      <c r="AP137" t="s">
        <v>47</v>
      </c>
      <c r="AQ137" t="s">
        <v>47</v>
      </c>
      <c r="AR137"/>
      <c r="AS137"/>
      <c r="AT137"/>
      <c r="AU137"/>
      <c r="AV137" t="s">
        <v>47</v>
      </c>
      <c r="AW137" t="s">
        <v>142</v>
      </c>
      <c r="AX137">
        <v>25</v>
      </c>
      <c r="AY137">
        <v>25</v>
      </c>
      <c r="AZ137"/>
      <c r="BA137"/>
      <c r="BB137"/>
      <c r="BC137">
        <v>0</v>
      </c>
      <c r="BD137">
        <v>0</v>
      </c>
      <c r="BE137" t="s">
        <v>47</v>
      </c>
      <c r="BF137"/>
      <c r="BG137"/>
      <c r="BH137"/>
      <c r="BI137">
        <v>0</v>
      </c>
      <c r="BJ137">
        <v>0</v>
      </c>
      <c r="BK137"/>
      <c r="BL137"/>
      <c r="BM137" t="s">
        <v>47</v>
      </c>
      <c r="BN137"/>
      <c r="BO137" t="s">
        <v>47</v>
      </c>
      <c r="BP137" t="s">
        <v>47</v>
      </c>
      <c r="BQ137" t="s">
        <v>47</v>
      </c>
      <c r="BR137"/>
      <c r="BS137" t="s">
        <v>47</v>
      </c>
      <c r="BT137" t="s">
        <v>250</v>
      </c>
      <c r="BU137" t="s">
        <v>47</v>
      </c>
      <c r="BV137"/>
      <c r="BW137" t="s">
        <v>47</v>
      </c>
      <c r="BX137" t="s">
        <v>47</v>
      </c>
      <c r="BY137" t="s">
        <v>47</v>
      </c>
      <c r="BZ137" t="s">
        <v>47</v>
      </c>
      <c r="CA137" t="s">
        <v>47</v>
      </c>
      <c r="CB137" t="s">
        <v>47</v>
      </c>
      <c r="CC137" t="s">
        <v>47</v>
      </c>
      <c r="CD137" t="s">
        <v>47</v>
      </c>
      <c r="CE137" t="s">
        <v>47</v>
      </c>
      <c r="CF137" t="s">
        <v>47</v>
      </c>
      <c r="CG137" t="s">
        <v>47</v>
      </c>
      <c r="CH137" t="s">
        <v>47</v>
      </c>
      <c r="CI137" t="s">
        <v>47</v>
      </c>
      <c r="CJ137" t="s">
        <v>671</v>
      </c>
      <c r="CK137"/>
    </row>
    <row r="138" spans="1:89" s="7" customFormat="1" x14ac:dyDescent="0.25">
      <c r="A138" t="s">
        <v>1828</v>
      </c>
      <c r="B138" t="s">
        <v>1829</v>
      </c>
      <c r="C138" t="s">
        <v>1830</v>
      </c>
      <c r="D138" t="s">
        <v>1831</v>
      </c>
      <c r="E138">
        <v>490</v>
      </c>
      <c r="F138" t="s">
        <v>1832</v>
      </c>
      <c r="G138">
        <v>631</v>
      </c>
      <c r="H138" s="13">
        <v>37</v>
      </c>
      <c r="I138" t="s">
        <v>1832</v>
      </c>
      <c r="J138" t="s">
        <v>1833</v>
      </c>
      <c r="K138" t="s">
        <v>1834</v>
      </c>
      <c r="L138"/>
      <c r="M138" s="7" t="s">
        <v>1359</v>
      </c>
      <c r="N138" t="s">
        <v>46</v>
      </c>
      <c r="O138">
        <v>1</v>
      </c>
      <c r="P138">
        <v>1</v>
      </c>
      <c r="Q138" t="s">
        <v>485</v>
      </c>
      <c r="R138" t="s">
        <v>659</v>
      </c>
      <c r="S138" t="s">
        <v>665</v>
      </c>
      <c r="T138" t="s">
        <v>612</v>
      </c>
      <c r="U138" t="s">
        <v>150</v>
      </c>
      <c r="V138" t="s">
        <v>47</v>
      </c>
      <c r="W138" t="s">
        <v>47</v>
      </c>
      <c r="X138" t="s">
        <v>52</v>
      </c>
      <c r="Y138" t="s">
        <v>563</v>
      </c>
      <c r="Z138">
        <v>80</v>
      </c>
      <c r="AA138" t="s">
        <v>69</v>
      </c>
      <c r="AB138" t="s">
        <v>47</v>
      </c>
      <c r="AC138" t="s">
        <v>47</v>
      </c>
      <c r="AD138" t="s">
        <v>247</v>
      </c>
      <c r="AE138"/>
      <c r="AF138" t="s">
        <v>243</v>
      </c>
      <c r="AG138" t="s">
        <v>47</v>
      </c>
      <c r="AH138" t="s">
        <v>47</v>
      </c>
      <c r="AI138" t="s">
        <v>47</v>
      </c>
      <c r="AJ138"/>
      <c r="AK138"/>
      <c r="AL138" t="s">
        <v>47</v>
      </c>
      <c r="AM138"/>
      <c r="AN138"/>
      <c r="AO138" t="s">
        <v>47</v>
      </c>
      <c r="AP138" t="s">
        <v>47</v>
      </c>
      <c r="AQ138" t="s">
        <v>47</v>
      </c>
      <c r="AR138"/>
      <c r="AS138"/>
      <c r="AT138"/>
      <c r="AU138"/>
      <c r="AV138" t="s">
        <v>47</v>
      </c>
      <c r="AW138" t="s">
        <v>142</v>
      </c>
      <c r="AX138">
        <v>25</v>
      </c>
      <c r="AY138">
        <v>25</v>
      </c>
      <c r="AZ138"/>
      <c r="BA138"/>
      <c r="BB138"/>
      <c r="BC138">
        <v>0</v>
      </c>
      <c r="BD138">
        <v>0</v>
      </c>
      <c r="BE138" t="s">
        <v>47</v>
      </c>
      <c r="BF138"/>
      <c r="BG138"/>
      <c r="BH138"/>
      <c r="BI138">
        <v>0</v>
      </c>
      <c r="BJ138">
        <v>0</v>
      </c>
      <c r="BK138"/>
      <c r="BL138"/>
      <c r="BM138" t="s">
        <v>47</v>
      </c>
      <c r="BN138"/>
      <c r="BO138" t="s">
        <v>47</v>
      </c>
      <c r="BP138" t="s">
        <v>248</v>
      </c>
      <c r="BQ138" t="s">
        <v>47</v>
      </c>
      <c r="BR138"/>
      <c r="BS138" t="s">
        <v>47</v>
      </c>
      <c r="BT138" t="s">
        <v>244</v>
      </c>
      <c r="BU138" t="s">
        <v>47</v>
      </c>
      <c r="BV138"/>
      <c r="BW138" t="s">
        <v>47</v>
      </c>
      <c r="BX138" t="s">
        <v>47</v>
      </c>
      <c r="BY138" t="s">
        <v>47</v>
      </c>
      <c r="BZ138" t="s">
        <v>47</v>
      </c>
      <c r="CA138" t="s">
        <v>47</v>
      </c>
      <c r="CB138" t="s">
        <v>47</v>
      </c>
      <c r="CC138" t="s">
        <v>47</v>
      </c>
      <c r="CD138" t="s">
        <v>47</v>
      </c>
      <c r="CE138" t="s">
        <v>47</v>
      </c>
      <c r="CF138" t="s">
        <v>47</v>
      </c>
      <c r="CG138" t="s">
        <v>47</v>
      </c>
      <c r="CH138" t="s">
        <v>47</v>
      </c>
      <c r="CI138" t="s">
        <v>47</v>
      </c>
      <c r="CJ138" t="s">
        <v>663</v>
      </c>
      <c r="CK138"/>
    </row>
    <row r="139" spans="1:89" s="7" customFormat="1" x14ac:dyDescent="0.25">
      <c r="A139" t="s">
        <v>1828</v>
      </c>
      <c r="B139" t="s">
        <v>1829</v>
      </c>
      <c r="C139" t="s">
        <v>1830</v>
      </c>
      <c r="D139" t="s">
        <v>1831</v>
      </c>
      <c r="E139">
        <v>491</v>
      </c>
      <c r="F139" t="s">
        <v>1835</v>
      </c>
      <c r="G139">
        <v>632</v>
      </c>
      <c r="H139" s="13">
        <v>37</v>
      </c>
      <c r="I139" t="s">
        <v>1835</v>
      </c>
      <c r="J139" t="s">
        <v>1836</v>
      </c>
      <c r="K139" t="s">
        <v>1837</v>
      </c>
      <c r="L139"/>
      <c r="M139" s="7" t="s">
        <v>1359</v>
      </c>
      <c r="N139" t="s">
        <v>46</v>
      </c>
      <c r="O139">
        <v>1</v>
      </c>
      <c r="P139">
        <v>1</v>
      </c>
      <c r="Q139" t="s">
        <v>485</v>
      </c>
      <c r="R139" t="s">
        <v>659</v>
      </c>
      <c r="S139" t="s">
        <v>665</v>
      </c>
      <c r="T139" t="s">
        <v>612</v>
      </c>
      <c r="U139" t="s">
        <v>150</v>
      </c>
      <c r="V139" t="s">
        <v>47</v>
      </c>
      <c r="W139" t="s">
        <v>47</v>
      </c>
      <c r="X139" t="s">
        <v>370</v>
      </c>
      <c r="Y139" t="s">
        <v>563</v>
      </c>
      <c r="Z139">
        <v>80</v>
      </c>
      <c r="AA139" t="s">
        <v>69</v>
      </c>
      <c r="AB139" t="s">
        <v>47</v>
      </c>
      <c r="AC139" t="s">
        <v>47</v>
      </c>
      <c r="AD139" t="s">
        <v>247</v>
      </c>
      <c r="AE139"/>
      <c r="AF139" t="s">
        <v>243</v>
      </c>
      <c r="AG139" t="s">
        <v>47</v>
      </c>
      <c r="AH139" t="s">
        <v>47</v>
      </c>
      <c r="AI139" t="s">
        <v>47</v>
      </c>
      <c r="AJ139"/>
      <c r="AK139"/>
      <c r="AL139" t="s">
        <v>47</v>
      </c>
      <c r="AM139"/>
      <c r="AN139"/>
      <c r="AO139" t="s">
        <v>47</v>
      </c>
      <c r="AP139" t="s">
        <v>47</v>
      </c>
      <c r="AQ139" t="s">
        <v>47</v>
      </c>
      <c r="AR139">
        <v>170</v>
      </c>
      <c r="AS139"/>
      <c r="AT139"/>
      <c r="AU139"/>
      <c r="AV139" t="s">
        <v>47</v>
      </c>
      <c r="AW139" t="s">
        <v>142</v>
      </c>
      <c r="AX139">
        <v>25</v>
      </c>
      <c r="AY139">
        <v>25</v>
      </c>
      <c r="AZ139"/>
      <c r="BA139"/>
      <c r="BB139"/>
      <c r="BC139">
        <v>0</v>
      </c>
      <c r="BD139">
        <v>0</v>
      </c>
      <c r="BE139" t="s">
        <v>47</v>
      </c>
      <c r="BF139"/>
      <c r="BG139"/>
      <c r="BH139"/>
      <c r="BI139">
        <v>0</v>
      </c>
      <c r="BJ139">
        <v>0</v>
      </c>
      <c r="BK139"/>
      <c r="BL139"/>
      <c r="BM139" t="s">
        <v>47</v>
      </c>
      <c r="BN139"/>
      <c r="BO139" t="s">
        <v>47</v>
      </c>
      <c r="BP139" t="s">
        <v>248</v>
      </c>
      <c r="BQ139" t="s">
        <v>47</v>
      </c>
      <c r="BR139"/>
      <c r="BS139" t="s">
        <v>47</v>
      </c>
      <c r="BT139" t="s">
        <v>249</v>
      </c>
      <c r="BU139" t="s">
        <v>47</v>
      </c>
      <c r="BV139"/>
      <c r="BW139" t="s">
        <v>47</v>
      </c>
      <c r="BX139" t="s">
        <v>47</v>
      </c>
      <c r="BY139" t="s">
        <v>47</v>
      </c>
      <c r="BZ139" t="s">
        <v>47</v>
      </c>
      <c r="CA139" t="s">
        <v>47</v>
      </c>
      <c r="CB139" t="s">
        <v>47</v>
      </c>
      <c r="CC139" t="s">
        <v>47</v>
      </c>
      <c r="CD139" t="s">
        <v>47</v>
      </c>
      <c r="CE139" t="s">
        <v>47</v>
      </c>
      <c r="CF139" t="s">
        <v>47</v>
      </c>
      <c r="CG139" t="s">
        <v>47</v>
      </c>
      <c r="CH139" t="s">
        <v>47</v>
      </c>
      <c r="CI139" t="s">
        <v>47</v>
      </c>
      <c r="CJ139" t="s">
        <v>666</v>
      </c>
      <c r="CK139"/>
    </row>
    <row r="140" spans="1:89" s="7" customFormat="1" x14ac:dyDescent="0.25">
      <c r="A140" t="s">
        <v>1828</v>
      </c>
      <c r="B140" t="s">
        <v>1829</v>
      </c>
      <c r="C140" t="s">
        <v>1838</v>
      </c>
      <c r="D140" t="s">
        <v>1839</v>
      </c>
      <c r="E140">
        <v>492</v>
      </c>
      <c r="F140" t="s">
        <v>1840</v>
      </c>
      <c r="G140">
        <v>633</v>
      </c>
      <c r="H140" s="13">
        <v>49</v>
      </c>
      <c r="I140" t="s">
        <v>1840</v>
      </c>
      <c r="J140" t="s">
        <v>1841</v>
      </c>
      <c r="K140" t="s">
        <v>1842</v>
      </c>
      <c r="L140"/>
      <c r="M140" s="7" t="s">
        <v>1359</v>
      </c>
      <c r="N140" t="s">
        <v>46</v>
      </c>
      <c r="O140">
        <v>1</v>
      </c>
      <c r="P140">
        <v>1</v>
      </c>
      <c r="Q140" t="s">
        <v>352</v>
      </c>
      <c r="R140" t="s">
        <v>566</v>
      </c>
      <c r="S140" t="s">
        <v>567</v>
      </c>
      <c r="T140" t="s">
        <v>568</v>
      </c>
      <c r="U140" t="s">
        <v>140</v>
      </c>
      <c r="V140" t="s">
        <v>47</v>
      </c>
      <c r="W140" t="s">
        <v>151</v>
      </c>
      <c r="X140" t="s">
        <v>619</v>
      </c>
      <c r="Y140" t="s">
        <v>47</v>
      </c>
      <c r="Z140">
        <v>82</v>
      </c>
      <c r="AA140" t="s">
        <v>571</v>
      </c>
      <c r="AB140" t="s">
        <v>554</v>
      </c>
      <c r="AC140" t="s">
        <v>47</v>
      </c>
      <c r="AD140" t="s">
        <v>569</v>
      </c>
      <c r="AE140"/>
      <c r="AF140" t="s">
        <v>487</v>
      </c>
      <c r="AG140" t="s">
        <v>570</v>
      </c>
      <c r="AH140" t="s">
        <v>577</v>
      </c>
      <c r="AI140" t="s">
        <v>47</v>
      </c>
      <c r="AJ140" t="s">
        <v>579</v>
      </c>
      <c r="AK140" t="s">
        <v>576</v>
      </c>
      <c r="AL140" t="s">
        <v>47</v>
      </c>
      <c r="AM140" t="s">
        <v>578</v>
      </c>
      <c r="AN140" t="s">
        <v>121</v>
      </c>
      <c r="AO140" t="s">
        <v>47</v>
      </c>
      <c r="AP140" t="s">
        <v>47</v>
      </c>
      <c r="AQ140" t="s">
        <v>47</v>
      </c>
      <c r="AR140">
        <v>3400</v>
      </c>
      <c r="AS140"/>
      <c r="AT140"/>
      <c r="AU140"/>
      <c r="AV140" t="s">
        <v>47</v>
      </c>
      <c r="AW140" t="s">
        <v>142</v>
      </c>
      <c r="AX140">
        <v>1</v>
      </c>
      <c r="AY140">
        <v>4</v>
      </c>
      <c r="AZ140"/>
      <c r="BA140"/>
      <c r="BB140"/>
      <c r="BC140">
        <v>0</v>
      </c>
      <c r="BD140">
        <v>0</v>
      </c>
      <c r="BE140" t="s">
        <v>47</v>
      </c>
      <c r="BF140"/>
      <c r="BG140"/>
      <c r="BH140"/>
      <c r="BI140">
        <v>0</v>
      </c>
      <c r="BJ140">
        <v>0</v>
      </c>
      <c r="BK140"/>
      <c r="BL140"/>
      <c r="BM140" t="s">
        <v>47</v>
      </c>
      <c r="BN140" t="s">
        <v>47</v>
      </c>
      <c r="BO140" t="s">
        <v>580</v>
      </c>
      <c r="BP140" t="s">
        <v>47</v>
      </c>
      <c r="BQ140" t="s">
        <v>47</v>
      </c>
      <c r="BR140" t="s">
        <v>586</v>
      </c>
      <c r="BS140" t="s">
        <v>581</v>
      </c>
      <c r="BT140" t="s">
        <v>47</v>
      </c>
      <c r="BU140" t="s">
        <v>582</v>
      </c>
      <c r="BV140" t="s">
        <v>584</v>
      </c>
      <c r="BW140" t="s">
        <v>47</v>
      </c>
      <c r="BX140" t="s">
        <v>47</v>
      </c>
      <c r="BY140" t="s">
        <v>47</v>
      </c>
      <c r="BZ140" t="s">
        <v>47</v>
      </c>
      <c r="CA140" t="s">
        <v>47</v>
      </c>
      <c r="CB140" t="s">
        <v>47</v>
      </c>
      <c r="CC140" t="s">
        <v>47</v>
      </c>
      <c r="CD140" t="s">
        <v>47</v>
      </c>
      <c r="CE140" t="s">
        <v>47</v>
      </c>
      <c r="CF140" t="s">
        <v>47</v>
      </c>
      <c r="CG140" t="s">
        <v>47</v>
      </c>
      <c r="CH140" t="s">
        <v>47</v>
      </c>
      <c r="CI140" t="s">
        <v>47</v>
      </c>
      <c r="CJ140" t="s">
        <v>47</v>
      </c>
      <c r="CK140"/>
    </row>
    <row r="141" spans="1:89" s="7" customFormat="1" x14ac:dyDescent="0.25">
      <c r="A141" t="s">
        <v>1828</v>
      </c>
      <c r="B141" t="s">
        <v>1829</v>
      </c>
      <c r="C141" t="s">
        <v>1838</v>
      </c>
      <c r="D141" t="s">
        <v>1839</v>
      </c>
      <c r="E141">
        <v>493</v>
      </c>
      <c r="F141" t="s">
        <v>1844</v>
      </c>
      <c r="G141">
        <v>634</v>
      </c>
      <c r="H141" s="13">
        <v>49</v>
      </c>
      <c r="I141" t="s">
        <v>1844</v>
      </c>
      <c r="J141" t="s">
        <v>1845</v>
      </c>
      <c r="K141" t="s">
        <v>1846</v>
      </c>
      <c r="L141"/>
      <c r="M141" s="7" t="s">
        <v>1359</v>
      </c>
      <c r="N141" t="s">
        <v>46</v>
      </c>
      <c r="O141">
        <v>1</v>
      </c>
      <c r="P141">
        <v>1</v>
      </c>
      <c r="Q141" t="s">
        <v>47</v>
      </c>
      <c r="R141" t="s">
        <v>47</v>
      </c>
      <c r="S141" t="s">
        <v>47</v>
      </c>
      <c r="T141" t="s">
        <v>47</v>
      </c>
      <c r="U141" t="s">
        <v>47</v>
      </c>
      <c r="V141" t="s">
        <v>47</v>
      </c>
      <c r="W141" t="s">
        <v>47</v>
      </c>
      <c r="X141" t="s">
        <v>47</v>
      </c>
      <c r="Y141" t="s">
        <v>47</v>
      </c>
      <c r="Z141" t="s">
        <v>47</v>
      </c>
      <c r="AA141" t="s">
        <v>47</v>
      </c>
      <c r="AB141" t="s">
        <v>47</v>
      </c>
      <c r="AC141" t="s">
        <v>47</v>
      </c>
      <c r="AD141" t="s">
        <v>47</v>
      </c>
      <c r="AE141"/>
      <c r="AF141" t="s">
        <v>47</v>
      </c>
      <c r="AG141" t="s">
        <v>47</v>
      </c>
      <c r="AH141" t="s">
        <v>47</v>
      </c>
      <c r="AI141" t="s">
        <v>47</v>
      </c>
      <c r="AJ141"/>
      <c r="AK141"/>
      <c r="AL141" t="s">
        <v>47</v>
      </c>
      <c r="AM141"/>
      <c r="AN141"/>
      <c r="AO141" t="s">
        <v>47</v>
      </c>
      <c r="AP141" t="s">
        <v>47</v>
      </c>
      <c r="AQ141" t="s">
        <v>47</v>
      </c>
      <c r="AR141">
        <v>10</v>
      </c>
      <c r="AS141"/>
      <c r="AT141"/>
      <c r="AU141"/>
      <c r="AV141" t="s">
        <v>47</v>
      </c>
      <c r="AW141"/>
      <c r="AX141"/>
      <c r="AY141"/>
      <c r="AZ141"/>
      <c r="BA141"/>
      <c r="BB141"/>
      <c r="BC141">
        <v>0</v>
      </c>
      <c r="BD141">
        <v>0</v>
      </c>
      <c r="BE141" t="s">
        <v>47</v>
      </c>
      <c r="BF141"/>
      <c r="BG141"/>
      <c r="BH141"/>
      <c r="BI141">
        <v>0</v>
      </c>
      <c r="BJ141">
        <v>0</v>
      </c>
      <c r="BK141"/>
      <c r="BL141"/>
      <c r="BM141" t="s">
        <v>47</v>
      </c>
      <c r="BN141" t="s">
        <v>47</v>
      </c>
      <c r="BO141" t="s">
        <v>47</v>
      </c>
      <c r="BP141" t="s">
        <v>47</v>
      </c>
      <c r="BQ141" t="s">
        <v>47</v>
      </c>
      <c r="BR141"/>
      <c r="BS141" t="s">
        <v>47</v>
      </c>
      <c r="BT141" t="s">
        <v>47</v>
      </c>
      <c r="BU141" t="s">
        <v>47</v>
      </c>
      <c r="BV141"/>
      <c r="BW141" t="s">
        <v>47</v>
      </c>
      <c r="BX141" t="s">
        <v>47</v>
      </c>
      <c r="BY141" t="s">
        <v>47</v>
      </c>
      <c r="BZ141" t="s">
        <v>47</v>
      </c>
      <c r="CA141" t="s">
        <v>47</v>
      </c>
      <c r="CB141" t="s">
        <v>47</v>
      </c>
      <c r="CC141" t="s">
        <v>47</v>
      </c>
      <c r="CD141" t="s">
        <v>47</v>
      </c>
      <c r="CE141" t="s">
        <v>47</v>
      </c>
      <c r="CF141" t="s">
        <v>47</v>
      </c>
      <c r="CG141" t="s">
        <v>47</v>
      </c>
      <c r="CH141" t="s">
        <v>47</v>
      </c>
      <c r="CI141" t="s">
        <v>47</v>
      </c>
      <c r="CJ141" t="s">
        <v>47</v>
      </c>
      <c r="CK141"/>
    </row>
    <row r="142" spans="1:89" s="7" customFormat="1" x14ac:dyDescent="0.25">
      <c r="A142" t="s">
        <v>1438</v>
      </c>
      <c r="B142" t="s">
        <v>1439</v>
      </c>
      <c r="C142" t="s">
        <v>1092</v>
      </c>
      <c r="D142" t="s">
        <v>1850</v>
      </c>
      <c r="E142">
        <v>600</v>
      </c>
      <c r="F142" t="s">
        <v>273</v>
      </c>
      <c r="G142">
        <v>1129</v>
      </c>
      <c r="H142" s="9">
        <v>12</v>
      </c>
      <c r="I142" t="s">
        <v>273</v>
      </c>
      <c r="J142" t="s">
        <v>842</v>
      </c>
      <c r="K142" t="s">
        <v>2056</v>
      </c>
      <c r="L142" t="s">
        <v>2057</v>
      </c>
      <c r="M142" s="10" t="str">
        <f>HYPERLINK(cna_product_database_catalog_website[[#This Row],[Spec Sheet Link]], cna_product_database_catalog_website[[#Headers],[Spec Sheet Link]])</f>
        <v>Spec Sheet Link</v>
      </c>
      <c r="N142" t="s">
        <v>46</v>
      </c>
      <c r="O142">
        <v>1</v>
      </c>
      <c r="P142">
        <v>1</v>
      </c>
      <c r="Q142" t="s">
        <v>180</v>
      </c>
      <c r="R142" t="s">
        <v>181</v>
      </c>
      <c r="S142" t="s">
        <v>182</v>
      </c>
      <c r="T142" t="s">
        <v>183</v>
      </c>
      <c r="U142" t="s">
        <v>140</v>
      </c>
      <c r="V142" t="s">
        <v>47</v>
      </c>
      <c r="W142" t="s">
        <v>184</v>
      </c>
      <c r="X142" t="s">
        <v>618</v>
      </c>
      <c r="Y142" t="s">
        <v>47</v>
      </c>
      <c r="Z142" t="s">
        <v>47</v>
      </c>
      <c r="AA142" t="s">
        <v>54</v>
      </c>
      <c r="AB142" t="s">
        <v>47</v>
      </c>
      <c r="AC142" t="s">
        <v>47</v>
      </c>
      <c r="AD142" t="s">
        <v>47</v>
      </c>
      <c r="AE142"/>
      <c r="AF142" t="s">
        <v>47</v>
      </c>
      <c r="AG142" t="s">
        <v>47</v>
      </c>
      <c r="AH142" t="s">
        <v>47</v>
      </c>
      <c r="AI142" t="s">
        <v>47</v>
      </c>
      <c r="AJ142"/>
      <c r="AK142"/>
      <c r="AL142" t="s">
        <v>47</v>
      </c>
      <c r="AM142"/>
      <c r="AN142"/>
      <c r="AO142" t="s">
        <v>185</v>
      </c>
      <c r="AP142" t="s">
        <v>186</v>
      </c>
      <c r="AQ142" t="s">
        <v>187</v>
      </c>
      <c r="AR142">
        <v>267</v>
      </c>
      <c r="AS142">
        <v>0.59</v>
      </c>
      <c r="AT142"/>
      <c r="AU142"/>
      <c r="AV142" t="s">
        <v>47</v>
      </c>
      <c r="AW142" t="s">
        <v>47</v>
      </c>
      <c r="AX142" t="s">
        <v>47</v>
      </c>
      <c r="AY142" t="s">
        <v>47</v>
      </c>
      <c r="AZ142"/>
      <c r="BA142"/>
      <c r="BB142"/>
      <c r="BC142">
        <v>0</v>
      </c>
      <c r="BD142">
        <v>0</v>
      </c>
      <c r="BE142" t="s">
        <v>47</v>
      </c>
      <c r="BF142"/>
      <c r="BG142"/>
      <c r="BH142"/>
      <c r="BI142">
        <v>0</v>
      </c>
      <c r="BJ142">
        <v>0</v>
      </c>
      <c r="BK142"/>
      <c r="BL142"/>
      <c r="BM142" t="s">
        <v>47</v>
      </c>
      <c r="BN142" t="s">
        <v>188</v>
      </c>
      <c r="BO142" t="s">
        <v>47</v>
      </c>
      <c r="BP142" t="s">
        <v>47</v>
      </c>
      <c r="BQ142" t="s">
        <v>47</v>
      </c>
      <c r="BR142"/>
      <c r="BS142" t="s">
        <v>47</v>
      </c>
      <c r="BT142" t="s">
        <v>47</v>
      </c>
      <c r="BU142" t="s">
        <v>47</v>
      </c>
      <c r="BV142"/>
      <c r="BW142" t="s">
        <v>47</v>
      </c>
      <c r="BX142" t="s">
        <v>47</v>
      </c>
      <c r="BY142" t="s">
        <v>47</v>
      </c>
      <c r="BZ142" t="s">
        <v>47</v>
      </c>
      <c r="CA142" t="s">
        <v>47</v>
      </c>
      <c r="CB142" t="s">
        <v>47</v>
      </c>
      <c r="CC142" t="s">
        <v>47</v>
      </c>
      <c r="CD142" t="s">
        <v>47</v>
      </c>
      <c r="CE142" t="s">
        <v>47</v>
      </c>
      <c r="CF142" t="s">
        <v>47</v>
      </c>
      <c r="CG142" t="s">
        <v>47</v>
      </c>
      <c r="CH142" t="s">
        <v>47</v>
      </c>
      <c r="CI142" t="s">
        <v>47</v>
      </c>
      <c r="CJ142" t="s">
        <v>47</v>
      </c>
      <c r="CK142"/>
    </row>
    <row r="143" spans="1:89" s="7" customFormat="1" x14ac:dyDescent="0.25">
      <c r="A143" t="s">
        <v>1438</v>
      </c>
      <c r="B143" t="s">
        <v>1439</v>
      </c>
      <c r="C143" t="s">
        <v>1459</v>
      </c>
      <c r="D143" t="s">
        <v>1851</v>
      </c>
      <c r="E143">
        <v>610</v>
      </c>
      <c r="F143" t="s">
        <v>1054</v>
      </c>
      <c r="G143">
        <v>823</v>
      </c>
      <c r="H143" s="9">
        <v>8.5</v>
      </c>
      <c r="I143" t="s">
        <v>1054</v>
      </c>
      <c r="J143" t="s">
        <v>1060</v>
      </c>
      <c r="K143" t="s">
        <v>2058</v>
      </c>
      <c r="L143" t="s">
        <v>2059</v>
      </c>
      <c r="M143" s="10" t="str">
        <f>HYPERLINK(cna_product_database_catalog_website[[#This Row],[Spec Sheet Link]], cna_product_database_catalog_website[[#Headers],[Spec Sheet Link]])</f>
        <v>Spec Sheet Link</v>
      </c>
      <c r="N143" t="s">
        <v>46</v>
      </c>
      <c r="O143">
        <v>1</v>
      </c>
      <c r="P143">
        <v>1</v>
      </c>
      <c r="Q143" t="s">
        <v>47</v>
      </c>
      <c r="R143" t="s">
        <v>47</v>
      </c>
      <c r="S143" t="s">
        <v>47</v>
      </c>
      <c r="T143" t="s">
        <v>47</v>
      </c>
      <c r="U143" t="s">
        <v>47</v>
      </c>
      <c r="V143" t="s">
        <v>47</v>
      </c>
      <c r="W143" t="s">
        <v>47</v>
      </c>
      <c r="X143" t="s">
        <v>47</v>
      </c>
      <c r="Y143" t="s">
        <v>47</v>
      </c>
      <c r="Z143" t="s">
        <v>47</v>
      </c>
      <c r="AA143" t="s">
        <v>47</v>
      </c>
      <c r="AB143" t="s">
        <v>47</v>
      </c>
      <c r="AC143" t="s">
        <v>47</v>
      </c>
      <c r="AD143" t="s">
        <v>47</v>
      </c>
      <c r="AE143"/>
      <c r="AF143" t="s">
        <v>47</v>
      </c>
      <c r="AG143" t="s">
        <v>47</v>
      </c>
      <c r="AH143" t="s">
        <v>47</v>
      </c>
      <c r="AI143" t="s">
        <v>47</v>
      </c>
      <c r="AJ143"/>
      <c r="AK143"/>
      <c r="AL143" t="s">
        <v>47</v>
      </c>
      <c r="AM143"/>
      <c r="AN143"/>
      <c r="AO143" t="s">
        <v>47</v>
      </c>
      <c r="AP143"/>
      <c r="AQ143"/>
      <c r="AR143">
        <v>246</v>
      </c>
      <c r="AS143">
        <v>0.54</v>
      </c>
      <c r="AT143" t="s">
        <v>191</v>
      </c>
      <c r="AU143" t="s">
        <v>192</v>
      </c>
      <c r="AV143" t="s">
        <v>47</v>
      </c>
      <c r="AW143" t="s">
        <v>47</v>
      </c>
      <c r="AX143">
        <v>1</v>
      </c>
      <c r="AY143">
        <v>1</v>
      </c>
      <c r="AZ143"/>
      <c r="BA143"/>
      <c r="BB143"/>
      <c r="BC143">
        <v>0</v>
      </c>
      <c r="BD143">
        <v>0</v>
      </c>
      <c r="BE143" t="s">
        <v>47</v>
      </c>
      <c r="BF143"/>
      <c r="BG143"/>
      <c r="BH143"/>
      <c r="BI143">
        <v>0</v>
      </c>
      <c r="BJ143">
        <v>0</v>
      </c>
      <c r="BK143"/>
      <c r="BL143"/>
      <c r="BM143" t="s">
        <v>47</v>
      </c>
      <c r="BN143" t="s">
        <v>47</v>
      </c>
      <c r="BO143" t="s">
        <v>197</v>
      </c>
      <c r="BP143" t="s">
        <v>47</v>
      </c>
      <c r="BQ143" t="s">
        <v>47</v>
      </c>
      <c r="BR143"/>
      <c r="BS143" t="s">
        <v>47</v>
      </c>
      <c r="BT143" t="s">
        <v>47</v>
      </c>
      <c r="BU143" t="s">
        <v>47</v>
      </c>
      <c r="BV143"/>
      <c r="BW143" t="s">
        <v>47</v>
      </c>
      <c r="BX143" t="s">
        <v>47</v>
      </c>
      <c r="BY143" t="s">
        <v>47</v>
      </c>
      <c r="BZ143" t="s">
        <v>47</v>
      </c>
      <c r="CA143" t="s">
        <v>47</v>
      </c>
      <c r="CB143" t="s">
        <v>47</v>
      </c>
      <c r="CC143" t="s">
        <v>47</v>
      </c>
      <c r="CD143" t="s">
        <v>47</v>
      </c>
      <c r="CE143" t="s">
        <v>47</v>
      </c>
      <c r="CF143" t="s">
        <v>47</v>
      </c>
      <c r="CG143" t="s">
        <v>47</v>
      </c>
      <c r="CH143" t="s">
        <v>47</v>
      </c>
      <c r="CI143" t="s">
        <v>47</v>
      </c>
      <c r="CJ143" t="s">
        <v>47</v>
      </c>
      <c r="CK143"/>
    </row>
    <row r="144" spans="1:89" s="7" customFormat="1" x14ac:dyDescent="0.25">
      <c r="A144" t="s">
        <v>1438</v>
      </c>
      <c r="B144" t="s">
        <v>1439</v>
      </c>
      <c r="C144" t="s">
        <v>1460</v>
      </c>
      <c r="D144" t="s">
        <v>1852</v>
      </c>
      <c r="E144">
        <v>611</v>
      </c>
      <c r="F144" t="s">
        <v>1055</v>
      </c>
      <c r="G144">
        <v>824</v>
      </c>
      <c r="H144" s="9">
        <v>8.5</v>
      </c>
      <c r="I144" t="s">
        <v>1055</v>
      </c>
      <c r="J144" t="s">
        <v>1055</v>
      </c>
      <c r="K144" t="s">
        <v>2060</v>
      </c>
      <c r="L144" t="s">
        <v>2059</v>
      </c>
      <c r="M144" s="10" t="str">
        <f>HYPERLINK(cna_product_database_catalog_website[[#This Row],[Spec Sheet Link]], cna_product_database_catalog_website[[#Headers],[Spec Sheet Link]])</f>
        <v>Spec Sheet Link</v>
      </c>
      <c r="N144" t="s">
        <v>46</v>
      </c>
      <c r="O144">
        <v>1</v>
      </c>
      <c r="P144">
        <v>1</v>
      </c>
      <c r="Q144" t="s">
        <v>47</v>
      </c>
      <c r="R144" t="s">
        <v>47</v>
      </c>
      <c r="S144" t="s">
        <v>47</v>
      </c>
      <c r="T144" t="s">
        <v>47</v>
      </c>
      <c r="U144" t="s">
        <v>47</v>
      </c>
      <c r="V144" t="s">
        <v>47</v>
      </c>
      <c r="W144" t="s">
        <v>47</v>
      </c>
      <c r="X144" t="s">
        <v>47</v>
      </c>
      <c r="Y144" t="s">
        <v>47</v>
      </c>
      <c r="Z144" t="s">
        <v>47</v>
      </c>
      <c r="AA144" t="s">
        <v>69</v>
      </c>
      <c r="AB144" t="s">
        <v>47</v>
      </c>
      <c r="AC144" t="s">
        <v>47</v>
      </c>
      <c r="AD144" t="s">
        <v>47</v>
      </c>
      <c r="AE144"/>
      <c r="AF144" t="s">
        <v>47</v>
      </c>
      <c r="AG144" t="s">
        <v>47</v>
      </c>
      <c r="AH144" t="s">
        <v>47</v>
      </c>
      <c r="AI144" t="s">
        <v>47</v>
      </c>
      <c r="AJ144"/>
      <c r="AK144"/>
      <c r="AL144" t="s">
        <v>47</v>
      </c>
      <c r="AM144"/>
      <c r="AN144"/>
      <c r="AO144" t="s">
        <v>47</v>
      </c>
      <c r="AP144" t="s">
        <v>47</v>
      </c>
      <c r="AQ144" t="s">
        <v>47</v>
      </c>
      <c r="AR144">
        <v>1000</v>
      </c>
      <c r="AS144"/>
      <c r="AT144"/>
      <c r="AU144"/>
      <c r="AV144" t="s">
        <v>47</v>
      </c>
      <c r="AW144" t="s">
        <v>47</v>
      </c>
      <c r="AX144">
        <v>10</v>
      </c>
      <c r="AY144">
        <v>10</v>
      </c>
      <c r="AZ144"/>
      <c r="BA144"/>
      <c r="BB144"/>
      <c r="BC144">
        <v>0</v>
      </c>
      <c r="BD144">
        <v>0</v>
      </c>
      <c r="BE144" t="s">
        <v>47</v>
      </c>
      <c r="BF144"/>
      <c r="BG144"/>
      <c r="BH144"/>
      <c r="BI144">
        <v>0</v>
      </c>
      <c r="BJ144">
        <v>0</v>
      </c>
      <c r="BK144"/>
      <c r="BL144"/>
      <c r="BM144" t="s">
        <v>47</v>
      </c>
      <c r="BN144" t="s">
        <v>47</v>
      </c>
      <c r="BO144" t="s">
        <v>47</v>
      </c>
      <c r="BP144" t="s">
        <v>47</v>
      </c>
      <c r="BQ144" t="s">
        <v>47</v>
      </c>
      <c r="BR144"/>
      <c r="BS144" t="s">
        <v>47</v>
      </c>
      <c r="BT144" t="s">
        <v>47</v>
      </c>
      <c r="BU144" t="s">
        <v>47</v>
      </c>
      <c r="BV144"/>
      <c r="BW144" t="s">
        <v>47</v>
      </c>
      <c r="BX144" t="s">
        <v>47</v>
      </c>
      <c r="BY144" t="s">
        <v>47</v>
      </c>
      <c r="BZ144" t="s">
        <v>47</v>
      </c>
      <c r="CA144" t="s">
        <v>47</v>
      </c>
      <c r="CB144" t="s">
        <v>47</v>
      </c>
      <c r="CC144" t="s">
        <v>47</v>
      </c>
      <c r="CD144" t="s">
        <v>47</v>
      </c>
      <c r="CE144" t="s">
        <v>47</v>
      </c>
      <c r="CF144" t="s">
        <v>47</v>
      </c>
      <c r="CG144" t="s">
        <v>47</v>
      </c>
      <c r="CH144" t="s">
        <v>47</v>
      </c>
      <c r="CI144" t="s">
        <v>47</v>
      </c>
      <c r="CJ144" t="s">
        <v>47</v>
      </c>
      <c r="CK144"/>
    </row>
    <row r="145" spans="1:89" s="7" customFormat="1" x14ac:dyDescent="0.25">
      <c r="A145" t="s">
        <v>1438</v>
      </c>
      <c r="B145" t="s">
        <v>1439</v>
      </c>
      <c r="C145" t="s">
        <v>1461</v>
      </c>
      <c r="D145" t="s">
        <v>1853</v>
      </c>
      <c r="E145">
        <v>612</v>
      </c>
      <c r="F145" t="s">
        <v>1056</v>
      </c>
      <c r="G145">
        <v>825</v>
      </c>
      <c r="H145" s="9">
        <v>8.5</v>
      </c>
      <c r="I145" t="s">
        <v>1056</v>
      </c>
      <c r="J145" t="s">
        <v>1056</v>
      </c>
      <c r="K145" t="s">
        <v>2061</v>
      </c>
      <c r="L145" t="s">
        <v>2059</v>
      </c>
      <c r="M145" s="10" t="str">
        <f>HYPERLINK(cna_product_database_catalog_website[[#This Row],[Spec Sheet Link]], cna_product_database_catalog_website[[#Headers],[Spec Sheet Link]])</f>
        <v>Spec Sheet Link</v>
      </c>
      <c r="N145" t="s">
        <v>46</v>
      </c>
      <c r="O145">
        <v>1</v>
      </c>
      <c r="P145">
        <v>1</v>
      </c>
      <c r="Q145" t="s">
        <v>981</v>
      </c>
      <c r="R145" t="s">
        <v>47</v>
      </c>
      <c r="S145" t="s">
        <v>47</v>
      </c>
      <c r="T145" t="s">
        <v>47</v>
      </c>
      <c r="U145" t="s">
        <v>47</v>
      </c>
      <c r="V145" t="s">
        <v>47</v>
      </c>
      <c r="W145" t="s">
        <v>47</v>
      </c>
      <c r="X145" t="s">
        <v>370</v>
      </c>
      <c r="Y145" t="s">
        <v>47</v>
      </c>
      <c r="Z145" t="s">
        <v>47</v>
      </c>
      <c r="AA145" t="s">
        <v>69</v>
      </c>
      <c r="AB145" t="s">
        <v>47</v>
      </c>
      <c r="AC145" t="s">
        <v>47</v>
      </c>
      <c r="AD145" t="s">
        <v>47</v>
      </c>
      <c r="AE145"/>
      <c r="AF145" t="s">
        <v>47</v>
      </c>
      <c r="AG145" t="s">
        <v>47</v>
      </c>
      <c r="AH145" t="s">
        <v>47</v>
      </c>
      <c r="AI145" t="s">
        <v>47</v>
      </c>
      <c r="AJ145"/>
      <c r="AK145"/>
      <c r="AL145" t="s">
        <v>47</v>
      </c>
      <c r="AM145"/>
      <c r="AN145"/>
      <c r="AO145" t="s">
        <v>47</v>
      </c>
      <c r="AP145" t="s">
        <v>47</v>
      </c>
      <c r="AQ145" t="s">
        <v>47</v>
      </c>
      <c r="AR145">
        <v>3800</v>
      </c>
      <c r="AS145"/>
      <c r="AT145"/>
      <c r="AU145"/>
      <c r="AV145" t="s">
        <v>47</v>
      </c>
      <c r="AW145" t="s">
        <v>47</v>
      </c>
      <c r="AX145">
        <v>1</v>
      </c>
      <c r="AY145">
        <v>1</v>
      </c>
      <c r="AZ145"/>
      <c r="BA145"/>
      <c r="BB145"/>
      <c r="BC145">
        <v>0</v>
      </c>
      <c r="BD145">
        <v>0</v>
      </c>
      <c r="BE145" t="s">
        <v>47</v>
      </c>
      <c r="BF145"/>
      <c r="BG145"/>
      <c r="BH145"/>
      <c r="BI145">
        <v>0</v>
      </c>
      <c r="BJ145">
        <v>0</v>
      </c>
      <c r="BK145"/>
      <c r="BL145"/>
      <c r="BM145" t="s">
        <v>47</v>
      </c>
      <c r="BN145" t="s">
        <v>47</v>
      </c>
      <c r="BO145" t="s">
        <v>47</v>
      </c>
      <c r="BP145" t="s">
        <v>47</v>
      </c>
      <c r="BQ145" t="s">
        <v>47</v>
      </c>
      <c r="BR145"/>
      <c r="BS145" t="s">
        <v>47</v>
      </c>
      <c r="BT145" t="s">
        <v>47</v>
      </c>
      <c r="BU145" t="s">
        <v>47</v>
      </c>
      <c r="BV145"/>
      <c r="BW145" t="s">
        <v>47</v>
      </c>
      <c r="BX145" t="s">
        <v>47</v>
      </c>
      <c r="BY145" t="s">
        <v>47</v>
      </c>
      <c r="BZ145" t="s">
        <v>47</v>
      </c>
      <c r="CA145" t="s">
        <v>47</v>
      </c>
      <c r="CB145" t="s">
        <v>47</v>
      </c>
      <c r="CC145" t="s">
        <v>47</v>
      </c>
      <c r="CD145" t="s">
        <v>47</v>
      </c>
      <c r="CE145" t="s">
        <v>47</v>
      </c>
      <c r="CF145" t="s">
        <v>47</v>
      </c>
      <c r="CG145" t="s">
        <v>47</v>
      </c>
      <c r="CH145" t="s">
        <v>47</v>
      </c>
      <c r="CI145" t="s">
        <v>47</v>
      </c>
      <c r="CJ145" t="s">
        <v>47</v>
      </c>
      <c r="CK145"/>
    </row>
    <row r="146" spans="1:89" s="7" customFormat="1" x14ac:dyDescent="0.25">
      <c r="A146" t="s">
        <v>1438</v>
      </c>
      <c r="B146" t="s">
        <v>1439</v>
      </c>
      <c r="C146" t="s">
        <v>1456</v>
      </c>
      <c r="D146" t="s">
        <v>1854</v>
      </c>
      <c r="E146">
        <v>615</v>
      </c>
      <c r="F146" t="s">
        <v>1057</v>
      </c>
      <c r="G146">
        <v>743</v>
      </c>
      <c r="H146" s="9">
        <v>2.5</v>
      </c>
      <c r="I146" t="s">
        <v>1057</v>
      </c>
      <c r="J146" t="s">
        <v>1057</v>
      </c>
      <c r="K146" t="s">
        <v>2062</v>
      </c>
      <c r="L146" t="s">
        <v>2059</v>
      </c>
      <c r="M146" s="10" t="str">
        <f>HYPERLINK(cna_product_database_catalog_website[[#This Row],[Spec Sheet Link]], cna_product_database_catalog_website[[#Headers],[Spec Sheet Link]])</f>
        <v>Spec Sheet Link</v>
      </c>
      <c r="N146" t="s">
        <v>46</v>
      </c>
      <c r="O146">
        <v>1</v>
      </c>
      <c r="P146">
        <v>1</v>
      </c>
      <c r="Q146" t="s">
        <v>980</v>
      </c>
      <c r="R146" t="s">
        <v>566</v>
      </c>
      <c r="S146" t="s">
        <v>47</v>
      </c>
      <c r="T146" t="s">
        <v>47</v>
      </c>
      <c r="U146" t="s">
        <v>47</v>
      </c>
      <c r="V146" t="s">
        <v>47</v>
      </c>
      <c r="W146" t="s">
        <v>47</v>
      </c>
      <c r="X146" t="s">
        <v>47</v>
      </c>
      <c r="Y146" t="s">
        <v>47</v>
      </c>
      <c r="Z146" t="s">
        <v>47</v>
      </c>
      <c r="AA146" t="s">
        <v>47</v>
      </c>
      <c r="AB146" t="s">
        <v>47</v>
      </c>
      <c r="AC146" t="s">
        <v>220</v>
      </c>
      <c r="AD146" t="s">
        <v>987</v>
      </c>
      <c r="AE146"/>
      <c r="AF146" t="s">
        <v>47</v>
      </c>
      <c r="AG146" t="s">
        <v>988</v>
      </c>
      <c r="AH146" t="s">
        <v>989</v>
      </c>
      <c r="AI146" t="s">
        <v>47</v>
      </c>
      <c r="AJ146" t="s">
        <v>72</v>
      </c>
      <c r="AK146" t="s">
        <v>73</v>
      </c>
      <c r="AL146" t="s">
        <v>47</v>
      </c>
      <c r="AM146" t="s">
        <v>990</v>
      </c>
      <c r="AN146" t="s">
        <v>991</v>
      </c>
      <c r="AO146" t="s">
        <v>47</v>
      </c>
      <c r="AP146" t="s">
        <v>47</v>
      </c>
      <c r="AQ146" t="s">
        <v>47</v>
      </c>
      <c r="AR146">
        <v>1480</v>
      </c>
      <c r="AS146"/>
      <c r="AT146"/>
      <c r="AU146"/>
      <c r="AV146" t="s">
        <v>47</v>
      </c>
      <c r="AW146" t="s">
        <v>142</v>
      </c>
      <c r="AX146">
        <v>6</v>
      </c>
      <c r="AY146">
        <v>6</v>
      </c>
      <c r="AZ146"/>
      <c r="BA146"/>
      <c r="BB146"/>
      <c r="BC146">
        <v>0</v>
      </c>
      <c r="BD146">
        <v>0</v>
      </c>
      <c r="BE146" t="s">
        <v>47</v>
      </c>
      <c r="BF146"/>
      <c r="BG146"/>
      <c r="BH146"/>
      <c r="BI146">
        <v>0</v>
      </c>
      <c r="BJ146">
        <v>0</v>
      </c>
      <c r="BK146"/>
      <c r="BL146"/>
      <c r="BM146" t="s">
        <v>47</v>
      </c>
      <c r="BN146" t="s">
        <v>47</v>
      </c>
      <c r="BO146" t="s">
        <v>47</v>
      </c>
      <c r="BP146" t="s">
        <v>47</v>
      </c>
      <c r="BQ146" t="s">
        <v>47</v>
      </c>
      <c r="BR146"/>
      <c r="BS146" t="s">
        <v>47</v>
      </c>
      <c r="BT146" t="s">
        <v>47</v>
      </c>
      <c r="BU146" t="s">
        <v>47</v>
      </c>
      <c r="BV146"/>
      <c r="BW146" t="s">
        <v>47</v>
      </c>
      <c r="BX146" t="s">
        <v>47</v>
      </c>
      <c r="BY146" t="s">
        <v>47</v>
      </c>
      <c r="BZ146" t="s">
        <v>47</v>
      </c>
      <c r="CA146" t="s">
        <v>47</v>
      </c>
      <c r="CB146" t="s">
        <v>47</v>
      </c>
      <c r="CC146" t="s">
        <v>47</v>
      </c>
      <c r="CD146" t="s">
        <v>47</v>
      </c>
      <c r="CE146" t="s">
        <v>47</v>
      </c>
      <c r="CF146" t="s">
        <v>47</v>
      </c>
      <c r="CG146" t="s">
        <v>47</v>
      </c>
      <c r="CH146" t="s">
        <v>47</v>
      </c>
      <c r="CI146" t="s">
        <v>47</v>
      </c>
      <c r="CJ146" t="s">
        <v>47</v>
      </c>
      <c r="CK146"/>
    </row>
    <row r="147" spans="1:89" s="7" customFormat="1" x14ac:dyDescent="0.25">
      <c r="A147" t="s">
        <v>1438</v>
      </c>
      <c r="B147" t="s">
        <v>1439</v>
      </c>
      <c r="C147" t="s">
        <v>1457</v>
      </c>
      <c r="D147" t="s">
        <v>1855</v>
      </c>
      <c r="E147">
        <v>616</v>
      </c>
      <c r="F147" t="s">
        <v>1058</v>
      </c>
      <c r="G147">
        <v>744</v>
      </c>
      <c r="H147" s="9">
        <v>2.5</v>
      </c>
      <c r="I147" t="s">
        <v>1058</v>
      </c>
      <c r="J147" t="s">
        <v>1058</v>
      </c>
      <c r="K147" t="s">
        <v>2063</v>
      </c>
      <c r="L147" t="s">
        <v>2059</v>
      </c>
      <c r="M147" s="10" t="str">
        <f>HYPERLINK(cna_product_database_catalog_website[[#This Row],[Spec Sheet Link]], cna_product_database_catalog_website[[#Headers],[Spec Sheet Link]])</f>
        <v>Spec Sheet Link</v>
      </c>
      <c r="N147" t="s">
        <v>46</v>
      </c>
      <c r="O147">
        <v>1</v>
      </c>
      <c r="P147">
        <v>1</v>
      </c>
      <c r="Q147" t="s">
        <v>88</v>
      </c>
      <c r="R147" t="s">
        <v>566</v>
      </c>
      <c r="S147" t="s">
        <v>47</v>
      </c>
      <c r="T147" t="s">
        <v>47</v>
      </c>
      <c r="U147" t="s">
        <v>47</v>
      </c>
      <c r="V147" t="s">
        <v>47</v>
      </c>
      <c r="W147" t="s">
        <v>47</v>
      </c>
      <c r="X147" t="s">
        <v>47</v>
      </c>
      <c r="Y147" t="s">
        <v>47</v>
      </c>
      <c r="Z147" t="s">
        <v>47</v>
      </c>
      <c r="AA147" t="s">
        <v>47</v>
      </c>
      <c r="AB147" t="s">
        <v>47</v>
      </c>
      <c r="AC147" t="s">
        <v>220</v>
      </c>
      <c r="AD147" t="s">
        <v>987</v>
      </c>
      <c r="AE147"/>
      <c r="AF147" t="s">
        <v>47</v>
      </c>
      <c r="AG147" t="s">
        <v>988</v>
      </c>
      <c r="AH147" t="s">
        <v>989</v>
      </c>
      <c r="AI147" t="s">
        <v>47</v>
      </c>
      <c r="AJ147" t="s">
        <v>124</v>
      </c>
      <c r="AK147" t="s">
        <v>994</v>
      </c>
      <c r="AL147" t="s">
        <v>47</v>
      </c>
      <c r="AM147" t="s">
        <v>993</v>
      </c>
      <c r="AN147" t="s">
        <v>959</v>
      </c>
      <c r="AO147" t="s">
        <v>47</v>
      </c>
      <c r="AP147" t="s">
        <v>47</v>
      </c>
      <c r="AQ147" t="s">
        <v>47</v>
      </c>
      <c r="AR147">
        <v>1750</v>
      </c>
      <c r="AS147"/>
      <c r="AT147"/>
      <c r="AU147"/>
      <c r="AV147" t="s">
        <v>47</v>
      </c>
      <c r="AW147" t="s">
        <v>142</v>
      </c>
      <c r="AX147">
        <v>6</v>
      </c>
      <c r="AY147">
        <v>6</v>
      </c>
      <c r="AZ147"/>
      <c r="BA147"/>
      <c r="BB147"/>
      <c r="BC147">
        <v>0</v>
      </c>
      <c r="BD147">
        <v>0</v>
      </c>
      <c r="BE147" t="s">
        <v>47</v>
      </c>
      <c r="BF147"/>
      <c r="BG147"/>
      <c r="BH147"/>
      <c r="BI147">
        <v>0</v>
      </c>
      <c r="BJ147">
        <v>0</v>
      </c>
      <c r="BK147"/>
      <c r="BL147"/>
      <c r="BM147" t="s">
        <v>47</v>
      </c>
      <c r="BN147" t="s">
        <v>47</v>
      </c>
      <c r="BO147" t="s">
        <v>47</v>
      </c>
      <c r="BP147" t="s">
        <v>47</v>
      </c>
      <c r="BQ147" t="s">
        <v>47</v>
      </c>
      <c r="BR147"/>
      <c r="BS147" t="s">
        <v>47</v>
      </c>
      <c r="BT147" t="s">
        <v>47</v>
      </c>
      <c r="BU147" t="s">
        <v>47</v>
      </c>
      <c r="BV147"/>
      <c r="BW147" t="s">
        <v>47</v>
      </c>
      <c r="BX147" t="s">
        <v>47</v>
      </c>
      <c r="BY147" t="s">
        <v>47</v>
      </c>
      <c r="BZ147" t="s">
        <v>47</v>
      </c>
      <c r="CA147" t="s">
        <v>47</v>
      </c>
      <c r="CB147" t="s">
        <v>47</v>
      </c>
      <c r="CC147" t="s">
        <v>47</v>
      </c>
      <c r="CD147" t="s">
        <v>47</v>
      </c>
      <c r="CE147" t="s">
        <v>47</v>
      </c>
      <c r="CF147" t="s">
        <v>47</v>
      </c>
      <c r="CG147" t="s">
        <v>47</v>
      </c>
      <c r="CH147" t="s">
        <v>47</v>
      </c>
      <c r="CI147" t="s">
        <v>47</v>
      </c>
      <c r="CJ147" t="s">
        <v>47</v>
      </c>
      <c r="CK147"/>
    </row>
    <row r="148" spans="1:89" s="7" customFormat="1" x14ac:dyDescent="0.25">
      <c r="A148" t="s">
        <v>1438</v>
      </c>
      <c r="B148" t="s">
        <v>1439</v>
      </c>
      <c r="C148" t="s">
        <v>1458</v>
      </c>
      <c r="D148" t="s">
        <v>1856</v>
      </c>
      <c r="E148">
        <v>617</v>
      </c>
      <c r="F148" t="s">
        <v>1059</v>
      </c>
      <c r="G148">
        <v>745</v>
      </c>
      <c r="H148" s="9">
        <v>2.5</v>
      </c>
      <c r="I148" t="s">
        <v>1059</v>
      </c>
      <c r="J148" t="s">
        <v>1059</v>
      </c>
      <c r="K148" t="s">
        <v>2064</v>
      </c>
      <c r="L148" t="s">
        <v>2059</v>
      </c>
      <c r="M148" s="10" t="str">
        <f>HYPERLINK(cna_product_database_catalog_website[[#This Row],[Spec Sheet Link]], cna_product_database_catalog_website[[#Headers],[Spec Sheet Link]])</f>
        <v>Spec Sheet Link</v>
      </c>
      <c r="N148" t="s">
        <v>46</v>
      </c>
      <c r="O148">
        <v>1</v>
      </c>
      <c r="P148">
        <v>1</v>
      </c>
      <c r="Q148" t="s">
        <v>312</v>
      </c>
      <c r="R148" t="s">
        <v>982</v>
      </c>
      <c r="S148" t="s">
        <v>47</v>
      </c>
      <c r="T148" t="s">
        <v>47</v>
      </c>
      <c r="U148" t="s">
        <v>47</v>
      </c>
      <c r="V148" t="s">
        <v>47</v>
      </c>
      <c r="W148" t="s">
        <v>47</v>
      </c>
      <c r="X148" t="s">
        <v>47</v>
      </c>
      <c r="Y148" t="s">
        <v>47</v>
      </c>
      <c r="Z148" t="s">
        <v>47</v>
      </c>
      <c r="AA148" t="s">
        <v>47</v>
      </c>
      <c r="AB148" t="s">
        <v>47</v>
      </c>
      <c r="AC148" t="s">
        <v>220</v>
      </c>
      <c r="AD148" t="s">
        <v>987</v>
      </c>
      <c r="AE148"/>
      <c r="AF148" t="s">
        <v>47</v>
      </c>
      <c r="AG148" t="s">
        <v>995</v>
      </c>
      <c r="AH148" t="s">
        <v>996</v>
      </c>
      <c r="AI148" t="s">
        <v>47</v>
      </c>
      <c r="AJ148" t="s">
        <v>999</v>
      </c>
      <c r="AK148" t="s">
        <v>992</v>
      </c>
      <c r="AL148" t="s">
        <v>47</v>
      </c>
      <c r="AM148" t="s">
        <v>997</v>
      </c>
      <c r="AN148" t="s">
        <v>998</v>
      </c>
      <c r="AO148" t="s">
        <v>47</v>
      </c>
      <c r="AP148" t="s">
        <v>47</v>
      </c>
      <c r="AQ148" t="s">
        <v>47</v>
      </c>
      <c r="AR148">
        <v>2440</v>
      </c>
      <c r="AS148"/>
      <c r="AT148"/>
      <c r="AU148"/>
      <c r="AV148" t="s">
        <v>47</v>
      </c>
      <c r="AW148" t="s">
        <v>142</v>
      </c>
      <c r="AX148">
        <v>8</v>
      </c>
      <c r="AY148">
        <v>8</v>
      </c>
      <c r="AZ148"/>
      <c r="BA148"/>
      <c r="BB148"/>
      <c r="BC148">
        <v>0</v>
      </c>
      <c r="BD148">
        <v>0</v>
      </c>
      <c r="BE148" t="s">
        <v>47</v>
      </c>
      <c r="BF148"/>
      <c r="BG148"/>
      <c r="BH148"/>
      <c r="BI148">
        <v>0</v>
      </c>
      <c r="BJ148">
        <v>0</v>
      </c>
      <c r="BK148"/>
      <c r="BL148"/>
      <c r="BM148" t="s">
        <v>47</v>
      </c>
      <c r="BN148" t="s">
        <v>47</v>
      </c>
      <c r="BO148" t="s">
        <v>47</v>
      </c>
      <c r="BP148" t="s">
        <v>47</v>
      </c>
      <c r="BQ148" t="s">
        <v>47</v>
      </c>
      <c r="BR148"/>
      <c r="BS148" t="s">
        <v>47</v>
      </c>
      <c r="BT148" t="s">
        <v>47</v>
      </c>
      <c r="BU148" t="s">
        <v>47</v>
      </c>
      <c r="BV148"/>
      <c r="BW148" t="s">
        <v>47</v>
      </c>
      <c r="BX148" t="s">
        <v>47</v>
      </c>
      <c r="BY148" t="s">
        <v>47</v>
      </c>
      <c r="BZ148" t="s">
        <v>47</v>
      </c>
      <c r="CA148" t="s">
        <v>47</v>
      </c>
      <c r="CB148" t="s">
        <v>47</v>
      </c>
      <c r="CC148" t="s">
        <v>47</v>
      </c>
      <c r="CD148" t="s">
        <v>47</v>
      </c>
      <c r="CE148" t="s">
        <v>47</v>
      </c>
      <c r="CF148" t="s">
        <v>47</v>
      </c>
      <c r="CG148" t="s">
        <v>47</v>
      </c>
      <c r="CH148" t="s">
        <v>47</v>
      </c>
      <c r="CI148" t="s">
        <v>47</v>
      </c>
      <c r="CJ148" t="s">
        <v>47</v>
      </c>
      <c r="CK148"/>
    </row>
    <row r="149" spans="1:89" s="7" customFormat="1" x14ac:dyDescent="0.25">
      <c r="A149" t="s">
        <v>1438</v>
      </c>
      <c r="B149" t="s">
        <v>1439</v>
      </c>
      <c r="C149" t="s">
        <v>1462</v>
      </c>
      <c r="D149" t="s">
        <v>1857</v>
      </c>
      <c r="E149">
        <v>620</v>
      </c>
      <c r="F149" t="s">
        <v>274</v>
      </c>
      <c r="G149">
        <v>902</v>
      </c>
      <c r="H149" s="9">
        <v>12</v>
      </c>
      <c r="I149" t="s">
        <v>274</v>
      </c>
      <c r="J149" t="s">
        <v>793</v>
      </c>
      <c r="K149" t="s">
        <v>2065</v>
      </c>
      <c r="L149" t="s">
        <v>2066</v>
      </c>
      <c r="M149" s="10" t="str">
        <f>HYPERLINK(cna_product_database_catalog_website[[#This Row],[Spec Sheet Link]], cna_product_database_catalog_website[[#Headers],[Spec Sheet Link]])</f>
        <v>Spec Sheet Link</v>
      </c>
      <c r="N149" t="s">
        <v>46</v>
      </c>
      <c r="O149">
        <v>1</v>
      </c>
      <c r="P149">
        <v>1</v>
      </c>
      <c r="Q149" t="s">
        <v>314</v>
      </c>
      <c r="R149" t="s">
        <v>982</v>
      </c>
      <c r="S149" t="s">
        <v>47</v>
      </c>
      <c r="T149" t="s">
        <v>47</v>
      </c>
      <c r="U149" t="s">
        <v>47</v>
      </c>
      <c r="V149" t="s">
        <v>47</v>
      </c>
      <c r="W149" t="s">
        <v>47</v>
      </c>
      <c r="X149" t="s">
        <v>47</v>
      </c>
      <c r="Y149" t="s">
        <v>47</v>
      </c>
      <c r="Z149" t="s">
        <v>47</v>
      </c>
      <c r="AA149" t="s">
        <v>47</v>
      </c>
      <c r="AB149" t="s">
        <v>47</v>
      </c>
      <c r="AC149" t="s">
        <v>220</v>
      </c>
      <c r="AD149" t="s">
        <v>987</v>
      </c>
      <c r="AE149"/>
      <c r="AF149" t="s">
        <v>47</v>
      </c>
      <c r="AG149" t="s">
        <v>1000</v>
      </c>
      <c r="AH149" t="s">
        <v>1001</v>
      </c>
      <c r="AI149" t="s">
        <v>47</v>
      </c>
      <c r="AJ149" t="s">
        <v>1004</v>
      </c>
      <c r="AK149" t="s">
        <v>1005</v>
      </c>
      <c r="AL149" t="s">
        <v>47</v>
      </c>
      <c r="AM149" t="s">
        <v>1002</v>
      </c>
      <c r="AN149" t="s">
        <v>1003</v>
      </c>
      <c r="AO149"/>
      <c r="AP149" t="s">
        <v>47</v>
      </c>
      <c r="AQ149" t="s">
        <v>47</v>
      </c>
      <c r="AR149">
        <v>4243</v>
      </c>
      <c r="AS149"/>
      <c r="AT149"/>
      <c r="AU149"/>
      <c r="AV149" t="s">
        <v>47</v>
      </c>
      <c r="AW149" t="s">
        <v>142</v>
      </c>
      <c r="AX149">
        <v>4</v>
      </c>
      <c r="AY149">
        <v>4</v>
      </c>
      <c r="AZ149"/>
      <c r="BA149"/>
      <c r="BB149"/>
      <c r="BC149">
        <v>0</v>
      </c>
      <c r="BD149">
        <v>0</v>
      </c>
      <c r="BE149" t="s">
        <v>47</v>
      </c>
      <c r="BF149"/>
      <c r="BG149"/>
      <c r="BH149"/>
      <c r="BI149">
        <v>0</v>
      </c>
      <c r="BJ149">
        <v>0</v>
      </c>
      <c r="BK149"/>
      <c r="BL149"/>
      <c r="BM149" t="s">
        <v>47</v>
      </c>
      <c r="BN149" t="s">
        <v>47</v>
      </c>
      <c r="BO149" t="s">
        <v>47</v>
      </c>
      <c r="BP149" t="s">
        <v>47</v>
      </c>
      <c r="BQ149" t="s">
        <v>47</v>
      </c>
      <c r="BR149"/>
      <c r="BS149" t="s">
        <v>47</v>
      </c>
      <c r="BT149" t="s">
        <v>47</v>
      </c>
      <c r="BU149" t="s">
        <v>47</v>
      </c>
      <c r="BV149"/>
      <c r="BW149" t="s">
        <v>47</v>
      </c>
      <c r="BX149" t="s">
        <v>47</v>
      </c>
      <c r="BY149" t="s">
        <v>47</v>
      </c>
      <c r="BZ149" t="s">
        <v>47</v>
      </c>
      <c r="CA149" t="s">
        <v>47</v>
      </c>
      <c r="CB149" t="s">
        <v>47</v>
      </c>
      <c r="CC149" t="s">
        <v>47</v>
      </c>
      <c r="CD149" t="s">
        <v>47</v>
      </c>
      <c r="CE149" t="s">
        <v>47</v>
      </c>
      <c r="CF149" t="s">
        <v>47</v>
      </c>
      <c r="CG149" t="s">
        <v>47</v>
      </c>
      <c r="CH149" t="s">
        <v>47</v>
      </c>
      <c r="CI149" t="s">
        <v>47</v>
      </c>
      <c r="CJ149" t="s">
        <v>47</v>
      </c>
      <c r="CK149"/>
    </row>
    <row r="150" spans="1:89" s="7" customFormat="1" x14ac:dyDescent="0.25">
      <c r="A150" t="s">
        <v>1438</v>
      </c>
      <c r="B150" t="s">
        <v>1439</v>
      </c>
      <c r="C150" t="s">
        <v>1463</v>
      </c>
      <c r="D150" t="s">
        <v>1858</v>
      </c>
      <c r="E150">
        <v>621</v>
      </c>
      <c r="F150" t="s">
        <v>278</v>
      </c>
      <c r="G150">
        <v>905</v>
      </c>
      <c r="H150" s="9">
        <v>2</v>
      </c>
      <c r="I150" t="s">
        <v>278</v>
      </c>
      <c r="J150" t="s">
        <v>792</v>
      </c>
      <c r="K150" t="s">
        <v>2067</v>
      </c>
      <c r="L150" t="s">
        <v>2066</v>
      </c>
      <c r="M150" s="10" t="str">
        <f>HYPERLINK(cna_product_database_catalog_website[[#This Row],[Spec Sheet Link]], cna_product_database_catalog_website[[#Headers],[Spec Sheet Link]])</f>
        <v>Spec Sheet Link</v>
      </c>
      <c r="N150" t="s">
        <v>46</v>
      </c>
      <c r="O150">
        <v>1</v>
      </c>
      <c r="P150">
        <v>1</v>
      </c>
      <c r="Q150" t="s">
        <v>980</v>
      </c>
      <c r="R150" t="s">
        <v>983</v>
      </c>
      <c r="S150" t="s">
        <v>984</v>
      </c>
      <c r="T150" t="s">
        <v>985</v>
      </c>
      <c r="U150" t="s">
        <v>47</v>
      </c>
      <c r="V150" t="s">
        <v>47</v>
      </c>
      <c r="W150" t="s">
        <v>329</v>
      </c>
      <c r="X150" t="s">
        <v>47</v>
      </c>
      <c r="Y150" t="s">
        <v>47</v>
      </c>
      <c r="Z150" t="s">
        <v>47</v>
      </c>
      <c r="AA150" t="s">
        <v>47</v>
      </c>
      <c r="AB150" t="s">
        <v>47</v>
      </c>
      <c r="AC150" t="s">
        <v>220</v>
      </c>
      <c r="AD150" t="s">
        <v>987</v>
      </c>
      <c r="AE150"/>
      <c r="AF150" t="s">
        <v>47</v>
      </c>
      <c r="AG150" t="s">
        <v>47</v>
      </c>
      <c r="AH150" t="s">
        <v>47</v>
      </c>
      <c r="AI150" t="s">
        <v>47</v>
      </c>
      <c r="AJ150"/>
      <c r="AK150"/>
      <c r="AL150" t="s">
        <v>47</v>
      </c>
      <c r="AM150" t="s">
        <v>997</v>
      </c>
      <c r="AN150" t="s">
        <v>998</v>
      </c>
      <c r="AO150" t="s">
        <v>76</v>
      </c>
      <c r="AP150" t="s">
        <v>128</v>
      </c>
      <c r="AQ150" t="s">
        <v>47</v>
      </c>
      <c r="AR150">
        <v>275</v>
      </c>
      <c r="AS150"/>
      <c r="AT150"/>
      <c r="AU150"/>
      <c r="AV150" t="s">
        <v>47</v>
      </c>
      <c r="AW150" t="s">
        <v>142</v>
      </c>
      <c r="AX150">
        <v>24</v>
      </c>
      <c r="AY150">
        <v>24</v>
      </c>
      <c r="AZ150"/>
      <c r="BA150"/>
      <c r="BB150"/>
      <c r="BC150">
        <v>0</v>
      </c>
      <c r="BD150">
        <v>0</v>
      </c>
      <c r="BE150" t="s">
        <v>47</v>
      </c>
      <c r="BF150"/>
      <c r="BG150"/>
      <c r="BH150"/>
      <c r="BI150">
        <v>0</v>
      </c>
      <c r="BJ150">
        <v>0</v>
      </c>
      <c r="BK150"/>
      <c r="BL150"/>
      <c r="BM150" t="s">
        <v>47</v>
      </c>
      <c r="BN150" t="s">
        <v>47</v>
      </c>
      <c r="BO150" t="s">
        <v>47</v>
      </c>
      <c r="BP150" t="s">
        <v>47</v>
      </c>
      <c r="BQ150" t="s">
        <v>47</v>
      </c>
      <c r="BR150"/>
      <c r="BS150" t="s">
        <v>47</v>
      </c>
      <c r="BT150" t="s">
        <v>47</v>
      </c>
      <c r="BU150" t="s">
        <v>47</v>
      </c>
      <c r="BV150"/>
      <c r="BW150" t="s">
        <v>47</v>
      </c>
      <c r="BX150" t="s">
        <v>47</v>
      </c>
      <c r="BY150" t="s">
        <v>47</v>
      </c>
      <c r="BZ150" t="s">
        <v>47</v>
      </c>
      <c r="CA150" t="s">
        <v>47</v>
      </c>
      <c r="CB150" t="s">
        <v>47</v>
      </c>
      <c r="CC150" t="s">
        <v>47</v>
      </c>
      <c r="CD150" t="s">
        <v>47</v>
      </c>
      <c r="CE150" t="s">
        <v>47</v>
      </c>
      <c r="CF150" t="s">
        <v>47</v>
      </c>
      <c r="CG150" t="s">
        <v>47</v>
      </c>
      <c r="CH150" t="s">
        <v>47</v>
      </c>
      <c r="CI150" t="s">
        <v>47</v>
      </c>
      <c r="CJ150" t="s">
        <v>47</v>
      </c>
      <c r="CK150"/>
    </row>
    <row r="151" spans="1:89" s="7" customFormat="1" x14ac:dyDescent="0.25">
      <c r="A151" t="s">
        <v>1438</v>
      </c>
      <c r="B151" t="s">
        <v>1464</v>
      </c>
      <c r="C151" t="s">
        <v>1166</v>
      </c>
      <c r="D151" t="s">
        <v>1859</v>
      </c>
      <c r="E151">
        <v>625</v>
      </c>
      <c r="F151" t="s">
        <v>279</v>
      </c>
      <c r="G151">
        <v>904</v>
      </c>
      <c r="H151" s="9">
        <v>10</v>
      </c>
      <c r="I151" t="s">
        <v>279</v>
      </c>
      <c r="J151" t="s">
        <v>794</v>
      </c>
      <c r="K151" t="s">
        <v>2068</v>
      </c>
      <c r="L151" t="s">
        <v>2069</v>
      </c>
      <c r="M151" s="10" t="str">
        <f>HYPERLINK(cna_product_database_catalog_website[[#This Row],[Spec Sheet Link]], cna_product_database_catalog_website[[#Headers],[Spec Sheet Link]])</f>
        <v>Spec Sheet Link</v>
      </c>
      <c r="N151" t="s">
        <v>46</v>
      </c>
      <c r="O151">
        <v>1</v>
      </c>
      <c r="P151">
        <v>1</v>
      </c>
      <c r="Q151" t="s">
        <v>979</v>
      </c>
      <c r="R151" t="s">
        <v>983</v>
      </c>
      <c r="S151" t="s">
        <v>986</v>
      </c>
      <c r="T151" t="s">
        <v>985</v>
      </c>
      <c r="U151" t="s">
        <v>47</v>
      </c>
      <c r="V151" t="s">
        <v>47</v>
      </c>
      <c r="W151" t="s">
        <v>331</v>
      </c>
      <c r="X151" t="s">
        <v>47</v>
      </c>
      <c r="Y151" t="s">
        <v>47</v>
      </c>
      <c r="Z151" t="s">
        <v>47</v>
      </c>
      <c r="AA151" t="s">
        <v>47</v>
      </c>
      <c r="AB151" t="s">
        <v>47</v>
      </c>
      <c r="AC151" t="s">
        <v>220</v>
      </c>
      <c r="AD151" t="s">
        <v>987</v>
      </c>
      <c r="AE151"/>
      <c r="AF151" t="s">
        <v>47</v>
      </c>
      <c r="AG151" t="s">
        <v>47</v>
      </c>
      <c r="AH151" t="s">
        <v>47</v>
      </c>
      <c r="AI151" t="s">
        <v>47</v>
      </c>
      <c r="AJ151"/>
      <c r="AK151"/>
      <c r="AL151" t="s">
        <v>47</v>
      </c>
      <c r="AM151" t="s">
        <v>1007</v>
      </c>
      <c r="AN151" t="s">
        <v>1008</v>
      </c>
      <c r="AO151" t="s">
        <v>1006</v>
      </c>
      <c r="AP151" t="s">
        <v>128</v>
      </c>
      <c r="AQ151" t="s">
        <v>47</v>
      </c>
      <c r="AR151">
        <v>367</v>
      </c>
      <c r="AS151"/>
      <c r="AT151"/>
      <c r="AU151"/>
      <c r="AV151" t="s">
        <v>47</v>
      </c>
      <c r="AW151" t="s">
        <v>142</v>
      </c>
      <c r="AX151">
        <v>24</v>
      </c>
      <c r="AY151">
        <v>24</v>
      </c>
      <c r="AZ151"/>
      <c r="BA151"/>
      <c r="BB151"/>
      <c r="BC151">
        <v>0</v>
      </c>
      <c r="BD151">
        <v>0</v>
      </c>
      <c r="BE151" t="s">
        <v>47</v>
      </c>
      <c r="BF151"/>
      <c r="BG151"/>
      <c r="BH151"/>
      <c r="BI151">
        <v>0</v>
      </c>
      <c r="BJ151">
        <v>0</v>
      </c>
      <c r="BK151"/>
      <c r="BL151"/>
      <c r="BM151" t="s">
        <v>47</v>
      </c>
      <c r="BN151" t="s">
        <v>47</v>
      </c>
      <c r="BO151" t="s">
        <v>47</v>
      </c>
      <c r="BP151" t="s">
        <v>47</v>
      </c>
      <c r="BQ151" t="s">
        <v>47</v>
      </c>
      <c r="BR151"/>
      <c r="BS151" t="s">
        <v>47</v>
      </c>
      <c r="BT151" t="s">
        <v>47</v>
      </c>
      <c r="BU151" t="s">
        <v>47</v>
      </c>
      <c r="BV151"/>
      <c r="BW151" t="s">
        <v>47</v>
      </c>
      <c r="BX151" t="s">
        <v>47</v>
      </c>
      <c r="BY151" t="s">
        <v>47</v>
      </c>
      <c r="BZ151" t="s">
        <v>47</v>
      </c>
      <c r="CA151" t="s">
        <v>47</v>
      </c>
      <c r="CB151" t="s">
        <v>47</v>
      </c>
      <c r="CC151" t="s">
        <v>47</v>
      </c>
      <c r="CD151" t="s">
        <v>47</v>
      </c>
      <c r="CE151" t="s">
        <v>47</v>
      </c>
      <c r="CF151" t="s">
        <v>47</v>
      </c>
      <c r="CG151" t="s">
        <v>47</v>
      </c>
      <c r="CH151" t="s">
        <v>47</v>
      </c>
      <c r="CI151" t="s">
        <v>47</v>
      </c>
      <c r="CJ151" t="s">
        <v>47</v>
      </c>
      <c r="CK151"/>
    </row>
    <row r="152" spans="1:89" s="7" customFormat="1" x14ac:dyDescent="0.25">
      <c r="A152" t="s">
        <v>1438</v>
      </c>
      <c r="B152" t="s">
        <v>1440</v>
      </c>
      <c r="C152" t="s">
        <v>1443</v>
      </c>
      <c r="D152" t="s">
        <v>1860</v>
      </c>
      <c r="E152">
        <v>630</v>
      </c>
      <c r="F152" t="s">
        <v>622</v>
      </c>
      <c r="G152">
        <v>1091</v>
      </c>
      <c r="H152" s="9">
        <v>17.899999999999999</v>
      </c>
      <c r="I152" t="s">
        <v>622</v>
      </c>
      <c r="J152" t="s">
        <v>782</v>
      </c>
      <c r="K152" t="s">
        <v>2070</v>
      </c>
      <c r="L152" t="s">
        <v>2071</v>
      </c>
      <c r="M152" s="10" t="str">
        <f>HYPERLINK(cna_product_database_catalog_website[[#This Row],[Spec Sheet Link]], cna_product_database_catalog_website[[#Headers],[Spec Sheet Link]])</f>
        <v>Spec Sheet Link</v>
      </c>
      <c r="N152" t="s">
        <v>46</v>
      </c>
      <c r="O152">
        <v>1</v>
      </c>
      <c r="P152">
        <v>1</v>
      </c>
      <c r="Q152" t="s">
        <v>334</v>
      </c>
      <c r="R152" t="s">
        <v>50</v>
      </c>
      <c r="S152" t="s">
        <v>212</v>
      </c>
      <c r="T152" t="s">
        <v>47</v>
      </c>
      <c r="U152" t="s">
        <v>335</v>
      </c>
      <c r="V152" t="s">
        <v>47</v>
      </c>
      <c r="W152" t="s">
        <v>115</v>
      </c>
      <c r="X152" t="s">
        <v>336</v>
      </c>
      <c r="Y152" t="s">
        <v>47</v>
      </c>
      <c r="Z152" t="s">
        <v>47</v>
      </c>
      <c r="AA152" t="s">
        <v>47</v>
      </c>
      <c r="AB152" t="s">
        <v>47</v>
      </c>
      <c r="AC152" t="s">
        <v>47</v>
      </c>
      <c r="AD152" t="s">
        <v>47</v>
      </c>
      <c r="AE152"/>
      <c r="AF152" t="s">
        <v>47</v>
      </c>
      <c r="AG152" t="s">
        <v>47</v>
      </c>
      <c r="AH152" t="s">
        <v>47</v>
      </c>
      <c r="AI152" t="s">
        <v>47</v>
      </c>
      <c r="AJ152"/>
      <c r="AK152"/>
      <c r="AL152" t="s">
        <v>47</v>
      </c>
      <c r="AM152"/>
      <c r="AN152"/>
      <c r="AO152" t="s">
        <v>47</v>
      </c>
      <c r="AP152" t="s">
        <v>47</v>
      </c>
      <c r="AQ152" t="s">
        <v>47</v>
      </c>
      <c r="AR152"/>
      <c r="AS152"/>
      <c r="AT152"/>
      <c r="AU152"/>
      <c r="AV152" t="s">
        <v>47</v>
      </c>
      <c r="AW152" t="s">
        <v>47</v>
      </c>
      <c r="AX152" t="s">
        <v>47</v>
      </c>
      <c r="AY152" t="s">
        <v>47</v>
      </c>
      <c r="AZ152"/>
      <c r="BA152"/>
      <c r="BB152"/>
      <c r="BC152">
        <v>0</v>
      </c>
      <c r="BD152">
        <v>0</v>
      </c>
      <c r="BE152" t="s">
        <v>47</v>
      </c>
      <c r="BF152"/>
      <c r="BG152"/>
      <c r="BH152"/>
      <c r="BI152">
        <v>0</v>
      </c>
      <c r="BJ152">
        <v>0</v>
      </c>
      <c r="BK152"/>
      <c r="BL152"/>
      <c r="BM152" t="s">
        <v>47</v>
      </c>
      <c r="BN152" t="s">
        <v>47</v>
      </c>
      <c r="BO152" t="s">
        <v>47</v>
      </c>
      <c r="BP152" t="s">
        <v>47</v>
      </c>
      <c r="BQ152" t="s">
        <v>47</v>
      </c>
      <c r="BR152"/>
      <c r="BS152" t="s">
        <v>47</v>
      </c>
      <c r="BT152" t="s">
        <v>47</v>
      </c>
      <c r="BU152" t="s">
        <v>47</v>
      </c>
      <c r="BV152"/>
      <c r="BW152" t="s">
        <v>47</v>
      </c>
      <c r="BX152" t="s">
        <v>47</v>
      </c>
      <c r="BY152" t="s">
        <v>47</v>
      </c>
      <c r="BZ152" t="s">
        <v>47</v>
      </c>
      <c r="CA152" t="s">
        <v>47</v>
      </c>
      <c r="CB152" t="s">
        <v>47</v>
      </c>
      <c r="CC152" t="s">
        <v>47</v>
      </c>
      <c r="CD152" t="s">
        <v>47</v>
      </c>
      <c r="CE152" t="s">
        <v>47</v>
      </c>
      <c r="CF152" t="s">
        <v>47</v>
      </c>
      <c r="CG152" t="s">
        <v>47</v>
      </c>
      <c r="CH152" t="s">
        <v>47</v>
      </c>
      <c r="CI152" t="s">
        <v>47</v>
      </c>
      <c r="CJ152" t="s">
        <v>47</v>
      </c>
      <c r="CK152"/>
    </row>
    <row r="153" spans="1:89" s="7" customFormat="1" x14ac:dyDescent="0.25">
      <c r="A153" t="s">
        <v>1438</v>
      </c>
      <c r="B153" t="s">
        <v>1440</v>
      </c>
      <c r="C153" t="s">
        <v>1442</v>
      </c>
      <c r="D153" t="s">
        <v>1861</v>
      </c>
      <c r="E153">
        <v>631</v>
      </c>
      <c r="F153" t="s">
        <v>623</v>
      </c>
      <c r="G153">
        <v>1092</v>
      </c>
      <c r="H153" s="9">
        <v>21.9</v>
      </c>
      <c r="I153" t="s">
        <v>623</v>
      </c>
      <c r="J153" t="s">
        <v>783</v>
      </c>
      <c r="K153" t="s">
        <v>2070</v>
      </c>
      <c r="L153" t="s">
        <v>2071</v>
      </c>
      <c r="M153" s="10" t="str">
        <f>HYPERLINK(cna_product_database_catalog_website[[#This Row],[Spec Sheet Link]], cna_product_database_catalog_website[[#Headers],[Spec Sheet Link]])</f>
        <v>Spec Sheet Link</v>
      </c>
      <c r="N153" t="s">
        <v>46</v>
      </c>
      <c r="O153">
        <v>1</v>
      </c>
      <c r="P153">
        <v>1</v>
      </c>
      <c r="Q153" t="s">
        <v>338</v>
      </c>
      <c r="R153" t="s">
        <v>50</v>
      </c>
      <c r="S153" t="s">
        <v>339</v>
      </c>
      <c r="T153" t="s">
        <v>47</v>
      </c>
      <c r="U153" t="s">
        <v>335</v>
      </c>
      <c r="V153" t="s">
        <v>47</v>
      </c>
      <c r="W153" t="s">
        <v>115</v>
      </c>
      <c r="X153" t="s">
        <v>336</v>
      </c>
      <c r="Y153" t="s">
        <v>47</v>
      </c>
      <c r="Z153" t="s">
        <v>47</v>
      </c>
      <c r="AA153" t="s">
        <v>47</v>
      </c>
      <c r="AB153" t="s">
        <v>47</v>
      </c>
      <c r="AC153" t="s">
        <v>47</v>
      </c>
      <c r="AD153" t="s">
        <v>47</v>
      </c>
      <c r="AE153"/>
      <c r="AF153" t="s">
        <v>47</v>
      </c>
      <c r="AG153" t="s">
        <v>47</v>
      </c>
      <c r="AH153" t="s">
        <v>47</v>
      </c>
      <c r="AI153" t="s">
        <v>47</v>
      </c>
      <c r="AJ153"/>
      <c r="AK153"/>
      <c r="AL153" t="s">
        <v>47</v>
      </c>
      <c r="AM153"/>
      <c r="AN153"/>
      <c r="AO153" t="s">
        <v>47</v>
      </c>
      <c r="AP153" t="s">
        <v>47</v>
      </c>
      <c r="AQ153" t="s">
        <v>47</v>
      </c>
      <c r="AR153"/>
      <c r="AS153"/>
      <c r="AT153"/>
      <c r="AU153"/>
      <c r="AV153" t="s">
        <v>47</v>
      </c>
      <c r="AW153" t="s">
        <v>47</v>
      </c>
      <c r="AX153" t="s">
        <v>47</v>
      </c>
      <c r="AY153" t="s">
        <v>47</v>
      </c>
      <c r="AZ153"/>
      <c r="BA153"/>
      <c r="BB153"/>
      <c r="BC153">
        <v>0</v>
      </c>
      <c r="BD153">
        <v>0</v>
      </c>
      <c r="BE153" t="s">
        <v>47</v>
      </c>
      <c r="BF153"/>
      <c r="BG153"/>
      <c r="BH153"/>
      <c r="BI153">
        <v>0</v>
      </c>
      <c r="BJ153">
        <v>0</v>
      </c>
      <c r="BK153"/>
      <c r="BL153"/>
      <c r="BM153" t="s">
        <v>47</v>
      </c>
      <c r="BN153" t="s">
        <v>47</v>
      </c>
      <c r="BO153" t="s">
        <v>47</v>
      </c>
      <c r="BP153" t="s">
        <v>47</v>
      </c>
      <c r="BQ153" t="s">
        <v>47</v>
      </c>
      <c r="BR153"/>
      <c r="BS153" t="s">
        <v>47</v>
      </c>
      <c r="BT153" t="s">
        <v>47</v>
      </c>
      <c r="BU153" t="s">
        <v>47</v>
      </c>
      <c r="BV153"/>
      <c r="BW153" t="s">
        <v>47</v>
      </c>
      <c r="BX153" t="s">
        <v>47</v>
      </c>
      <c r="BY153" t="s">
        <v>47</v>
      </c>
      <c r="BZ153" t="s">
        <v>47</v>
      </c>
      <c r="CA153" t="s">
        <v>47</v>
      </c>
      <c r="CB153" t="s">
        <v>47</v>
      </c>
      <c r="CC153" t="s">
        <v>47</v>
      </c>
      <c r="CD153" t="s">
        <v>47</v>
      </c>
      <c r="CE153" t="s">
        <v>47</v>
      </c>
      <c r="CF153" t="s">
        <v>47</v>
      </c>
      <c r="CG153" t="s">
        <v>47</v>
      </c>
      <c r="CH153" t="s">
        <v>47</v>
      </c>
      <c r="CI153" t="s">
        <v>47</v>
      </c>
      <c r="CJ153" t="s">
        <v>47</v>
      </c>
      <c r="CK153"/>
    </row>
    <row r="154" spans="1:89" s="7" customFormat="1" x14ac:dyDescent="0.25">
      <c r="A154" t="s">
        <v>1438</v>
      </c>
      <c r="B154" t="s">
        <v>1440</v>
      </c>
      <c r="C154" t="s">
        <v>1441</v>
      </c>
      <c r="D154" t="s">
        <v>1862</v>
      </c>
      <c r="E154">
        <v>632</v>
      </c>
      <c r="F154" t="s">
        <v>976</v>
      </c>
      <c r="G154">
        <v>1093</v>
      </c>
      <c r="H154" s="9">
        <v>27.9</v>
      </c>
      <c r="I154" t="s">
        <v>976</v>
      </c>
      <c r="J154" t="s">
        <v>977</v>
      </c>
      <c r="K154" t="s">
        <v>2070</v>
      </c>
      <c r="L154" t="s">
        <v>2071</v>
      </c>
      <c r="M154" s="10" t="str">
        <f>HYPERLINK(cna_product_database_catalog_website[[#This Row],[Spec Sheet Link]], cna_product_database_catalog_website[[#Headers],[Spec Sheet Link]])</f>
        <v>Spec Sheet Link</v>
      </c>
      <c r="N154" t="s">
        <v>46</v>
      </c>
      <c r="O154">
        <v>1</v>
      </c>
      <c r="P154">
        <v>1</v>
      </c>
      <c r="Q154" t="s">
        <v>305</v>
      </c>
      <c r="R154" t="s">
        <v>50</v>
      </c>
      <c r="S154" t="s">
        <v>58</v>
      </c>
      <c r="T154" t="s">
        <v>47</v>
      </c>
      <c r="U154" t="s">
        <v>341</v>
      </c>
      <c r="V154" t="s">
        <v>47</v>
      </c>
      <c r="W154" t="s">
        <v>112</v>
      </c>
      <c r="X154" t="s">
        <v>336</v>
      </c>
      <c r="Y154" t="s">
        <v>47</v>
      </c>
      <c r="Z154" t="s">
        <v>47</v>
      </c>
      <c r="AA154" t="s">
        <v>47</v>
      </c>
      <c r="AB154" t="s">
        <v>47</v>
      </c>
      <c r="AC154" t="s">
        <v>47</v>
      </c>
      <c r="AD154" t="s">
        <v>47</v>
      </c>
      <c r="AE154"/>
      <c r="AF154" t="s">
        <v>47</v>
      </c>
      <c r="AG154" t="s">
        <v>47</v>
      </c>
      <c r="AH154" t="s">
        <v>47</v>
      </c>
      <c r="AI154" t="s">
        <v>47</v>
      </c>
      <c r="AJ154"/>
      <c r="AK154"/>
      <c r="AL154" t="s">
        <v>47</v>
      </c>
      <c r="AM154"/>
      <c r="AN154"/>
      <c r="AO154" t="s">
        <v>47</v>
      </c>
      <c r="AP154" t="s">
        <v>47</v>
      </c>
      <c r="AQ154" t="s">
        <v>47</v>
      </c>
      <c r="AR154"/>
      <c r="AS154"/>
      <c r="AT154"/>
      <c r="AU154"/>
      <c r="AV154" t="s">
        <v>47</v>
      </c>
      <c r="AW154" t="s">
        <v>47</v>
      </c>
      <c r="AX154" t="s">
        <v>47</v>
      </c>
      <c r="AY154" t="s">
        <v>47</v>
      </c>
      <c r="AZ154"/>
      <c r="BA154"/>
      <c r="BB154"/>
      <c r="BC154">
        <v>0</v>
      </c>
      <c r="BD154">
        <v>0</v>
      </c>
      <c r="BE154" t="s">
        <v>47</v>
      </c>
      <c r="BF154"/>
      <c r="BG154"/>
      <c r="BH154"/>
      <c r="BI154">
        <v>0</v>
      </c>
      <c r="BJ154">
        <v>0</v>
      </c>
      <c r="BK154"/>
      <c r="BL154"/>
      <c r="BM154" t="s">
        <v>47</v>
      </c>
      <c r="BN154" t="s">
        <v>47</v>
      </c>
      <c r="BO154" t="s">
        <v>47</v>
      </c>
      <c r="BP154" t="s">
        <v>47</v>
      </c>
      <c r="BQ154" t="s">
        <v>47</v>
      </c>
      <c r="BR154"/>
      <c r="BS154" t="s">
        <v>47</v>
      </c>
      <c r="BT154" t="s">
        <v>47</v>
      </c>
      <c r="BU154" t="s">
        <v>47</v>
      </c>
      <c r="BV154"/>
      <c r="BW154" t="s">
        <v>47</v>
      </c>
      <c r="BX154" t="s">
        <v>47</v>
      </c>
      <c r="BY154" t="s">
        <v>47</v>
      </c>
      <c r="BZ154" t="s">
        <v>47</v>
      </c>
      <c r="CA154" t="s">
        <v>47</v>
      </c>
      <c r="CB154" t="s">
        <v>47</v>
      </c>
      <c r="CC154" t="s">
        <v>47</v>
      </c>
      <c r="CD154" t="s">
        <v>47</v>
      </c>
      <c r="CE154" t="s">
        <v>47</v>
      </c>
      <c r="CF154" t="s">
        <v>47</v>
      </c>
      <c r="CG154" t="s">
        <v>47</v>
      </c>
      <c r="CH154" t="s">
        <v>47</v>
      </c>
      <c r="CI154" t="s">
        <v>47</v>
      </c>
      <c r="CJ154" t="s">
        <v>47</v>
      </c>
      <c r="CK154"/>
    </row>
    <row r="155" spans="1:89" s="7" customFormat="1" x14ac:dyDescent="0.25">
      <c r="A155" t="s">
        <v>1438</v>
      </c>
      <c r="B155" t="s">
        <v>1440</v>
      </c>
      <c r="C155" t="s">
        <v>1455</v>
      </c>
      <c r="D155" t="s">
        <v>1863</v>
      </c>
      <c r="E155">
        <v>633</v>
      </c>
      <c r="F155" t="s">
        <v>624</v>
      </c>
      <c r="G155">
        <v>1094</v>
      </c>
      <c r="H155" s="9">
        <v>33.9</v>
      </c>
      <c r="I155" t="s">
        <v>624</v>
      </c>
      <c r="J155" t="s">
        <v>784</v>
      </c>
      <c r="K155" t="s">
        <v>2070</v>
      </c>
      <c r="L155" t="s">
        <v>2071</v>
      </c>
      <c r="M155" s="10" t="str">
        <f>HYPERLINK(cna_product_database_catalog_website[[#This Row],[Spec Sheet Link]], cna_product_database_catalog_website[[#Headers],[Spec Sheet Link]])</f>
        <v>Spec Sheet Link</v>
      </c>
      <c r="N155" t="s">
        <v>46</v>
      </c>
      <c r="O155">
        <v>1</v>
      </c>
      <c r="P155">
        <v>1</v>
      </c>
      <c r="Q155" t="s">
        <v>343</v>
      </c>
      <c r="R155" t="s">
        <v>50</v>
      </c>
      <c r="S155" t="s">
        <v>85</v>
      </c>
      <c r="T155" t="s">
        <v>47</v>
      </c>
      <c r="U155" t="s">
        <v>341</v>
      </c>
      <c r="V155" t="s">
        <v>47</v>
      </c>
      <c r="W155" t="s">
        <v>112</v>
      </c>
      <c r="X155" t="s">
        <v>336</v>
      </c>
      <c r="Y155" t="s">
        <v>47</v>
      </c>
      <c r="Z155" t="s">
        <v>47</v>
      </c>
      <c r="AA155" t="s">
        <v>47</v>
      </c>
      <c r="AB155" t="s">
        <v>47</v>
      </c>
      <c r="AC155" t="s">
        <v>47</v>
      </c>
      <c r="AD155" t="s">
        <v>47</v>
      </c>
      <c r="AE155"/>
      <c r="AF155" t="s">
        <v>47</v>
      </c>
      <c r="AG155" t="s">
        <v>47</v>
      </c>
      <c r="AH155" t="s">
        <v>47</v>
      </c>
      <c r="AI155" t="s">
        <v>47</v>
      </c>
      <c r="AJ155"/>
      <c r="AK155"/>
      <c r="AL155" t="s">
        <v>47</v>
      </c>
      <c r="AM155"/>
      <c r="AN155"/>
      <c r="AO155" t="s">
        <v>47</v>
      </c>
      <c r="AP155" t="s">
        <v>47</v>
      </c>
      <c r="AQ155" t="s">
        <v>47</v>
      </c>
      <c r="AR155"/>
      <c r="AS155"/>
      <c r="AT155"/>
      <c r="AU155"/>
      <c r="AV155" t="s">
        <v>47</v>
      </c>
      <c r="AW155" t="s">
        <v>47</v>
      </c>
      <c r="AX155" t="s">
        <v>47</v>
      </c>
      <c r="AY155" t="s">
        <v>47</v>
      </c>
      <c r="AZ155"/>
      <c r="BA155"/>
      <c r="BB155"/>
      <c r="BC155">
        <v>0</v>
      </c>
      <c r="BD155">
        <v>0</v>
      </c>
      <c r="BE155" t="s">
        <v>47</v>
      </c>
      <c r="BF155"/>
      <c r="BG155"/>
      <c r="BH155"/>
      <c r="BI155">
        <v>0</v>
      </c>
      <c r="BJ155">
        <v>0</v>
      </c>
      <c r="BK155"/>
      <c r="BL155"/>
      <c r="BM155" t="s">
        <v>47</v>
      </c>
      <c r="BN155" t="s">
        <v>47</v>
      </c>
      <c r="BO155" t="s">
        <v>47</v>
      </c>
      <c r="BP155" t="s">
        <v>47</v>
      </c>
      <c r="BQ155" t="s">
        <v>47</v>
      </c>
      <c r="BR155"/>
      <c r="BS155" t="s">
        <v>47</v>
      </c>
      <c r="BT155" t="s">
        <v>47</v>
      </c>
      <c r="BU155" t="s">
        <v>47</v>
      </c>
      <c r="BV155"/>
      <c r="BW155" t="s">
        <v>47</v>
      </c>
      <c r="BX155" t="s">
        <v>47</v>
      </c>
      <c r="BY155" t="s">
        <v>47</v>
      </c>
      <c r="BZ155" t="s">
        <v>47</v>
      </c>
      <c r="CA155" t="s">
        <v>47</v>
      </c>
      <c r="CB155" t="s">
        <v>47</v>
      </c>
      <c r="CC155" t="s">
        <v>47</v>
      </c>
      <c r="CD155" t="s">
        <v>47</v>
      </c>
      <c r="CE155" t="s">
        <v>47</v>
      </c>
      <c r="CF155" t="s">
        <v>47</v>
      </c>
      <c r="CG155" t="s">
        <v>47</v>
      </c>
      <c r="CH155" t="s">
        <v>47</v>
      </c>
      <c r="CI155" t="s">
        <v>47</v>
      </c>
      <c r="CJ155" t="s">
        <v>47</v>
      </c>
      <c r="CK155"/>
    </row>
    <row r="156" spans="1:89" s="7" customFormat="1" x14ac:dyDescent="0.25">
      <c r="A156" t="s">
        <v>1438</v>
      </c>
      <c r="B156" t="s">
        <v>1440</v>
      </c>
      <c r="C156" t="s">
        <v>1454</v>
      </c>
      <c r="D156" t="s">
        <v>1864</v>
      </c>
      <c r="E156">
        <v>635</v>
      </c>
      <c r="F156" t="s">
        <v>258</v>
      </c>
      <c r="G156">
        <v>1095</v>
      </c>
      <c r="H156" s="9">
        <v>7</v>
      </c>
      <c r="I156" t="s">
        <v>258</v>
      </c>
      <c r="J156" t="s">
        <v>787</v>
      </c>
      <c r="K156" t="s">
        <v>2072</v>
      </c>
      <c r="L156" t="s">
        <v>2071</v>
      </c>
      <c r="M156" s="10" t="str">
        <f>HYPERLINK(cna_product_database_catalog_website[[#This Row],[Spec Sheet Link]], cna_product_database_catalog_website[[#Headers],[Spec Sheet Link]])</f>
        <v>Spec Sheet Link</v>
      </c>
      <c r="N156" t="s">
        <v>46</v>
      </c>
      <c r="O156">
        <v>1</v>
      </c>
      <c r="P156">
        <v>1</v>
      </c>
      <c r="Q156" t="s">
        <v>343</v>
      </c>
      <c r="R156" t="s">
        <v>50</v>
      </c>
      <c r="S156" t="s">
        <v>85</v>
      </c>
      <c r="T156" t="s">
        <v>47</v>
      </c>
      <c r="U156" t="s">
        <v>341</v>
      </c>
      <c r="V156" t="s">
        <v>47</v>
      </c>
      <c r="W156" t="s">
        <v>345</v>
      </c>
      <c r="X156" t="s">
        <v>336</v>
      </c>
      <c r="Y156" t="s">
        <v>47</v>
      </c>
      <c r="Z156" t="s">
        <v>47</v>
      </c>
      <c r="AA156" t="s">
        <v>47</v>
      </c>
      <c r="AB156" t="s">
        <v>47</v>
      </c>
      <c r="AC156" t="s">
        <v>47</v>
      </c>
      <c r="AD156" t="s">
        <v>47</v>
      </c>
      <c r="AE156"/>
      <c r="AF156" t="s">
        <v>47</v>
      </c>
      <c r="AG156" t="s">
        <v>47</v>
      </c>
      <c r="AH156" t="s">
        <v>47</v>
      </c>
      <c r="AI156" t="s">
        <v>47</v>
      </c>
      <c r="AJ156"/>
      <c r="AK156"/>
      <c r="AL156" t="s">
        <v>47</v>
      </c>
      <c r="AM156"/>
      <c r="AN156"/>
      <c r="AO156" t="s">
        <v>47</v>
      </c>
      <c r="AP156" t="s">
        <v>47</v>
      </c>
      <c r="AQ156" t="s">
        <v>47</v>
      </c>
      <c r="AR156"/>
      <c r="AS156"/>
      <c r="AT156"/>
      <c r="AU156"/>
      <c r="AV156" t="s">
        <v>47</v>
      </c>
      <c r="AW156" t="s">
        <v>47</v>
      </c>
      <c r="AX156">
        <v>50</v>
      </c>
      <c r="AY156">
        <v>50</v>
      </c>
      <c r="AZ156"/>
      <c r="BA156"/>
      <c r="BB156"/>
      <c r="BC156">
        <v>0</v>
      </c>
      <c r="BD156">
        <v>0</v>
      </c>
      <c r="BE156" t="s">
        <v>47</v>
      </c>
      <c r="BF156"/>
      <c r="BG156"/>
      <c r="BH156"/>
      <c r="BI156">
        <v>0</v>
      </c>
      <c r="BJ156">
        <v>0</v>
      </c>
      <c r="BK156"/>
      <c r="BL156"/>
      <c r="BM156" t="s">
        <v>47</v>
      </c>
      <c r="BN156" t="s">
        <v>47</v>
      </c>
      <c r="BO156" t="s">
        <v>47</v>
      </c>
      <c r="BP156" t="s">
        <v>47</v>
      </c>
      <c r="BQ156" t="s">
        <v>47</v>
      </c>
      <c r="BR156"/>
      <c r="BS156" t="s">
        <v>47</v>
      </c>
      <c r="BT156" t="s">
        <v>47</v>
      </c>
      <c r="BU156" t="s">
        <v>47</v>
      </c>
      <c r="BV156"/>
      <c r="BW156" t="s">
        <v>47</v>
      </c>
      <c r="BX156" t="s">
        <v>47</v>
      </c>
      <c r="BY156" t="s">
        <v>47</v>
      </c>
      <c r="BZ156" t="s">
        <v>47</v>
      </c>
      <c r="CA156" t="s">
        <v>47</v>
      </c>
      <c r="CB156" t="s">
        <v>47</v>
      </c>
      <c r="CC156" t="s">
        <v>47</v>
      </c>
      <c r="CD156" t="s">
        <v>47</v>
      </c>
      <c r="CE156" t="s">
        <v>47</v>
      </c>
      <c r="CF156" t="s">
        <v>47</v>
      </c>
      <c r="CG156" t="s">
        <v>47</v>
      </c>
      <c r="CH156" t="s">
        <v>47</v>
      </c>
      <c r="CI156" t="s">
        <v>47</v>
      </c>
      <c r="CJ156" t="s">
        <v>47</v>
      </c>
      <c r="CK156"/>
    </row>
    <row r="157" spans="1:89" s="7" customFormat="1" x14ac:dyDescent="0.25">
      <c r="A157" t="s">
        <v>1438</v>
      </c>
      <c r="B157" t="s">
        <v>1440</v>
      </c>
      <c r="C157" t="s">
        <v>790</v>
      </c>
      <c r="D157" t="s">
        <v>1865</v>
      </c>
      <c r="E157">
        <v>636</v>
      </c>
      <c r="F157" t="s">
        <v>259</v>
      </c>
      <c r="G157">
        <v>1090</v>
      </c>
      <c r="H157" s="9">
        <v>3.5</v>
      </c>
      <c r="I157" t="s">
        <v>259</v>
      </c>
      <c r="J157" t="s">
        <v>785</v>
      </c>
      <c r="K157" t="s">
        <v>2073</v>
      </c>
      <c r="L157" t="s">
        <v>2071</v>
      </c>
      <c r="M157" s="10" t="str">
        <f>HYPERLINK(cna_product_database_catalog_website[[#This Row],[Spec Sheet Link]], cna_product_database_catalog_website[[#Headers],[Spec Sheet Link]])</f>
        <v>Spec Sheet Link</v>
      </c>
      <c r="N157" t="s">
        <v>46</v>
      </c>
      <c r="O157">
        <v>1</v>
      </c>
      <c r="P157">
        <v>1</v>
      </c>
      <c r="Q157" t="s">
        <v>334</v>
      </c>
      <c r="R157" t="s">
        <v>50</v>
      </c>
      <c r="S157" t="s">
        <v>233</v>
      </c>
      <c r="T157" t="s">
        <v>47</v>
      </c>
      <c r="U157" t="s">
        <v>341</v>
      </c>
      <c r="V157" t="s">
        <v>47</v>
      </c>
      <c r="W157" t="s">
        <v>345</v>
      </c>
      <c r="X157" t="s">
        <v>336</v>
      </c>
      <c r="Y157" t="s">
        <v>47</v>
      </c>
      <c r="Z157" t="s">
        <v>47</v>
      </c>
      <c r="AA157" t="s">
        <v>47</v>
      </c>
      <c r="AB157" t="s">
        <v>47</v>
      </c>
      <c r="AC157" t="s">
        <v>47</v>
      </c>
      <c r="AD157" t="s">
        <v>47</v>
      </c>
      <c r="AE157"/>
      <c r="AF157" t="s">
        <v>47</v>
      </c>
      <c r="AG157" t="s">
        <v>47</v>
      </c>
      <c r="AH157" t="s">
        <v>47</v>
      </c>
      <c r="AI157" t="s">
        <v>47</v>
      </c>
      <c r="AJ157"/>
      <c r="AK157"/>
      <c r="AL157" t="s">
        <v>47</v>
      </c>
      <c r="AM157"/>
      <c r="AN157"/>
      <c r="AO157" t="s">
        <v>47</v>
      </c>
      <c r="AP157" t="s">
        <v>47</v>
      </c>
      <c r="AQ157" t="s">
        <v>47</v>
      </c>
      <c r="AR157"/>
      <c r="AS157"/>
      <c r="AT157"/>
      <c r="AU157"/>
      <c r="AV157" t="s">
        <v>47</v>
      </c>
      <c r="AW157" t="s">
        <v>47</v>
      </c>
      <c r="AX157">
        <v>50</v>
      </c>
      <c r="AY157">
        <v>50</v>
      </c>
      <c r="AZ157"/>
      <c r="BA157"/>
      <c r="BB157"/>
      <c r="BC157">
        <v>0</v>
      </c>
      <c r="BD157">
        <v>0</v>
      </c>
      <c r="BE157" t="s">
        <v>47</v>
      </c>
      <c r="BF157"/>
      <c r="BG157"/>
      <c r="BH157"/>
      <c r="BI157">
        <v>0</v>
      </c>
      <c r="BJ157">
        <v>0</v>
      </c>
      <c r="BK157"/>
      <c r="BL157"/>
      <c r="BM157" t="s">
        <v>47</v>
      </c>
      <c r="BN157" t="s">
        <v>47</v>
      </c>
      <c r="BO157" t="s">
        <v>47</v>
      </c>
      <c r="BP157" t="s">
        <v>47</v>
      </c>
      <c r="BQ157" t="s">
        <v>47</v>
      </c>
      <c r="BR157"/>
      <c r="BS157" t="s">
        <v>47</v>
      </c>
      <c r="BT157" t="s">
        <v>47</v>
      </c>
      <c r="BU157" t="s">
        <v>47</v>
      </c>
      <c r="BV157"/>
      <c r="BW157" t="s">
        <v>47</v>
      </c>
      <c r="BX157" t="s">
        <v>47</v>
      </c>
      <c r="BY157" t="s">
        <v>47</v>
      </c>
      <c r="BZ157" t="s">
        <v>47</v>
      </c>
      <c r="CA157" t="s">
        <v>47</v>
      </c>
      <c r="CB157" t="s">
        <v>47</v>
      </c>
      <c r="CC157" t="s">
        <v>47</v>
      </c>
      <c r="CD157" t="s">
        <v>47</v>
      </c>
      <c r="CE157" t="s">
        <v>47</v>
      </c>
      <c r="CF157" t="s">
        <v>47</v>
      </c>
      <c r="CG157" t="s">
        <v>47</v>
      </c>
      <c r="CH157" t="s">
        <v>47</v>
      </c>
      <c r="CI157" t="s">
        <v>47</v>
      </c>
      <c r="CJ157" t="s">
        <v>47</v>
      </c>
      <c r="CK157"/>
    </row>
    <row r="158" spans="1:89" s="7" customFormat="1" x14ac:dyDescent="0.25">
      <c r="A158" t="s">
        <v>1438</v>
      </c>
      <c r="B158" t="s">
        <v>1440</v>
      </c>
      <c r="C158" t="s">
        <v>791</v>
      </c>
      <c r="D158" t="s">
        <v>1866</v>
      </c>
      <c r="E158">
        <v>637</v>
      </c>
      <c r="F158" t="s">
        <v>260</v>
      </c>
      <c r="G158">
        <v>1096</v>
      </c>
      <c r="H158" s="9">
        <v>7</v>
      </c>
      <c r="I158" t="s">
        <v>260</v>
      </c>
      <c r="J158" t="s">
        <v>788</v>
      </c>
      <c r="K158" t="s">
        <v>2074</v>
      </c>
      <c r="L158" t="s">
        <v>2071</v>
      </c>
      <c r="M158" s="10" t="str">
        <f>HYPERLINK(cna_product_database_catalog_website[[#This Row],[Spec Sheet Link]], cna_product_database_catalog_website[[#Headers],[Spec Sheet Link]])</f>
        <v>Spec Sheet Link</v>
      </c>
      <c r="N158" t="s">
        <v>46</v>
      </c>
      <c r="O158">
        <v>1</v>
      </c>
      <c r="P158">
        <v>1</v>
      </c>
      <c r="Q158" t="s">
        <v>338</v>
      </c>
      <c r="R158" t="s">
        <v>50</v>
      </c>
      <c r="S158" t="s">
        <v>349</v>
      </c>
      <c r="T158" t="s">
        <v>47</v>
      </c>
      <c r="U158" t="s">
        <v>341</v>
      </c>
      <c r="V158" t="s">
        <v>47</v>
      </c>
      <c r="W158" t="s">
        <v>345</v>
      </c>
      <c r="X158" t="s">
        <v>336</v>
      </c>
      <c r="Y158" t="s">
        <v>47</v>
      </c>
      <c r="Z158" t="s">
        <v>47</v>
      </c>
      <c r="AA158" t="s">
        <v>47</v>
      </c>
      <c r="AB158" t="s">
        <v>47</v>
      </c>
      <c r="AC158" t="s">
        <v>47</v>
      </c>
      <c r="AD158" t="s">
        <v>47</v>
      </c>
      <c r="AE158"/>
      <c r="AF158" t="s">
        <v>47</v>
      </c>
      <c r="AG158" t="s">
        <v>47</v>
      </c>
      <c r="AH158" t="s">
        <v>47</v>
      </c>
      <c r="AI158" t="s">
        <v>47</v>
      </c>
      <c r="AJ158"/>
      <c r="AK158"/>
      <c r="AL158" t="s">
        <v>47</v>
      </c>
      <c r="AM158"/>
      <c r="AN158"/>
      <c r="AO158" t="s">
        <v>47</v>
      </c>
      <c r="AP158" t="s">
        <v>47</v>
      </c>
      <c r="AQ158" t="s">
        <v>47</v>
      </c>
      <c r="AR158"/>
      <c r="AS158"/>
      <c r="AT158"/>
      <c r="AU158"/>
      <c r="AV158" t="s">
        <v>47</v>
      </c>
      <c r="AW158" t="s">
        <v>47</v>
      </c>
      <c r="AX158" t="s">
        <v>47</v>
      </c>
      <c r="AY158" t="s">
        <v>47</v>
      </c>
      <c r="AZ158"/>
      <c r="BA158"/>
      <c r="BB158"/>
      <c r="BC158">
        <v>0</v>
      </c>
      <c r="BD158">
        <v>0</v>
      </c>
      <c r="BE158" t="s">
        <v>47</v>
      </c>
      <c r="BF158"/>
      <c r="BG158"/>
      <c r="BH158"/>
      <c r="BI158">
        <v>0</v>
      </c>
      <c r="BJ158">
        <v>0</v>
      </c>
      <c r="BK158"/>
      <c r="BL158"/>
      <c r="BM158" t="s">
        <v>47</v>
      </c>
      <c r="BN158" t="s">
        <v>47</v>
      </c>
      <c r="BO158" t="s">
        <v>47</v>
      </c>
      <c r="BP158" t="s">
        <v>47</v>
      </c>
      <c r="BQ158" t="s">
        <v>47</v>
      </c>
      <c r="BR158"/>
      <c r="BS158" t="s">
        <v>47</v>
      </c>
      <c r="BT158" t="s">
        <v>47</v>
      </c>
      <c r="BU158" t="s">
        <v>47</v>
      </c>
      <c r="BV158"/>
      <c r="BW158" t="s">
        <v>47</v>
      </c>
      <c r="BX158" t="s">
        <v>47</v>
      </c>
      <c r="BY158" t="s">
        <v>47</v>
      </c>
      <c r="BZ158" t="s">
        <v>47</v>
      </c>
      <c r="CA158" t="s">
        <v>47</v>
      </c>
      <c r="CB158" t="s">
        <v>47</v>
      </c>
      <c r="CC158" t="s">
        <v>47</v>
      </c>
      <c r="CD158" t="s">
        <v>47</v>
      </c>
      <c r="CE158" t="s">
        <v>47</v>
      </c>
      <c r="CF158" t="s">
        <v>47</v>
      </c>
      <c r="CG158" t="s">
        <v>47</v>
      </c>
      <c r="CH158" t="s">
        <v>47</v>
      </c>
      <c r="CI158" t="s">
        <v>47</v>
      </c>
      <c r="CJ158" t="s">
        <v>47</v>
      </c>
      <c r="CK158"/>
    </row>
    <row r="159" spans="1:89" s="7" customFormat="1" x14ac:dyDescent="0.25">
      <c r="A159" t="s">
        <v>1438</v>
      </c>
      <c r="B159" t="s">
        <v>1440</v>
      </c>
      <c r="C159" t="s">
        <v>786</v>
      </c>
      <c r="D159" t="s">
        <v>1867</v>
      </c>
      <c r="E159">
        <v>638</v>
      </c>
      <c r="F159" t="s">
        <v>261</v>
      </c>
      <c r="G159">
        <v>1126</v>
      </c>
      <c r="H159" s="9">
        <v>3</v>
      </c>
      <c r="I159" t="s">
        <v>261</v>
      </c>
      <c r="J159" t="s">
        <v>789</v>
      </c>
      <c r="K159" t="s">
        <v>2075</v>
      </c>
      <c r="L159" t="s">
        <v>2071</v>
      </c>
      <c r="M159" s="10" t="str">
        <f>HYPERLINK(cna_product_database_catalog_website[[#This Row],[Spec Sheet Link]], cna_product_database_catalog_website[[#Headers],[Spec Sheet Link]])</f>
        <v>Spec Sheet Link</v>
      </c>
      <c r="N159" t="s">
        <v>46</v>
      </c>
      <c r="O159">
        <v>1</v>
      </c>
      <c r="P159">
        <v>1</v>
      </c>
      <c r="Q159" t="s">
        <v>343</v>
      </c>
      <c r="R159" t="s">
        <v>50</v>
      </c>
      <c r="S159" t="s">
        <v>47</v>
      </c>
      <c r="T159" t="s">
        <v>47</v>
      </c>
      <c r="U159" t="s">
        <v>47</v>
      </c>
      <c r="V159" t="s">
        <v>47</v>
      </c>
      <c r="W159" t="s">
        <v>47</v>
      </c>
      <c r="X159" t="s">
        <v>336</v>
      </c>
      <c r="Y159" t="s">
        <v>557</v>
      </c>
      <c r="Z159" t="s">
        <v>47</v>
      </c>
      <c r="AA159" t="s">
        <v>47</v>
      </c>
      <c r="AB159" t="s">
        <v>47</v>
      </c>
      <c r="AC159" t="s">
        <v>47</v>
      </c>
      <c r="AD159" t="s">
        <v>47</v>
      </c>
      <c r="AE159"/>
      <c r="AF159" t="s">
        <v>47</v>
      </c>
      <c r="AG159" t="s">
        <v>47</v>
      </c>
      <c r="AH159" t="s">
        <v>47</v>
      </c>
      <c r="AI159" t="s">
        <v>47</v>
      </c>
      <c r="AJ159"/>
      <c r="AK159"/>
      <c r="AL159" t="s">
        <v>47</v>
      </c>
      <c r="AM159"/>
      <c r="AN159"/>
      <c r="AO159" t="s">
        <v>47</v>
      </c>
      <c r="AP159" t="s">
        <v>47</v>
      </c>
      <c r="AQ159" t="s">
        <v>47</v>
      </c>
      <c r="AR159"/>
      <c r="AS159"/>
      <c r="AT159"/>
      <c r="AU159"/>
      <c r="AV159" t="s">
        <v>47</v>
      </c>
      <c r="AW159" t="s">
        <v>47</v>
      </c>
      <c r="AX159">
        <v>25</v>
      </c>
      <c r="AY159">
        <v>200</v>
      </c>
      <c r="AZ159"/>
      <c r="BA159"/>
      <c r="BB159"/>
      <c r="BC159">
        <v>0</v>
      </c>
      <c r="BD159">
        <v>0</v>
      </c>
      <c r="BE159" t="s">
        <v>47</v>
      </c>
      <c r="BF159"/>
      <c r="BG159"/>
      <c r="BH159"/>
      <c r="BI159">
        <v>0</v>
      </c>
      <c r="BJ159">
        <v>0</v>
      </c>
      <c r="BK159"/>
      <c r="BL159"/>
      <c r="BM159" t="s">
        <v>47</v>
      </c>
      <c r="BN159" t="s">
        <v>47</v>
      </c>
      <c r="BO159" t="s">
        <v>47</v>
      </c>
      <c r="BP159" t="s">
        <v>47</v>
      </c>
      <c r="BQ159" t="s">
        <v>47</v>
      </c>
      <c r="BR159"/>
      <c r="BS159" t="s">
        <v>47</v>
      </c>
      <c r="BT159" t="s">
        <v>47</v>
      </c>
      <c r="BU159" t="s">
        <v>47</v>
      </c>
      <c r="BV159"/>
      <c r="BW159" t="s">
        <v>47</v>
      </c>
      <c r="BX159" t="s">
        <v>47</v>
      </c>
      <c r="BY159" t="s">
        <v>47</v>
      </c>
      <c r="BZ159" t="s">
        <v>47</v>
      </c>
      <c r="CA159" t="s">
        <v>47</v>
      </c>
      <c r="CB159" t="s">
        <v>47</v>
      </c>
      <c r="CC159" t="s">
        <v>47</v>
      </c>
      <c r="CD159" t="s">
        <v>47</v>
      </c>
      <c r="CE159" t="s">
        <v>47</v>
      </c>
      <c r="CF159" t="s">
        <v>47</v>
      </c>
      <c r="CG159" t="s">
        <v>47</v>
      </c>
      <c r="CH159" t="s">
        <v>47</v>
      </c>
      <c r="CI159" t="s">
        <v>47</v>
      </c>
      <c r="CJ159" t="s">
        <v>47</v>
      </c>
      <c r="CK159"/>
    </row>
    <row r="160" spans="1:89" s="7" customFormat="1" x14ac:dyDescent="0.25">
      <c r="A160" t="s">
        <v>1438</v>
      </c>
      <c r="B160" t="s">
        <v>1440</v>
      </c>
      <c r="C160" t="s">
        <v>1444</v>
      </c>
      <c r="D160" t="s">
        <v>1868</v>
      </c>
      <c r="E160">
        <v>645</v>
      </c>
      <c r="F160" t="s">
        <v>263</v>
      </c>
      <c r="G160">
        <v>971</v>
      </c>
      <c r="H160" s="9">
        <v>24.5</v>
      </c>
      <c r="I160" t="s">
        <v>263</v>
      </c>
      <c r="J160" t="s">
        <v>263</v>
      </c>
      <c r="K160" t="s">
        <v>2076</v>
      </c>
      <c r="L160" t="s">
        <v>2077</v>
      </c>
      <c r="M160" s="10" t="str">
        <f>HYPERLINK(cna_product_database_catalog_website[[#This Row],[Spec Sheet Link]], cna_product_database_catalog_website[[#Headers],[Spec Sheet Link]])</f>
        <v>Spec Sheet Link</v>
      </c>
      <c r="N160" t="s">
        <v>46</v>
      </c>
      <c r="O160">
        <v>1</v>
      </c>
      <c r="P160">
        <v>1</v>
      </c>
      <c r="Q160" t="s">
        <v>104</v>
      </c>
      <c r="R160" t="s">
        <v>50</v>
      </c>
      <c r="S160" t="s">
        <v>47</v>
      </c>
      <c r="T160" t="s">
        <v>47</v>
      </c>
      <c r="U160" t="s">
        <v>47</v>
      </c>
      <c r="V160" t="s">
        <v>47</v>
      </c>
      <c r="W160" t="s">
        <v>47</v>
      </c>
      <c r="X160" t="s">
        <v>336</v>
      </c>
      <c r="Y160" t="s">
        <v>557</v>
      </c>
      <c r="Z160" t="s">
        <v>47</v>
      </c>
      <c r="AA160" t="s">
        <v>47</v>
      </c>
      <c r="AB160" t="s">
        <v>47</v>
      </c>
      <c r="AC160" t="s">
        <v>47</v>
      </c>
      <c r="AD160" t="s">
        <v>47</v>
      </c>
      <c r="AE160"/>
      <c r="AF160" t="s">
        <v>47</v>
      </c>
      <c r="AG160" t="s">
        <v>47</v>
      </c>
      <c r="AH160" t="s">
        <v>47</v>
      </c>
      <c r="AI160" t="s">
        <v>47</v>
      </c>
      <c r="AJ160"/>
      <c r="AK160"/>
      <c r="AL160" t="s">
        <v>47</v>
      </c>
      <c r="AM160"/>
      <c r="AN160"/>
      <c r="AO160" t="s">
        <v>47</v>
      </c>
      <c r="AP160" t="s">
        <v>47</v>
      </c>
      <c r="AQ160" t="s">
        <v>47</v>
      </c>
      <c r="AR160"/>
      <c r="AS160"/>
      <c r="AT160"/>
      <c r="AU160"/>
      <c r="AV160" t="s">
        <v>47</v>
      </c>
      <c r="AW160" t="s">
        <v>47</v>
      </c>
      <c r="AX160">
        <v>25</v>
      </c>
      <c r="AY160">
        <v>200</v>
      </c>
      <c r="AZ160"/>
      <c r="BA160"/>
      <c r="BB160"/>
      <c r="BC160">
        <v>0</v>
      </c>
      <c r="BD160">
        <v>0</v>
      </c>
      <c r="BE160" t="s">
        <v>47</v>
      </c>
      <c r="BF160"/>
      <c r="BG160"/>
      <c r="BH160"/>
      <c r="BI160">
        <v>0</v>
      </c>
      <c r="BJ160">
        <v>0</v>
      </c>
      <c r="BK160"/>
      <c r="BL160"/>
      <c r="BM160" t="s">
        <v>47</v>
      </c>
      <c r="BN160" t="s">
        <v>47</v>
      </c>
      <c r="BO160" t="s">
        <v>47</v>
      </c>
      <c r="BP160" t="s">
        <v>47</v>
      </c>
      <c r="BQ160" t="s">
        <v>47</v>
      </c>
      <c r="BR160"/>
      <c r="BS160" t="s">
        <v>47</v>
      </c>
      <c r="BT160" t="s">
        <v>47</v>
      </c>
      <c r="BU160" t="s">
        <v>47</v>
      </c>
      <c r="BV160"/>
      <c r="BW160" t="s">
        <v>47</v>
      </c>
      <c r="BX160" t="s">
        <v>47</v>
      </c>
      <c r="BY160" t="s">
        <v>47</v>
      </c>
      <c r="BZ160" t="s">
        <v>47</v>
      </c>
      <c r="CA160" t="s">
        <v>47</v>
      </c>
      <c r="CB160" t="s">
        <v>47</v>
      </c>
      <c r="CC160" t="s">
        <v>47</v>
      </c>
      <c r="CD160" t="s">
        <v>47</v>
      </c>
      <c r="CE160" t="s">
        <v>47</v>
      </c>
      <c r="CF160" t="s">
        <v>47</v>
      </c>
      <c r="CG160" t="s">
        <v>47</v>
      </c>
      <c r="CH160" t="s">
        <v>47</v>
      </c>
      <c r="CI160" t="s">
        <v>47</v>
      </c>
      <c r="CJ160" t="s">
        <v>47</v>
      </c>
      <c r="CK160"/>
    </row>
    <row r="161" spans="1:89" s="7" customFormat="1" x14ac:dyDescent="0.25">
      <c r="A161" t="s">
        <v>1438</v>
      </c>
      <c r="B161" t="s">
        <v>1440</v>
      </c>
      <c r="C161" t="s">
        <v>1447</v>
      </c>
      <c r="D161" t="s">
        <v>1869</v>
      </c>
      <c r="E161">
        <v>646</v>
      </c>
      <c r="F161" t="s">
        <v>264</v>
      </c>
      <c r="G161">
        <v>972</v>
      </c>
      <c r="H161" s="9">
        <v>28.5</v>
      </c>
      <c r="I161" t="s">
        <v>264</v>
      </c>
      <c r="J161" t="s">
        <v>264</v>
      </c>
      <c r="K161" t="s">
        <v>2076</v>
      </c>
      <c r="L161" t="s">
        <v>2077</v>
      </c>
      <c r="M161" s="10" t="str">
        <f>HYPERLINK(cna_product_database_catalog_website[[#This Row],[Spec Sheet Link]], cna_product_database_catalog_website[[#Headers],[Spec Sheet Link]])</f>
        <v>Spec Sheet Link</v>
      </c>
      <c r="N161" t="s">
        <v>46</v>
      </c>
      <c r="O161">
        <v>1</v>
      </c>
      <c r="P161">
        <v>1</v>
      </c>
      <c r="Q161" t="s">
        <v>343</v>
      </c>
      <c r="R161" t="s">
        <v>50</v>
      </c>
      <c r="S161" t="s">
        <v>47</v>
      </c>
      <c r="T161" t="s">
        <v>47</v>
      </c>
      <c r="U161" t="s">
        <v>47</v>
      </c>
      <c r="V161" t="s">
        <v>47</v>
      </c>
      <c r="W161" t="s">
        <v>47</v>
      </c>
      <c r="X161" t="s">
        <v>336</v>
      </c>
      <c r="Y161" t="s">
        <v>47</v>
      </c>
      <c r="Z161" t="s">
        <v>47</v>
      </c>
      <c r="AA161" t="s">
        <v>47</v>
      </c>
      <c r="AB161" t="s">
        <v>47</v>
      </c>
      <c r="AC161" t="s">
        <v>47</v>
      </c>
      <c r="AD161" t="s">
        <v>47</v>
      </c>
      <c r="AE161"/>
      <c r="AF161" t="s">
        <v>47</v>
      </c>
      <c r="AG161" t="s">
        <v>47</v>
      </c>
      <c r="AH161" t="s">
        <v>47</v>
      </c>
      <c r="AI161" t="s">
        <v>47</v>
      </c>
      <c r="AJ161"/>
      <c r="AK161"/>
      <c r="AL161" t="s">
        <v>47</v>
      </c>
      <c r="AM161"/>
      <c r="AN161"/>
      <c r="AO161" t="s">
        <v>47</v>
      </c>
      <c r="AP161" t="s">
        <v>47</v>
      </c>
      <c r="AQ161" t="s">
        <v>47</v>
      </c>
      <c r="AR161"/>
      <c r="AS161"/>
      <c r="AT161"/>
      <c r="AU161"/>
      <c r="AV161" t="s">
        <v>47</v>
      </c>
      <c r="AW161" t="s">
        <v>47</v>
      </c>
      <c r="AX161">
        <v>25</v>
      </c>
      <c r="AY161">
        <v>200</v>
      </c>
      <c r="AZ161"/>
      <c r="BA161"/>
      <c r="BB161"/>
      <c r="BC161">
        <v>0</v>
      </c>
      <c r="BD161">
        <v>0</v>
      </c>
      <c r="BE161" t="s">
        <v>47</v>
      </c>
      <c r="BF161"/>
      <c r="BG161"/>
      <c r="BH161"/>
      <c r="BI161">
        <v>0</v>
      </c>
      <c r="BJ161">
        <v>0</v>
      </c>
      <c r="BK161"/>
      <c r="BL161"/>
      <c r="BM161" t="s">
        <v>47</v>
      </c>
      <c r="BN161" t="s">
        <v>47</v>
      </c>
      <c r="BO161" t="s">
        <v>47</v>
      </c>
      <c r="BP161" t="s">
        <v>47</v>
      </c>
      <c r="BQ161" t="s">
        <v>47</v>
      </c>
      <c r="BR161"/>
      <c r="BS161" t="s">
        <v>47</v>
      </c>
      <c r="BT161" t="s">
        <v>47</v>
      </c>
      <c r="BU161" t="s">
        <v>47</v>
      </c>
      <c r="BV161"/>
      <c r="BW161" t="s">
        <v>47</v>
      </c>
      <c r="BX161" t="s">
        <v>47</v>
      </c>
      <c r="BY161" t="s">
        <v>47</v>
      </c>
      <c r="BZ161" t="s">
        <v>47</v>
      </c>
      <c r="CA161" t="s">
        <v>47</v>
      </c>
      <c r="CB161" t="s">
        <v>47</v>
      </c>
      <c r="CC161" t="s">
        <v>47</v>
      </c>
      <c r="CD161" t="s">
        <v>47</v>
      </c>
      <c r="CE161" t="s">
        <v>47</v>
      </c>
      <c r="CF161" t="s">
        <v>47</v>
      </c>
      <c r="CG161" t="s">
        <v>47</v>
      </c>
      <c r="CH161" t="s">
        <v>47</v>
      </c>
      <c r="CI161" t="s">
        <v>47</v>
      </c>
      <c r="CJ161" t="s">
        <v>47</v>
      </c>
      <c r="CK161"/>
    </row>
    <row r="162" spans="1:89" s="7" customFormat="1" x14ac:dyDescent="0.25">
      <c r="A162" t="s">
        <v>1438</v>
      </c>
      <c r="B162" t="s">
        <v>1440</v>
      </c>
      <c r="C162" t="s">
        <v>1448</v>
      </c>
      <c r="D162" t="s">
        <v>1870</v>
      </c>
      <c r="E162">
        <v>647</v>
      </c>
      <c r="F162" t="s">
        <v>265</v>
      </c>
      <c r="G162">
        <v>992</v>
      </c>
      <c r="H162" s="9">
        <v>3.5</v>
      </c>
      <c r="I162" t="s">
        <v>265</v>
      </c>
      <c r="J162" t="s">
        <v>265</v>
      </c>
      <c r="K162" t="s">
        <v>2073</v>
      </c>
      <c r="L162" t="s">
        <v>2077</v>
      </c>
      <c r="M162" s="10" t="str">
        <f>HYPERLINK(cna_product_database_catalog_website[[#This Row],[Spec Sheet Link]], cna_product_database_catalog_website[[#Headers],[Spec Sheet Link]])</f>
        <v>Spec Sheet Link</v>
      </c>
      <c r="N162" t="s">
        <v>46</v>
      </c>
      <c r="O162">
        <v>1</v>
      </c>
      <c r="P162">
        <v>1</v>
      </c>
      <c r="Q162" t="s">
        <v>334</v>
      </c>
      <c r="R162" t="s">
        <v>50</v>
      </c>
      <c r="S162" t="s">
        <v>47</v>
      </c>
      <c r="T162" t="s">
        <v>47</v>
      </c>
      <c r="U162" t="s">
        <v>47</v>
      </c>
      <c r="V162" t="s">
        <v>47</v>
      </c>
      <c r="W162" t="s">
        <v>47</v>
      </c>
      <c r="X162" t="s">
        <v>336</v>
      </c>
      <c r="Y162" t="s">
        <v>47</v>
      </c>
      <c r="Z162" t="s">
        <v>47</v>
      </c>
      <c r="AA162" t="s">
        <v>47</v>
      </c>
      <c r="AB162" t="s">
        <v>47</v>
      </c>
      <c r="AC162" t="s">
        <v>47</v>
      </c>
      <c r="AD162" t="s">
        <v>47</v>
      </c>
      <c r="AE162"/>
      <c r="AF162" t="s">
        <v>47</v>
      </c>
      <c r="AG162" t="s">
        <v>47</v>
      </c>
      <c r="AH162" t="s">
        <v>47</v>
      </c>
      <c r="AI162" t="s">
        <v>47</v>
      </c>
      <c r="AJ162"/>
      <c r="AK162"/>
      <c r="AL162" t="s">
        <v>47</v>
      </c>
      <c r="AM162"/>
      <c r="AN162"/>
      <c r="AO162" t="s">
        <v>47</v>
      </c>
      <c r="AP162" t="s">
        <v>47</v>
      </c>
      <c r="AQ162" t="s">
        <v>47</v>
      </c>
      <c r="AR162"/>
      <c r="AS162"/>
      <c r="AT162"/>
      <c r="AU162"/>
      <c r="AV162" t="s">
        <v>47</v>
      </c>
      <c r="AW162" t="s">
        <v>47</v>
      </c>
      <c r="AX162">
        <v>25</v>
      </c>
      <c r="AY162">
        <v>200</v>
      </c>
      <c r="AZ162"/>
      <c r="BA162"/>
      <c r="BB162"/>
      <c r="BC162">
        <v>0</v>
      </c>
      <c r="BD162">
        <v>0</v>
      </c>
      <c r="BE162" t="s">
        <v>47</v>
      </c>
      <c r="BF162"/>
      <c r="BG162"/>
      <c r="BH162"/>
      <c r="BI162">
        <v>0</v>
      </c>
      <c r="BJ162">
        <v>0</v>
      </c>
      <c r="BK162"/>
      <c r="BL162"/>
      <c r="BM162" t="s">
        <v>47</v>
      </c>
      <c r="BN162" t="s">
        <v>47</v>
      </c>
      <c r="BO162" t="s">
        <v>47</v>
      </c>
      <c r="BP162" t="s">
        <v>47</v>
      </c>
      <c r="BQ162" t="s">
        <v>47</v>
      </c>
      <c r="BR162"/>
      <c r="BS162" t="s">
        <v>47</v>
      </c>
      <c r="BT162" t="s">
        <v>47</v>
      </c>
      <c r="BU162" t="s">
        <v>47</v>
      </c>
      <c r="BV162"/>
      <c r="BW162" t="s">
        <v>47</v>
      </c>
      <c r="BX162" t="s">
        <v>47</v>
      </c>
      <c r="BY162" t="s">
        <v>47</v>
      </c>
      <c r="BZ162" t="s">
        <v>47</v>
      </c>
      <c r="CA162" t="s">
        <v>47</v>
      </c>
      <c r="CB162" t="s">
        <v>47</v>
      </c>
      <c r="CC162" t="s">
        <v>47</v>
      </c>
      <c r="CD162" t="s">
        <v>47</v>
      </c>
      <c r="CE162" t="s">
        <v>47</v>
      </c>
      <c r="CF162" t="s">
        <v>47</v>
      </c>
      <c r="CG162" t="s">
        <v>47</v>
      </c>
      <c r="CH162" t="s">
        <v>47</v>
      </c>
      <c r="CI162" t="s">
        <v>47</v>
      </c>
      <c r="CJ162" t="s">
        <v>47</v>
      </c>
      <c r="CK162"/>
    </row>
    <row r="163" spans="1:89" s="7" customFormat="1" x14ac:dyDescent="0.25">
      <c r="A163" t="s">
        <v>1438</v>
      </c>
      <c r="B163" t="s">
        <v>1440</v>
      </c>
      <c r="C163" t="s">
        <v>1449</v>
      </c>
      <c r="D163" t="s">
        <v>1871</v>
      </c>
      <c r="E163">
        <v>648</v>
      </c>
      <c r="F163" t="s">
        <v>266</v>
      </c>
      <c r="G163">
        <v>974</v>
      </c>
      <c r="H163" s="9">
        <v>7</v>
      </c>
      <c r="I163" t="s">
        <v>266</v>
      </c>
      <c r="J163" t="s">
        <v>266</v>
      </c>
      <c r="K163" t="s">
        <v>2078</v>
      </c>
      <c r="L163" t="s">
        <v>2077</v>
      </c>
      <c r="M163" s="10" t="str">
        <f>HYPERLINK(cna_product_database_catalog_website[[#This Row],[Spec Sheet Link]], cna_product_database_catalog_website[[#Headers],[Spec Sheet Link]])</f>
        <v>Spec Sheet Link</v>
      </c>
      <c r="N163" t="s">
        <v>46</v>
      </c>
      <c r="O163">
        <v>1</v>
      </c>
      <c r="P163">
        <v>1</v>
      </c>
      <c r="Q163" t="s">
        <v>338</v>
      </c>
      <c r="R163" t="s">
        <v>50</v>
      </c>
      <c r="S163" t="s">
        <v>47</v>
      </c>
      <c r="T163" t="s">
        <v>47</v>
      </c>
      <c r="U163" t="s">
        <v>47</v>
      </c>
      <c r="V163" t="s">
        <v>47</v>
      </c>
      <c r="W163" t="s">
        <v>47</v>
      </c>
      <c r="X163" t="s">
        <v>336</v>
      </c>
      <c r="Y163" t="s">
        <v>47</v>
      </c>
      <c r="Z163" t="s">
        <v>47</v>
      </c>
      <c r="AA163" t="s">
        <v>47</v>
      </c>
      <c r="AB163" t="s">
        <v>47</v>
      </c>
      <c r="AC163" t="s">
        <v>47</v>
      </c>
      <c r="AD163" t="s">
        <v>47</v>
      </c>
      <c r="AE163"/>
      <c r="AF163" t="s">
        <v>47</v>
      </c>
      <c r="AG163" t="s">
        <v>47</v>
      </c>
      <c r="AH163" t="s">
        <v>47</v>
      </c>
      <c r="AI163" t="s">
        <v>47</v>
      </c>
      <c r="AJ163"/>
      <c r="AK163"/>
      <c r="AL163" t="s">
        <v>47</v>
      </c>
      <c r="AM163"/>
      <c r="AN163"/>
      <c r="AO163" t="s">
        <v>47</v>
      </c>
      <c r="AP163" t="s">
        <v>47</v>
      </c>
      <c r="AQ163" t="s">
        <v>47</v>
      </c>
      <c r="AR163"/>
      <c r="AS163"/>
      <c r="AT163"/>
      <c r="AU163"/>
      <c r="AV163" t="s">
        <v>47</v>
      </c>
      <c r="AW163" t="s">
        <v>47</v>
      </c>
      <c r="AX163">
        <v>25</v>
      </c>
      <c r="AY163">
        <v>200</v>
      </c>
      <c r="AZ163"/>
      <c r="BA163"/>
      <c r="BB163"/>
      <c r="BC163">
        <v>0</v>
      </c>
      <c r="BD163">
        <v>0</v>
      </c>
      <c r="BE163" t="s">
        <v>47</v>
      </c>
      <c r="BF163"/>
      <c r="BG163"/>
      <c r="BH163"/>
      <c r="BI163">
        <v>0</v>
      </c>
      <c r="BJ163">
        <v>0</v>
      </c>
      <c r="BK163"/>
      <c r="BL163"/>
      <c r="BM163" t="s">
        <v>47</v>
      </c>
      <c r="BN163" t="s">
        <v>47</v>
      </c>
      <c r="BO163" t="s">
        <v>47</v>
      </c>
      <c r="BP163" t="s">
        <v>47</v>
      </c>
      <c r="BQ163" t="s">
        <v>47</v>
      </c>
      <c r="BR163"/>
      <c r="BS163" t="s">
        <v>47</v>
      </c>
      <c r="BT163" t="s">
        <v>47</v>
      </c>
      <c r="BU163" t="s">
        <v>47</v>
      </c>
      <c r="BV163"/>
      <c r="BW163" t="s">
        <v>47</v>
      </c>
      <c r="BX163" t="s">
        <v>47</v>
      </c>
      <c r="BY163" t="s">
        <v>47</v>
      </c>
      <c r="BZ163" t="s">
        <v>47</v>
      </c>
      <c r="CA163" t="s">
        <v>47</v>
      </c>
      <c r="CB163" t="s">
        <v>47</v>
      </c>
      <c r="CC163" t="s">
        <v>47</v>
      </c>
      <c r="CD163" t="s">
        <v>47</v>
      </c>
      <c r="CE163" t="s">
        <v>47</v>
      </c>
      <c r="CF163" t="s">
        <v>47</v>
      </c>
      <c r="CG163" t="s">
        <v>47</v>
      </c>
      <c r="CH163" t="s">
        <v>47</v>
      </c>
      <c r="CI163" t="s">
        <v>47</v>
      </c>
      <c r="CJ163" t="s">
        <v>47</v>
      </c>
      <c r="CK163"/>
    </row>
    <row r="164" spans="1:89" s="7" customFormat="1" x14ac:dyDescent="0.25">
      <c r="A164" t="s">
        <v>1438</v>
      </c>
      <c r="B164" t="s">
        <v>1440</v>
      </c>
      <c r="C164" t="s">
        <v>1450</v>
      </c>
      <c r="D164" t="s">
        <v>1872</v>
      </c>
      <c r="E164">
        <v>649</v>
      </c>
      <c r="F164" t="s">
        <v>267</v>
      </c>
      <c r="G164">
        <v>973</v>
      </c>
      <c r="H164" s="9">
        <v>7</v>
      </c>
      <c r="I164" t="s">
        <v>267</v>
      </c>
      <c r="J164" t="s">
        <v>267</v>
      </c>
      <c r="K164" t="s">
        <v>2079</v>
      </c>
      <c r="L164" t="s">
        <v>2077</v>
      </c>
      <c r="M164" s="10" t="str">
        <f>HYPERLINK(cna_product_database_catalog_website[[#This Row],[Spec Sheet Link]], cna_product_database_catalog_website[[#Headers],[Spec Sheet Link]])</f>
        <v>Spec Sheet Link</v>
      </c>
      <c r="N164" t="s">
        <v>46</v>
      </c>
      <c r="O164">
        <v>1</v>
      </c>
      <c r="P164">
        <v>1</v>
      </c>
      <c r="Q164" t="s">
        <v>343</v>
      </c>
      <c r="R164" t="s">
        <v>50</v>
      </c>
      <c r="S164" t="s">
        <v>47</v>
      </c>
      <c r="T164" t="s">
        <v>47</v>
      </c>
      <c r="U164" t="s">
        <v>47</v>
      </c>
      <c r="V164" t="s">
        <v>47</v>
      </c>
      <c r="W164" t="s">
        <v>47</v>
      </c>
      <c r="X164" t="s">
        <v>336</v>
      </c>
      <c r="Y164" t="s">
        <v>47</v>
      </c>
      <c r="Z164" t="s">
        <v>47</v>
      </c>
      <c r="AA164" t="s">
        <v>47</v>
      </c>
      <c r="AB164" t="s">
        <v>47</v>
      </c>
      <c r="AC164" t="s">
        <v>47</v>
      </c>
      <c r="AD164" t="s">
        <v>47</v>
      </c>
      <c r="AE164"/>
      <c r="AF164" t="s">
        <v>47</v>
      </c>
      <c r="AG164" t="s">
        <v>47</v>
      </c>
      <c r="AH164" t="s">
        <v>47</v>
      </c>
      <c r="AI164" t="s">
        <v>47</v>
      </c>
      <c r="AJ164"/>
      <c r="AK164"/>
      <c r="AL164" t="s">
        <v>47</v>
      </c>
      <c r="AM164"/>
      <c r="AN164"/>
      <c r="AO164" t="s">
        <v>47</v>
      </c>
      <c r="AP164" t="s">
        <v>47</v>
      </c>
      <c r="AQ164" t="s">
        <v>47</v>
      </c>
      <c r="AR164"/>
      <c r="AS164"/>
      <c r="AT164"/>
      <c r="AU164"/>
      <c r="AV164" t="s">
        <v>47</v>
      </c>
      <c r="AW164" t="s">
        <v>47</v>
      </c>
      <c r="AX164">
        <v>50</v>
      </c>
      <c r="AY164">
        <v>50</v>
      </c>
      <c r="AZ164"/>
      <c r="BA164"/>
      <c r="BB164"/>
      <c r="BC164">
        <v>0</v>
      </c>
      <c r="BD164">
        <v>0</v>
      </c>
      <c r="BE164" t="s">
        <v>47</v>
      </c>
      <c r="BF164"/>
      <c r="BG164"/>
      <c r="BH164"/>
      <c r="BI164">
        <v>0</v>
      </c>
      <c r="BJ164">
        <v>0</v>
      </c>
      <c r="BK164"/>
      <c r="BL164"/>
      <c r="BM164" t="s">
        <v>47</v>
      </c>
      <c r="BN164" t="s">
        <v>47</v>
      </c>
      <c r="BO164" t="s">
        <v>47</v>
      </c>
      <c r="BP164" t="s">
        <v>47</v>
      </c>
      <c r="BQ164" t="s">
        <v>47</v>
      </c>
      <c r="BR164"/>
      <c r="BS164" t="s">
        <v>47</v>
      </c>
      <c r="BT164" t="s">
        <v>47</v>
      </c>
      <c r="BU164" t="s">
        <v>47</v>
      </c>
      <c r="BV164"/>
      <c r="BW164" t="s">
        <v>47</v>
      </c>
      <c r="BX164" t="s">
        <v>47</v>
      </c>
      <c r="BY164" t="s">
        <v>47</v>
      </c>
      <c r="BZ164" t="s">
        <v>47</v>
      </c>
      <c r="CA164" t="s">
        <v>47</v>
      </c>
      <c r="CB164" t="s">
        <v>47</v>
      </c>
      <c r="CC164" t="s">
        <v>47</v>
      </c>
      <c r="CD164" t="s">
        <v>47</v>
      </c>
      <c r="CE164" t="s">
        <v>47</v>
      </c>
      <c r="CF164" t="s">
        <v>47</v>
      </c>
      <c r="CG164" t="s">
        <v>47</v>
      </c>
      <c r="CH164" t="s">
        <v>47</v>
      </c>
      <c r="CI164" t="s">
        <v>47</v>
      </c>
      <c r="CJ164" t="s">
        <v>47</v>
      </c>
      <c r="CK164"/>
    </row>
    <row r="165" spans="1:89" s="7" customFormat="1" x14ac:dyDescent="0.25">
      <c r="A165" t="s">
        <v>1438</v>
      </c>
      <c r="B165" t="s">
        <v>1440</v>
      </c>
      <c r="C165" t="s">
        <v>1451</v>
      </c>
      <c r="D165" t="s">
        <v>1873</v>
      </c>
      <c r="E165">
        <v>650</v>
      </c>
      <c r="F165" t="s">
        <v>268</v>
      </c>
      <c r="G165">
        <v>845</v>
      </c>
      <c r="H165" s="9">
        <v>5</v>
      </c>
      <c r="I165" t="s">
        <v>268</v>
      </c>
      <c r="J165" t="s">
        <v>268</v>
      </c>
      <c r="K165" t="s">
        <v>2080</v>
      </c>
      <c r="L165" t="s">
        <v>2081</v>
      </c>
      <c r="M165" s="10" t="str">
        <f>HYPERLINK(cna_product_database_catalog_website[[#This Row],[Spec Sheet Link]], cna_product_database_catalog_website[[#Headers],[Spec Sheet Link]])</f>
        <v>Spec Sheet Link</v>
      </c>
      <c r="N165" t="s">
        <v>46</v>
      </c>
      <c r="O165">
        <v>1</v>
      </c>
      <c r="P165">
        <v>1</v>
      </c>
      <c r="Q165" t="s">
        <v>104</v>
      </c>
      <c r="R165" t="s">
        <v>358</v>
      </c>
      <c r="S165" t="s">
        <v>47</v>
      </c>
      <c r="T165" t="s">
        <v>47</v>
      </c>
      <c r="U165" t="s">
        <v>47</v>
      </c>
      <c r="V165" t="s">
        <v>47</v>
      </c>
      <c r="W165" t="s">
        <v>47</v>
      </c>
      <c r="X165" t="s">
        <v>336</v>
      </c>
      <c r="Y165" t="s">
        <v>916</v>
      </c>
      <c r="Z165" t="s">
        <v>47</v>
      </c>
      <c r="AA165" t="s">
        <v>47</v>
      </c>
      <c r="AB165" t="s">
        <v>47</v>
      </c>
      <c r="AC165" t="s">
        <v>47</v>
      </c>
      <c r="AD165" t="s">
        <v>47</v>
      </c>
      <c r="AE165"/>
      <c r="AF165" t="s">
        <v>47</v>
      </c>
      <c r="AG165" t="s">
        <v>47</v>
      </c>
      <c r="AH165" t="s">
        <v>47</v>
      </c>
      <c r="AI165" t="s">
        <v>47</v>
      </c>
      <c r="AJ165"/>
      <c r="AK165"/>
      <c r="AL165" t="s">
        <v>47</v>
      </c>
      <c r="AM165"/>
      <c r="AN165"/>
      <c r="AO165" t="s">
        <v>47</v>
      </c>
      <c r="AP165" t="s">
        <v>47</v>
      </c>
      <c r="AQ165" t="s">
        <v>47</v>
      </c>
      <c r="AR165"/>
      <c r="AS165"/>
      <c r="AT165"/>
      <c r="AU165"/>
      <c r="AV165" t="s">
        <v>47</v>
      </c>
      <c r="AW165" t="s">
        <v>47</v>
      </c>
      <c r="AX165">
        <v>20</v>
      </c>
      <c r="AY165">
        <v>200</v>
      </c>
      <c r="AZ165"/>
      <c r="BA165"/>
      <c r="BB165"/>
      <c r="BC165">
        <v>0</v>
      </c>
      <c r="BD165">
        <v>0</v>
      </c>
      <c r="BE165" t="s">
        <v>47</v>
      </c>
      <c r="BF165"/>
      <c r="BG165"/>
      <c r="BH165"/>
      <c r="BI165">
        <v>0</v>
      </c>
      <c r="BJ165">
        <v>0</v>
      </c>
      <c r="BK165"/>
      <c r="BL165"/>
      <c r="BM165" t="s">
        <v>47</v>
      </c>
      <c r="BN165" t="s">
        <v>47</v>
      </c>
      <c r="BO165" t="s">
        <v>47</v>
      </c>
      <c r="BP165" t="s">
        <v>47</v>
      </c>
      <c r="BQ165" t="s">
        <v>47</v>
      </c>
      <c r="BR165"/>
      <c r="BS165" t="s">
        <v>47</v>
      </c>
      <c r="BT165" t="s">
        <v>47</v>
      </c>
      <c r="BU165" t="s">
        <v>47</v>
      </c>
      <c r="BV165"/>
      <c r="BW165" t="s">
        <v>47</v>
      </c>
      <c r="BX165" t="s">
        <v>47</v>
      </c>
      <c r="BY165" t="s">
        <v>47</v>
      </c>
      <c r="BZ165" t="s">
        <v>47</v>
      </c>
      <c r="CA165" t="s">
        <v>47</v>
      </c>
      <c r="CB165" t="s">
        <v>47</v>
      </c>
      <c r="CC165" t="s">
        <v>47</v>
      </c>
      <c r="CD165" t="s">
        <v>47</v>
      </c>
      <c r="CE165" t="s">
        <v>47</v>
      </c>
      <c r="CF165" t="s">
        <v>47</v>
      </c>
      <c r="CG165" t="s">
        <v>47</v>
      </c>
      <c r="CH165" t="s">
        <v>47</v>
      </c>
      <c r="CI165" t="s">
        <v>47</v>
      </c>
      <c r="CJ165" t="s">
        <v>47</v>
      </c>
      <c r="CK165"/>
    </row>
    <row r="166" spans="1:89" s="7" customFormat="1" x14ac:dyDescent="0.25">
      <c r="A166" t="s">
        <v>1438</v>
      </c>
      <c r="B166" t="s">
        <v>1440</v>
      </c>
      <c r="C166" t="s">
        <v>1445</v>
      </c>
      <c r="D166" t="s">
        <v>1874</v>
      </c>
      <c r="E166">
        <v>651</v>
      </c>
      <c r="F166" t="s">
        <v>269</v>
      </c>
      <c r="G166">
        <v>763</v>
      </c>
      <c r="H166" s="9">
        <v>11.5</v>
      </c>
      <c r="I166" t="s">
        <v>269</v>
      </c>
      <c r="J166" t="s">
        <v>269</v>
      </c>
      <c r="K166" t="s">
        <v>2082</v>
      </c>
      <c r="L166" t="s">
        <v>2083</v>
      </c>
      <c r="M166" s="10" t="str">
        <f>HYPERLINK(cna_product_database_catalog_website[[#This Row],[Spec Sheet Link]], cna_product_database_catalog_website[[#Headers],[Spec Sheet Link]])</f>
        <v>Spec Sheet Link</v>
      </c>
      <c r="N166" t="s">
        <v>46</v>
      </c>
      <c r="O166">
        <v>1</v>
      </c>
      <c r="P166">
        <v>1</v>
      </c>
      <c r="Q166" t="s">
        <v>352</v>
      </c>
      <c r="R166" t="s">
        <v>358</v>
      </c>
      <c r="S166" t="s">
        <v>47</v>
      </c>
      <c r="T166" t="s">
        <v>47</v>
      </c>
      <c r="U166" t="s">
        <v>47</v>
      </c>
      <c r="V166" t="s">
        <v>47</v>
      </c>
      <c r="W166" t="s">
        <v>47</v>
      </c>
      <c r="X166" t="s">
        <v>336</v>
      </c>
      <c r="Y166" t="s">
        <v>917</v>
      </c>
      <c r="Z166" t="s">
        <v>47</v>
      </c>
      <c r="AA166" t="s">
        <v>47</v>
      </c>
      <c r="AB166" t="s">
        <v>47</v>
      </c>
      <c r="AC166" t="s">
        <v>47</v>
      </c>
      <c r="AD166" t="s">
        <v>47</v>
      </c>
      <c r="AE166"/>
      <c r="AF166" t="s">
        <v>47</v>
      </c>
      <c r="AG166" t="s">
        <v>47</v>
      </c>
      <c r="AH166" t="s">
        <v>47</v>
      </c>
      <c r="AI166" t="s">
        <v>47</v>
      </c>
      <c r="AJ166"/>
      <c r="AK166"/>
      <c r="AL166" t="s">
        <v>47</v>
      </c>
      <c r="AM166"/>
      <c r="AN166"/>
      <c r="AO166" t="s">
        <v>47</v>
      </c>
      <c r="AP166" t="s">
        <v>47</v>
      </c>
      <c r="AQ166" t="s">
        <v>47</v>
      </c>
      <c r="AR166"/>
      <c r="AS166"/>
      <c r="AT166"/>
      <c r="AU166"/>
      <c r="AV166" t="s">
        <v>47</v>
      </c>
      <c r="AW166" t="s">
        <v>47</v>
      </c>
      <c r="AX166">
        <v>20</v>
      </c>
      <c r="AY166">
        <v>200</v>
      </c>
      <c r="AZ166"/>
      <c r="BA166"/>
      <c r="BB166"/>
      <c r="BC166">
        <v>0</v>
      </c>
      <c r="BD166">
        <v>0</v>
      </c>
      <c r="BE166" t="s">
        <v>47</v>
      </c>
      <c r="BF166"/>
      <c r="BG166"/>
      <c r="BH166"/>
      <c r="BI166">
        <v>0</v>
      </c>
      <c r="BJ166">
        <v>0</v>
      </c>
      <c r="BK166"/>
      <c r="BL166"/>
      <c r="BM166" t="s">
        <v>47</v>
      </c>
      <c r="BN166" t="s">
        <v>47</v>
      </c>
      <c r="BO166" t="s">
        <v>47</v>
      </c>
      <c r="BP166" t="s">
        <v>47</v>
      </c>
      <c r="BQ166" t="s">
        <v>47</v>
      </c>
      <c r="BR166"/>
      <c r="BS166" t="s">
        <v>47</v>
      </c>
      <c r="BT166" t="s">
        <v>47</v>
      </c>
      <c r="BU166" t="s">
        <v>47</v>
      </c>
      <c r="BV166"/>
      <c r="BW166" t="s">
        <v>47</v>
      </c>
      <c r="BX166" t="s">
        <v>47</v>
      </c>
      <c r="BY166" t="s">
        <v>47</v>
      </c>
      <c r="BZ166" t="s">
        <v>47</v>
      </c>
      <c r="CA166" t="s">
        <v>47</v>
      </c>
      <c r="CB166" t="s">
        <v>47</v>
      </c>
      <c r="CC166" t="s">
        <v>47</v>
      </c>
      <c r="CD166" t="s">
        <v>47</v>
      </c>
      <c r="CE166" t="s">
        <v>47</v>
      </c>
      <c r="CF166" t="s">
        <v>47</v>
      </c>
      <c r="CG166" t="s">
        <v>47</v>
      </c>
      <c r="CH166" t="s">
        <v>47</v>
      </c>
      <c r="CI166" t="s">
        <v>47</v>
      </c>
      <c r="CJ166" t="s">
        <v>47</v>
      </c>
      <c r="CK166"/>
    </row>
    <row r="167" spans="1:89" s="7" customFormat="1" x14ac:dyDescent="0.25">
      <c r="A167" t="s">
        <v>1438</v>
      </c>
      <c r="B167" t="s">
        <v>1440</v>
      </c>
      <c r="C167" t="s">
        <v>1446</v>
      </c>
      <c r="D167" t="s">
        <v>1875</v>
      </c>
      <c r="E167">
        <v>652</v>
      </c>
      <c r="F167" t="s">
        <v>270</v>
      </c>
      <c r="G167">
        <v>764</v>
      </c>
      <c r="H167" s="9">
        <v>19.5</v>
      </c>
      <c r="I167" t="s">
        <v>270</v>
      </c>
      <c r="J167" t="s">
        <v>270</v>
      </c>
      <c r="K167" t="s">
        <v>2082</v>
      </c>
      <c r="L167" t="s">
        <v>2083</v>
      </c>
      <c r="M167" s="10" t="str">
        <f>HYPERLINK(cna_product_database_catalog_website[[#This Row],[Spec Sheet Link]], cna_product_database_catalog_website[[#Headers],[Spec Sheet Link]])</f>
        <v>Spec Sheet Link</v>
      </c>
      <c r="N167" t="s">
        <v>46</v>
      </c>
      <c r="O167">
        <v>1</v>
      </c>
      <c r="P167">
        <v>1</v>
      </c>
      <c r="Q167" t="s">
        <v>361</v>
      </c>
      <c r="R167" t="s">
        <v>358</v>
      </c>
      <c r="S167" t="s">
        <v>47</v>
      </c>
      <c r="T167" t="s">
        <v>47</v>
      </c>
      <c r="U167" t="s">
        <v>47</v>
      </c>
      <c r="V167" t="s">
        <v>47</v>
      </c>
      <c r="W167" t="s">
        <v>47</v>
      </c>
      <c r="X167" t="s">
        <v>336</v>
      </c>
      <c r="Y167" t="s">
        <v>918</v>
      </c>
      <c r="Z167" t="s">
        <v>47</v>
      </c>
      <c r="AA167" t="s">
        <v>47</v>
      </c>
      <c r="AB167" t="s">
        <v>47</v>
      </c>
      <c r="AC167" t="s">
        <v>47</v>
      </c>
      <c r="AD167" t="s">
        <v>47</v>
      </c>
      <c r="AE167"/>
      <c r="AF167" t="s">
        <v>47</v>
      </c>
      <c r="AG167" t="s">
        <v>47</v>
      </c>
      <c r="AH167" t="s">
        <v>47</v>
      </c>
      <c r="AI167" t="s">
        <v>47</v>
      </c>
      <c r="AJ167"/>
      <c r="AK167"/>
      <c r="AL167" t="s">
        <v>47</v>
      </c>
      <c r="AM167"/>
      <c r="AN167"/>
      <c r="AO167" t="s">
        <v>47</v>
      </c>
      <c r="AP167" t="s">
        <v>47</v>
      </c>
      <c r="AQ167" t="s">
        <v>47</v>
      </c>
      <c r="AR167"/>
      <c r="AS167"/>
      <c r="AT167"/>
      <c r="AU167"/>
      <c r="AV167" t="s">
        <v>47</v>
      </c>
      <c r="AW167" t="s">
        <v>47</v>
      </c>
      <c r="AX167">
        <v>20</v>
      </c>
      <c r="AY167">
        <v>200</v>
      </c>
      <c r="AZ167"/>
      <c r="BA167"/>
      <c r="BB167"/>
      <c r="BC167">
        <v>0</v>
      </c>
      <c r="BD167">
        <v>0</v>
      </c>
      <c r="BE167" t="s">
        <v>47</v>
      </c>
      <c r="BF167"/>
      <c r="BG167"/>
      <c r="BH167"/>
      <c r="BI167">
        <v>0</v>
      </c>
      <c r="BJ167">
        <v>0</v>
      </c>
      <c r="BK167"/>
      <c r="BL167"/>
      <c r="BM167" t="s">
        <v>47</v>
      </c>
      <c r="BN167" t="s">
        <v>47</v>
      </c>
      <c r="BO167" t="s">
        <v>47</v>
      </c>
      <c r="BP167" t="s">
        <v>47</v>
      </c>
      <c r="BQ167" t="s">
        <v>47</v>
      </c>
      <c r="BR167"/>
      <c r="BS167" t="s">
        <v>47</v>
      </c>
      <c r="BT167" t="s">
        <v>47</v>
      </c>
      <c r="BU167" t="s">
        <v>47</v>
      </c>
      <c r="BV167"/>
      <c r="BW167" t="s">
        <v>47</v>
      </c>
      <c r="BX167" t="s">
        <v>47</v>
      </c>
      <c r="BY167" t="s">
        <v>47</v>
      </c>
      <c r="BZ167" t="s">
        <v>47</v>
      </c>
      <c r="CA167" t="s">
        <v>47</v>
      </c>
      <c r="CB167" t="s">
        <v>47</v>
      </c>
      <c r="CC167" t="s">
        <v>47</v>
      </c>
      <c r="CD167" t="s">
        <v>47</v>
      </c>
      <c r="CE167" t="s">
        <v>47</v>
      </c>
      <c r="CF167" t="s">
        <v>47</v>
      </c>
      <c r="CG167" t="s">
        <v>47</v>
      </c>
      <c r="CH167" t="s">
        <v>47</v>
      </c>
      <c r="CI167" t="s">
        <v>47</v>
      </c>
      <c r="CJ167" t="s">
        <v>47</v>
      </c>
      <c r="CK167"/>
    </row>
    <row r="168" spans="1:89" s="7" customFormat="1" x14ac:dyDescent="0.25">
      <c r="A168" t="s">
        <v>1438</v>
      </c>
      <c r="B168" t="s">
        <v>1440</v>
      </c>
      <c r="C168" t="s">
        <v>1452</v>
      </c>
      <c r="D168" t="s">
        <v>1876</v>
      </c>
      <c r="E168">
        <v>653</v>
      </c>
      <c r="F168" t="s">
        <v>271</v>
      </c>
      <c r="G168">
        <v>767</v>
      </c>
      <c r="H168" s="9">
        <v>2</v>
      </c>
      <c r="I168" t="s">
        <v>271</v>
      </c>
      <c r="J168" t="s">
        <v>271</v>
      </c>
      <c r="K168" t="s">
        <v>47</v>
      </c>
      <c r="L168" t="s">
        <v>2083</v>
      </c>
      <c r="M168" s="10" t="str">
        <f>HYPERLINK(cna_product_database_catalog_website[[#This Row],[Spec Sheet Link]], cna_product_database_catalog_website[[#Headers],[Spec Sheet Link]])</f>
        <v>Spec Sheet Link</v>
      </c>
      <c r="N168" t="s">
        <v>46</v>
      </c>
      <c r="O168">
        <v>1</v>
      </c>
      <c r="P168">
        <v>1</v>
      </c>
      <c r="Q168" t="s">
        <v>343</v>
      </c>
      <c r="R168" t="s">
        <v>358</v>
      </c>
      <c r="S168" t="s">
        <v>47</v>
      </c>
      <c r="T168" t="s">
        <v>47</v>
      </c>
      <c r="U168" t="s">
        <v>47</v>
      </c>
      <c r="V168" t="s">
        <v>47</v>
      </c>
      <c r="W168" t="s">
        <v>47</v>
      </c>
      <c r="X168" t="s">
        <v>336</v>
      </c>
      <c r="Y168" t="s">
        <v>919</v>
      </c>
      <c r="Z168" t="s">
        <v>47</v>
      </c>
      <c r="AA168" t="s">
        <v>47</v>
      </c>
      <c r="AB168" t="s">
        <v>47</v>
      </c>
      <c r="AC168" t="s">
        <v>47</v>
      </c>
      <c r="AD168" t="s">
        <v>47</v>
      </c>
      <c r="AE168"/>
      <c r="AF168" t="s">
        <v>47</v>
      </c>
      <c r="AG168" t="s">
        <v>47</v>
      </c>
      <c r="AH168" t="s">
        <v>47</v>
      </c>
      <c r="AI168" t="s">
        <v>47</v>
      </c>
      <c r="AJ168"/>
      <c r="AK168"/>
      <c r="AL168" t="s">
        <v>47</v>
      </c>
      <c r="AM168"/>
      <c r="AN168"/>
      <c r="AO168" t="s">
        <v>47</v>
      </c>
      <c r="AP168" t="s">
        <v>47</v>
      </c>
      <c r="AQ168" t="s">
        <v>47</v>
      </c>
      <c r="AR168"/>
      <c r="AS168"/>
      <c r="AT168"/>
      <c r="AU168"/>
      <c r="AV168" t="s">
        <v>47</v>
      </c>
      <c r="AW168" t="s">
        <v>47</v>
      </c>
      <c r="AX168">
        <v>20</v>
      </c>
      <c r="AY168">
        <v>200</v>
      </c>
      <c r="AZ168"/>
      <c r="BA168"/>
      <c r="BB168"/>
      <c r="BC168">
        <v>0</v>
      </c>
      <c r="BD168">
        <v>0</v>
      </c>
      <c r="BE168" t="s">
        <v>47</v>
      </c>
      <c r="BF168"/>
      <c r="BG168"/>
      <c r="BH168"/>
      <c r="BI168">
        <v>0</v>
      </c>
      <c r="BJ168">
        <v>0</v>
      </c>
      <c r="BK168"/>
      <c r="BL168"/>
      <c r="BM168" t="s">
        <v>47</v>
      </c>
      <c r="BN168" t="s">
        <v>47</v>
      </c>
      <c r="BO168" t="s">
        <v>47</v>
      </c>
      <c r="BP168" t="s">
        <v>47</v>
      </c>
      <c r="BQ168" t="s">
        <v>47</v>
      </c>
      <c r="BR168"/>
      <c r="BS168" t="s">
        <v>47</v>
      </c>
      <c r="BT168" t="s">
        <v>47</v>
      </c>
      <c r="BU168" t="s">
        <v>47</v>
      </c>
      <c r="BV168"/>
      <c r="BW168" t="s">
        <v>47</v>
      </c>
      <c r="BX168" t="s">
        <v>47</v>
      </c>
      <c r="BY168" t="s">
        <v>47</v>
      </c>
      <c r="BZ168" t="s">
        <v>47</v>
      </c>
      <c r="CA168" t="s">
        <v>47</v>
      </c>
      <c r="CB168" t="s">
        <v>47</v>
      </c>
      <c r="CC168" t="s">
        <v>47</v>
      </c>
      <c r="CD168" t="s">
        <v>47</v>
      </c>
      <c r="CE168" t="s">
        <v>47</v>
      </c>
      <c r="CF168" t="s">
        <v>47</v>
      </c>
      <c r="CG168" t="s">
        <v>47</v>
      </c>
      <c r="CH168" t="s">
        <v>47</v>
      </c>
      <c r="CI168" t="s">
        <v>47</v>
      </c>
      <c r="CJ168" t="s">
        <v>47</v>
      </c>
      <c r="CK168"/>
    </row>
    <row r="169" spans="1:89" s="7" customFormat="1" x14ac:dyDescent="0.25">
      <c r="A169" t="s">
        <v>1438</v>
      </c>
      <c r="B169" t="s">
        <v>1440</v>
      </c>
      <c r="C169" t="s">
        <v>1453</v>
      </c>
      <c r="D169" t="s">
        <v>1877</v>
      </c>
      <c r="E169">
        <v>654</v>
      </c>
      <c r="F169" t="s">
        <v>272</v>
      </c>
      <c r="G169">
        <v>768</v>
      </c>
      <c r="H169" s="9">
        <v>2</v>
      </c>
      <c r="I169" t="s">
        <v>272</v>
      </c>
      <c r="J169" t="s">
        <v>272</v>
      </c>
      <c r="K169" t="s">
        <v>47</v>
      </c>
      <c r="L169" t="s">
        <v>2083</v>
      </c>
      <c r="M169" s="10" t="str">
        <f>HYPERLINK(cna_product_database_catalog_website[[#This Row],[Spec Sheet Link]], cna_product_database_catalog_website[[#Headers],[Spec Sheet Link]])</f>
        <v>Spec Sheet Link</v>
      </c>
      <c r="N169" t="s">
        <v>46</v>
      </c>
      <c r="O169">
        <v>1</v>
      </c>
      <c r="P169">
        <v>1</v>
      </c>
      <c r="Q169" t="s">
        <v>343</v>
      </c>
      <c r="R169" t="s">
        <v>358</v>
      </c>
      <c r="S169" t="s">
        <v>47</v>
      </c>
      <c r="T169" t="s">
        <v>47</v>
      </c>
      <c r="U169" t="s">
        <v>47</v>
      </c>
      <c r="V169" t="s">
        <v>47</v>
      </c>
      <c r="W169" t="s">
        <v>47</v>
      </c>
      <c r="X169" t="s">
        <v>336</v>
      </c>
      <c r="Y169" t="s">
        <v>917</v>
      </c>
      <c r="Z169" t="s">
        <v>47</v>
      </c>
      <c r="AA169" t="s">
        <v>47</v>
      </c>
      <c r="AB169" t="s">
        <v>47</v>
      </c>
      <c r="AC169" t="s">
        <v>47</v>
      </c>
      <c r="AD169" t="s">
        <v>47</v>
      </c>
      <c r="AE169"/>
      <c r="AF169" t="s">
        <v>47</v>
      </c>
      <c r="AG169" t="s">
        <v>47</v>
      </c>
      <c r="AH169" t="s">
        <v>47</v>
      </c>
      <c r="AI169" t="s">
        <v>47</v>
      </c>
      <c r="AJ169"/>
      <c r="AK169"/>
      <c r="AL169" t="s">
        <v>47</v>
      </c>
      <c r="AM169"/>
      <c r="AN169"/>
      <c r="AO169" t="s">
        <v>47</v>
      </c>
      <c r="AP169" t="s">
        <v>47</v>
      </c>
      <c r="AQ169" t="s">
        <v>47</v>
      </c>
      <c r="AR169"/>
      <c r="AS169"/>
      <c r="AT169"/>
      <c r="AU169"/>
      <c r="AV169" t="s">
        <v>47</v>
      </c>
      <c r="AW169" t="s">
        <v>47</v>
      </c>
      <c r="AX169">
        <v>20</v>
      </c>
      <c r="AY169">
        <v>200</v>
      </c>
      <c r="AZ169"/>
      <c r="BA169"/>
      <c r="BB169"/>
      <c r="BC169">
        <v>0</v>
      </c>
      <c r="BD169">
        <v>0</v>
      </c>
      <c r="BE169" t="s">
        <v>47</v>
      </c>
      <c r="BF169"/>
      <c r="BG169"/>
      <c r="BH169"/>
      <c r="BI169">
        <v>0</v>
      </c>
      <c r="BJ169">
        <v>0</v>
      </c>
      <c r="BK169"/>
      <c r="BL169"/>
      <c r="BM169" t="s">
        <v>47</v>
      </c>
      <c r="BN169" t="s">
        <v>47</v>
      </c>
      <c r="BO169" t="s">
        <v>47</v>
      </c>
      <c r="BP169" t="s">
        <v>47</v>
      </c>
      <c r="BQ169" t="s">
        <v>47</v>
      </c>
      <c r="BR169"/>
      <c r="BS169" t="s">
        <v>47</v>
      </c>
      <c r="BT169" t="s">
        <v>47</v>
      </c>
      <c r="BU169" t="s">
        <v>47</v>
      </c>
      <c r="BV169"/>
      <c r="BW169" t="s">
        <v>47</v>
      </c>
      <c r="BX169" t="s">
        <v>47</v>
      </c>
      <c r="BY169" t="s">
        <v>47</v>
      </c>
      <c r="BZ169" t="s">
        <v>47</v>
      </c>
      <c r="CA169" t="s">
        <v>47</v>
      </c>
      <c r="CB169" t="s">
        <v>47</v>
      </c>
      <c r="CC169" t="s">
        <v>47</v>
      </c>
      <c r="CD169" t="s">
        <v>47</v>
      </c>
      <c r="CE169" t="s">
        <v>47</v>
      </c>
      <c r="CF169" t="s">
        <v>47</v>
      </c>
      <c r="CG169" t="s">
        <v>47</v>
      </c>
      <c r="CH169" t="s">
        <v>47</v>
      </c>
      <c r="CI169" t="s">
        <v>47</v>
      </c>
      <c r="CJ169" t="s">
        <v>47</v>
      </c>
      <c r="CK169"/>
    </row>
    <row r="170" spans="1:89" s="7" customFormat="1" x14ac:dyDescent="0.25">
      <c r="A170" t="s">
        <v>1438</v>
      </c>
      <c r="B170" t="s">
        <v>1465</v>
      </c>
      <c r="C170" t="s">
        <v>1466</v>
      </c>
      <c r="D170" t="s">
        <v>1878</v>
      </c>
      <c r="E170">
        <v>710</v>
      </c>
      <c r="F170" t="s">
        <v>281</v>
      </c>
      <c r="G170">
        <v>1009</v>
      </c>
      <c r="H170" s="9">
        <v>90</v>
      </c>
      <c r="I170" t="s">
        <v>281</v>
      </c>
      <c r="J170" t="s">
        <v>796</v>
      </c>
      <c r="K170" t="s">
        <v>2084</v>
      </c>
      <c r="L170" t="s">
        <v>2085</v>
      </c>
      <c r="M170" s="10" t="str">
        <f>HYPERLINK(cna_product_database_catalog_website[[#This Row],[Spec Sheet Link]], cna_product_database_catalog_website[[#Headers],[Spec Sheet Link]])</f>
        <v>Spec Sheet Link</v>
      </c>
      <c r="N170" t="s">
        <v>46</v>
      </c>
      <c r="O170">
        <v>1</v>
      </c>
      <c r="P170">
        <v>1</v>
      </c>
      <c r="Q170" t="s">
        <v>343</v>
      </c>
      <c r="R170" t="s">
        <v>358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t="s">
        <v>336</v>
      </c>
      <c r="Y170" t="s">
        <v>916</v>
      </c>
      <c r="Z170" t="s">
        <v>47</v>
      </c>
      <c r="AA170" t="s">
        <v>47</v>
      </c>
      <c r="AB170" t="s">
        <v>47</v>
      </c>
      <c r="AC170" t="s">
        <v>47</v>
      </c>
      <c r="AD170" t="s">
        <v>47</v>
      </c>
      <c r="AE170"/>
      <c r="AF170" t="s">
        <v>47</v>
      </c>
      <c r="AG170" t="s">
        <v>47</v>
      </c>
      <c r="AH170" t="s">
        <v>47</v>
      </c>
      <c r="AI170" t="s">
        <v>47</v>
      </c>
      <c r="AJ170"/>
      <c r="AK170"/>
      <c r="AL170" t="s">
        <v>47</v>
      </c>
      <c r="AM170"/>
      <c r="AN170"/>
      <c r="AO170" t="s">
        <v>47</v>
      </c>
      <c r="AP170" t="s">
        <v>47</v>
      </c>
      <c r="AQ170" t="s">
        <v>47</v>
      </c>
      <c r="AR170"/>
      <c r="AS170"/>
      <c r="AT170"/>
      <c r="AU170"/>
      <c r="AV170" t="s">
        <v>47</v>
      </c>
      <c r="AW170" t="s">
        <v>47</v>
      </c>
      <c r="AX170">
        <v>20</v>
      </c>
      <c r="AY170">
        <v>200</v>
      </c>
      <c r="AZ170"/>
      <c r="BA170"/>
      <c r="BB170"/>
      <c r="BC170">
        <v>0</v>
      </c>
      <c r="BD170">
        <v>0</v>
      </c>
      <c r="BE170" t="s">
        <v>47</v>
      </c>
      <c r="BF170"/>
      <c r="BG170"/>
      <c r="BH170"/>
      <c r="BI170">
        <v>0</v>
      </c>
      <c r="BJ170">
        <v>0</v>
      </c>
      <c r="BK170"/>
      <c r="BL170"/>
      <c r="BM170" t="s">
        <v>47</v>
      </c>
      <c r="BN170" t="s">
        <v>47</v>
      </c>
      <c r="BO170" t="s">
        <v>47</v>
      </c>
      <c r="BP170" t="s">
        <v>47</v>
      </c>
      <c r="BQ170" t="s">
        <v>47</v>
      </c>
      <c r="BR170"/>
      <c r="BS170" t="s">
        <v>47</v>
      </c>
      <c r="BT170" t="s">
        <v>47</v>
      </c>
      <c r="BU170" t="s">
        <v>47</v>
      </c>
      <c r="BV170"/>
      <c r="BW170" t="s">
        <v>47</v>
      </c>
      <c r="BX170" t="s">
        <v>47</v>
      </c>
      <c r="BY170" t="s">
        <v>47</v>
      </c>
      <c r="BZ170" t="s">
        <v>47</v>
      </c>
      <c r="CA170" t="s">
        <v>47</v>
      </c>
      <c r="CB170" t="s">
        <v>47</v>
      </c>
      <c r="CC170" t="s">
        <v>47</v>
      </c>
      <c r="CD170" t="s">
        <v>47</v>
      </c>
      <c r="CE170" t="s">
        <v>47</v>
      </c>
      <c r="CF170" t="s">
        <v>47</v>
      </c>
      <c r="CG170" t="s">
        <v>47</v>
      </c>
      <c r="CH170" t="s">
        <v>47</v>
      </c>
      <c r="CI170" t="s">
        <v>47</v>
      </c>
      <c r="CJ170" t="s">
        <v>47</v>
      </c>
      <c r="CK170"/>
    </row>
    <row r="171" spans="1:89" s="7" customFormat="1" x14ac:dyDescent="0.25">
      <c r="A171" t="s">
        <v>1438</v>
      </c>
      <c r="B171" t="s">
        <v>1465</v>
      </c>
      <c r="C171" t="s">
        <v>1467</v>
      </c>
      <c r="D171" t="s">
        <v>1879</v>
      </c>
      <c r="E171">
        <v>711</v>
      </c>
      <c r="F171" t="s">
        <v>282</v>
      </c>
      <c r="G171">
        <v>1138</v>
      </c>
      <c r="H171" s="9">
        <v>90</v>
      </c>
      <c r="I171" t="s">
        <v>282</v>
      </c>
      <c r="J171" t="s">
        <v>795</v>
      </c>
      <c r="K171" t="s">
        <v>2084</v>
      </c>
      <c r="L171" t="s">
        <v>2085</v>
      </c>
      <c r="M171" s="10" t="str">
        <f>HYPERLINK(cna_product_database_catalog_website[[#This Row],[Spec Sheet Link]], cna_product_database_catalog_website[[#Headers],[Spec Sheet Link]])</f>
        <v>Spec Sheet Link</v>
      </c>
      <c r="N171" t="s">
        <v>46</v>
      </c>
      <c r="O171">
        <v>1</v>
      </c>
      <c r="P171">
        <v>1</v>
      </c>
      <c r="Q171" t="s">
        <v>334</v>
      </c>
      <c r="R171" t="s">
        <v>358</v>
      </c>
      <c r="S171" t="s">
        <v>47</v>
      </c>
      <c r="T171" t="s">
        <v>47</v>
      </c>
      <c r="U171" t="s">
        <v>47</v>
      </c>
      <c r="V171" t="s">
        <v>47</v>
      </c>
      <c r="W171" t="s">
        <v>47</v>
      </c>
      <c r="X171" t="s">
        <v>336</v>
      </c>
      <c r="Y171" t="s">
        <v>918</v>
      </c>
      <c r="Z171" t="s">
        <v>47</v>
      </c>
      <c r="AA171" t="s">
        <v>47</v>
      </c>
      <c r="AB171" t="s">
        <v>47</v>
      </c>
      <c r="AC171" t="s">
        <v>47</v>
      </c>
      <c r="AD171" t="s">
        <v>47</v>
      </c>
      <c r="AE171"/>
      <c r="AF171" t="s">
        <v>47</v>
      </c>
      <c r="AG171" t="s">
        <v>47</v>
      </c>
      <c r="AH171" t="s">
        <v>47</v>
      </c>
      <c r="AI171" t="s">
        <v>47</v>
      </c>
      <c r="AJ171"/>
      <c r="AK171"/>
      <c r="AL171" t="s">
        <v>47</v>
      </c>
      <c r="AM171"/>
      <c r="AN171"/>
      <c r="AO171" t="s">
        <v>47</v>
      </c>
      <c r="AP171" t="s">
        <v>47</v>
      </c>
      <c r="AQ171" t="s">
        <v>47</v>
      </c>
      <c r="AR171"/>
      <c r="AS171"/>
      <c r="AT171"/>
      <c r="AU171"/>
      <c r="AV171" t="s">
        <v>47</v>
      </c>
      <c r="AW171" t="s">
        <v>47</v>
      </c>
      <c r="AX171">
        <v>20</v>
      </c>
      <c r="AY171">
        <v>200</v>
      </c>
      <c r="AZ171"/>
      <c r="BA171"/>
      <c r="BB171"/>
      <c r="BC171">
        <v>0</v>
      </c>
      <c r="BD171">
        <v>0</v>
      </c>
      <c r="BE171" t="s">
        <v>47</v>
      </c>
      <c r="BF171"/>
      <c r="BG171"/>
      <c r="BH171"/>
      <c r="BI171">
        <v>0</v>
      </c>
      <c r="BJ171">
        <v>0</v>
      </c>
      <c r="BK171"/>
      <c r="BL171"/>
      <c r="BM171" t="s">
        <v>47</v>
      </c>
      <c r="BN171" t="s">
        <v>47</v>
      </c>
      <c r="BO171" t="s">
        <v>47</v>
      </c>
      <c r="BP171" t="s">
        <v>47</v>
      </c>
      <c r="BQ171" t="s">
        <v>47</v>
      </c>
      <c r="BR171"/>
      <c r="BS171" t="s">
        <v>47</v>
      </c>
      <c r="BT171" t="s">
        <v>47</v>
      </c>
      <c r="BU171" t="s">
        <v>47</v>
      </c>
      <c r="BV171"/>
      <c r="BW171" t="s">
        <v>47</v>
      </c>
      <c r="BX171" t="s">
        <v>47</v>
      </c>
      <c r="BY171" t="s">
        <v>47</v>
      </c>
      <c r="BZ171" t="s">
        <v>47</v>
      </c>
      <c r="CA171" t="s">
        <v>47</v>
      </c>
      <c r="CB171" t="s">
        <v>47</v>
      </c>
      <c r="CC171" t="s">
        <v>47</v>
      </c>
      <c r="CD171" t="s">
        <v>47</v>
      </c>
      <c r="CE171" t="s">
        <v>47</v>
      </c>
      <c r="CF171" t="s">
        <v>47</v>
      </c>
      <c r="CG171" t="s">
        <v>47</v>
      </c>
      <c r="CH171" t="s">
        <v>47</v>
      </c>
      <c r="CI171" t="s">
        <v>47</v>
      </c>
      <c r="CJ171" t="s">
        <v>47</v>
      </c>
      <c r="CK171"/>
    </row>
    <row r="172" spans="1:89" s="7" customFormat="1" x14ac:dyDescent="0.25">
      <c r="A172" t="s">
        <v>1438</v>
      </c>
      <c r="B172" t="s">
        <v>1465</v>
      </c>
      <c r="C172" t="s">
        <v>803</v>
      </c>
      <c r="D172" t="s">
        <v>1880</v>
      </c>
      <c r="E172">
        <v>715</v>
      </c>
      <c r="F172" t="s">
        <v>1318</v>
      </c>
      <c r="G172">
        <v>1145</v>
      </c>
      <c r="H172" s="9">
        <v>2</v>
      </c>
      <c r="I172" t="s">
        <v>1318</v>
      </c>
      <c r="J172" t="s">
        <v>797</v>
      </c>
      <c r="K172" t="s">
        <v>2086</v>
      </c>
      <c r="L172" t="s">
        <v>2085</v>
      </c>
      <c r="M172" s="10" t="str">
        <f>HYPERLINK(cna_product_database_catalog_website[[#This Row],[Spec Sheet Link]], cna_product_database_catalog_website[[#Headers],[Spec Sheet Link]])</f>
        <v>Spec Sheet Link</v>
      </c>
      <c r="N172" t="s">
        <v>46</v>
      </c>
      <c r="O172">
        <v>1</v>
      </c>
      <c r="P172">
        <v>1</v>
      </c>
      <c r="Q172" t="s">
        <v>343</v>
      </c>
      <c r="R172" t="s">
        <v>358</v>
      </c>
      <c r="S172" t="s">
        <v>47</v>
      </c>
      <c r="T172" t="s">
        <v>47</v>
      </c>
      <c r="U172" t="s">
        <v>47</v>
      </c>
      <c r="V172" t="s">
        <v>47</v>
      </c>
      <c r="W172" t="s">
        <v>47</v>
      </c>
      <c r="X172" t="s">
        <v>336</v>
      </c>
      <c r="Y172" t="s">
        <v>918</v>
      </c>
      <c r="Z172" t="s">
        <v>47</v>
      </c>
      <c r="AA172" t="s">
        <v>47</v>
      </c>
      <c r="AB172" t="s">
        <v>47</v>
      </c>
      <c r="AC172" t="s">
        <v>47</v>
      </c>
      <c r="AD172" t="s">
        <v>47</v>
      </c>
      <c r="AE172"/>
      <c r="AF172" t="s">
        <v>47</v>
      </c>
      <c r="AG172" t="s">
        <v>47</v>
      </c>
      <c r="AH172" t="s">
        <v>47</v>
      </c>
      <c r="AI172" t="s">
        <v>47</v>
      </c>
      <c r="AJ172"/>
      <c r="AK172"/>
      <c r="AL172" t="s">
        <v>47</v>
      </c>
      <c r="AM172"/>
      <c r="AN172"/>
      <c r="AO172" t="s">
        <v>47</v>
      </c>
      <c r="AP172" t="s">
        <v>47</v>
      </c>
      <c r="AQ172" t="s">
        <v>47</v>
      </c>
      <c r="AR172"/>
      <c r="AS172"/>
      <c r="AT172"/>
      <c r="AU172"/>
      <c r="AV172" t="s">
        <v>47</v>
      </c>
      <c r="AW172" t="s">
        <v>47</v>
      </c>
      <c r="AX172">
        <v>20</v>
      </c>
      <c r="AY172">
        <v>200</v>
      </c>
      <c r="AZ172"/>
      <c r="BA172"/>
      <c r="BB172"/>
      <c r="BC172">
        <v>0</v>
      </c>
      <c r="BD172">
        <v>0</v>
      </c>
      <c r="BE172" t="s">
        <v>47</v>
      </c>
      <c r="BF172"/>
      <c r="BG172"/>
      <c r="BH172"/>
      <c r="BI172">
        <v>0</v>
      </c>
      <c r="BJ172">
        <v>0</v>
      </c>
      <c r="BK172"/>
      <c r="BL172"/>
      <c r="BM172" t="s">
        <v>47</v>
      </c>
      <c r="BN172" t="s">
        <v>47</v>
      </c>
      <c r="BO172" t="s">
        <v>47</v>
      </c>
      <c r="BP172" t="s">
        <v>47</v>
      </c>
      <c r="BQ172" t="s">
        <v>47</v>
      </c>
      <c r="BR172"/>
      <c r="BS172" t="s">
        <v>47</v>
      </c>
      <c r="BT172" t="s">
        <v>47</v>
      </c>
      <c r="BU172" t="s">
        <v>47</v>
      </c>
      <c r="BV172"/>
      <c r="BW172" t="s">
        <v>47</v>
      </c>
      <c r="BX172" t="s">
        <v>47</v>
      </c>
      <c r="BY172" t="s">
        <v>47</v>
      </c>
      <c r="BZ172" t="s">
        <v>47</v>
      </c>
      <c r="CA172" t="s">
        <v>47</v>
      </c>
      <c r="CB172" t="s">
        <v>47</v>
      </c>
      <c r="CC172" t="s">
        <v>47</v>
      </c>
      <c r="CD172" t="s">
        <v>47</v>
      </c>
      <c r="CE172" t="s">
        <v>47</v>
      </c>
      <c r="CF172" t="s">
        <v>47</v>
      </c>
      <c r="CG172" t="s">
        <v>47</v>
      </c>
      <c r="CH172" t="s">
        <v>47</v>
      </c>
      <c r="CI172" t="s">
        <v>47</v>
      </c>
      <c r="CJ172" t="s">
        <v>47</v>
      </c>
      <c r="CK172"/>
    </row>
    <row r="173" spans="1:89" s="7" customFormat="1" x14ac:dyDescent="0.25">
      <c r="A173" t="s">
        <v>1438</v>
      </c>
      <c r="B173" t="s">
        <v>1465</v>
      </c>
      <c r="C173" t="s">
        <v>805</v>
      </c>
      <c r="D173" t="s">
        <v>1881</v>
      </c>
      <c r="E173">
        <v>716</v>
      </c>
      <c r="F173" t="s">
        <v>1319</v>
      </c>
      <c r="G173">
        <v>1146</v>
      </c>
      <c r="H173" s="9">
        <v>3</v>
      </c>
      <c r="I173" t="s">
        <v>1319</v>
      </c>
      <c r="J173" t="s">
        <v>804</v>
      </c>
      <c r="K173" t="s">
        <v>2087</v>
      </c>
      <c r="L173" t="s">
        <v>2085</v>
      </c>
      <c r="M173" s="10" t="str">
        <f>HYPERLINK(cna_product_database_catalog_website[[#This Row],[Spec Sheet Link]], cna_product_database_catalog_website[[#Headers],[Spec Sheet Link]])</f>
        <v>Spec Sheet Link</v>
      </c>
      <c r="N173" t="s">
        <v>46</v>
      </c>
      <c r="O173">
        <v>1</v>
      </c>
      <c r="P173">
        <v>1</v>
      </c>
      <c r="Q173" t="s">
        <v>104</v>
      </c>
      <c r="R173" t="s">
        <v>358</v>
      </c>
      <c r="S173" t="s">
        <v>47</v>
      </c>
      <c r="T173" t="s">
        <v>47</v>
      </c>
      <c r="U173" t="s">
        <v>47</v>
      </c>
      <c r="V173" t="s">
        <v>47</v>
      </c>
      <c r="W173" t="s">
        <v>47</v>
      </c>
      <c r="X173" t="s">
        <v>336</v>
      </c>
      <c r="Y173" t="s">
        <v>918</v>
      </c>
      <c r="Z173" t="s">
        <v>47</v>
      </c>
      <c r="AA173" t="s">
        <v>47</v>
      </c>
      <c r="AB173" t="s">
        <v>47</v>
      </c>
      <c r="AC173" t="s">
        <v>47</v>
      </c>
      <c r="AD173" t="s">
        <v>47</v>
      </c>
      <c r="AE173"/>
      <c r="AF173" t="s">
        <v>47</v>
      </c>
      <c r="AG173" t="s">
        <v>47</v>
      </c>
      <c r="AH173" t="s">
        <v>47</v>
      </c>
      <c r="AI173" t="s">
        <v>47</v>
      </c>
      <c r="AJ173"/>
      <c r="AK173"/>
      <c r="AL173" t="s">
        <v>47</v>
      </c>
      <c r="AM173"/>
      <c r="AN173"/>
      <c r="AO173" t="s">
        <v>47</v>
      </c>
      <c r="AP173" t="s">
        <v>47</v>
      </c>
      <c r="AQ173" t="s">
        <v>47</v>
      </c>
      <c r="AR173"/>
      <c r="AS173"/>
      <c r="AT173"/>
      <c r="AU173"/>
      <c r="AV173" t="s">
        <v>47</v>
      </c>
      <c r="AW173" t="s">
        <v>47</v>
      </c>
      <c r="AX173">
        <v>20</v>
      </c>
      <c r="AY173">
        <v>200</v>
      </c>
      <c r="AZ173"/>
      <c r="BA173"/>
      <c r="BB173"/>
      <c r="BC173">
        <v>0</v>
      </c>
      <c r="BD173">
        <v>0</v>
      </c>
      <c r="BE173" t="s">
        <v>47</v>
      </c>
      <c r="BF173"/>
      <c r="BG173"/>
      <c r="BH173"/>
      <c r="BI173">
        <v>0</v>
      </c>
      <c r="BJ173">
        <v>0</v>
      </c>
      <c r="BK173"/>
      <c r="BL173"/>
      <c r="BM173" t="s">
        <v>47</v>
      </c>
      <c r="BN173" t="s">
        <v>47</v>
      </c>
      <c r="BO173" t="s">
        <v>47</v>
      </c>
      <c r="BP173" t="s">
        <v>47</v>
      </c>
      <c r="BQ173" t="s">
        <v>47</v>
      </c>
      <c r="BR173"/>
      <c r="BS173" t="s">
        <v>47</v>
      </c>
      <c r="BT173" t="s">
        <v>47</v>
      </c>
      <c r="BU173" t="s">
        <v>47</v>
      </c>
      <c r="BV173"/>
      <c r="BW173" t="s">
        <v>47</v>
      </c>
      <c r="BX173" t="s">
        <v>47</v>
      </c>
      <c r="BY173" t="s">
        <v>47</v>
      </c>
      <c r="BZ173" t="s">
        <v>47</v>
      </c>
      <c r="CA173" t="s">
        <v>47</v>
      </c>
      <c r="CB173" t="s">
        <v>47</v>
      </c>
      <c r="CC173" t="s">
        <v>47</v>
      </c>
      <c r="CD173" t="s">
        <v>47</v>
      </c>
      <c r="CE173" t="s">
        <v>47</v>
      </c>
      <c r="CF173" t="s">
        <v>47</v>
      </c>
      <c r="CG173" t="s">
        <v>47</v>
      </c>
      <c r="CH173" t="s">
        <v>47</v>
      </c>
      <c r="CI173" t="s">
        <v>47</v>
      </c>
      <c r="CJ173" t="s">
        <v>47</v>
      </c>
      <c r="CK173"/>
    </row>
    <row r="174" spans="1:89" s="7" customFormat="1" x14ac:dyDescent="0.25">
      <c r="A174" t="s">
        <v>1438</v>
      </c>
      <c r="B174" t="s">
        <v>1465</v>
      </c>
      <c r="C174" t="s">
        <v>806</v>
      </c>
      <c r="D174" t="s">
        <v>1882</v>
      </c>
      <c r="E174">
        <v>717</v>
      </c>
      <c r="F174" t="s">
        <v>1320</v>
      </c>
      <c r="G174">
        <v>1144</v>
      </c>
      <c r="H174" s="9">
        <v>1.5</v>
      </c>
      <c r="I174" t="s">
        <v>1320</v>
      </c>
      <c r="J174" t="s">
        <v>798</v>
      </c>
      <c r="K174" t="s">
        <v>2088</v>
      </c>
      <c r="L174" t="s">
        <v>2085</v>
      </c>
      <c r="M174" s="10" t="str">
        <f>HYPERLINK(cna_product_database_catalog_website[[#This Row],[Spec Sheet Link]], cna_product_database_catalog_website[[#Headers],[Spec Sheet Link]])</f>
        <v>Spec Sheet Link</v>
      </c>
      <c r="N174" t="s">
        <v>46</v>
      </c>
      <c r="O174">
        <v>1</v>
      </c>
      <c r="P174">
        <v>1</v>
      </c>
      <c r="Q174" t="s">
        <v>343</v>
      </c>
      <c r="R174" t="s">
        <v>358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336</v>
      </c>
      <c r="Y174" t="s">
        <v>918</v>
      </c>
      <c r="Z174" t="s">
        <v>47</v>
      </c>
      <c r="AA174" t="s">
        <v>47</v>
      </c>
      <c r="AB174" t="s">
        <v>47</v>
      </c>
      <c r="AC174" t="s">
        <v>47</v>
      </c>
      <c r="AD174" t="s">
        <v>47</v>
      </c>
      <c r="AE174"/>
      <c r="AF174" t="s">
        <v>47</v>
      </c>
      <c r="AG174" t="s">
        <v>47</v>
      </c>
      <c r="AH174" t="s">
        <v>47</v>
      </c>
      <c r="AI174" t="s">
        <v>47</v>
      </c>
      <c r="AJ174"/>
      <c r="AK174"/>
      <c r="AL174" t="s">
        <v>47</v>
      </c>
      <c r="AM174"/>
      <c r="AN174"/>
      <c r="AO174" t="s">
        <v>47</v>
      </c>
      <c r="AP174" t="s">
        <v>47</v>
      </c>
      <c r="AQ174" t="s">
        <v>47</v>
      </c>
      <c r="AR174"/>
      <c r="AS174"/>
      <c r="AT174"/>
      <c r="AU174"/>
      <c r="AV174" t="s">
        <v>47</v>
      </c>
      <c r="AW174" t="s">
        <v>47</v>
      </c>
      <c r="AX174">
        <v>20</v>
      </c>
      <c r="AY174">
        <v>200</v>
      </c>
      <c r="AZ174"/>
      <c r="BA174"/>
      <c r="BB174"/>
      <c r="BC174">
        <v>0</v>
      </c>
      <c r="BD174">
        <v>0</v>
      </c>
      <c r="BE174" t="s">
        <v>47</v>
      </c>
      <c r="BF174"/>
      <c r="BG174"/>
      <c r="BH174"/>
      <c r="BI174">
        <v>0</v>
      </c>
      <c r="BJ174">
        <v>0</v>
      </c>
      <c r="BK174"/>
      <c r="BL174"/>
      <c r="BM174" t="s">
        <v>47</v>
      </c>
      <c r="BN174" t="s">
        <v>47</v>
      </c>
      <c r="BO174" t="s">
        <v>47</v>
      </c>
      <c r="BP174" t="s">
        <v>47</v>
      </c>
      <c r="BQ174" t="s">
        <v>47</v>
      </c>
      <c r="BR174"/>
      <c r="BS174" t="s">
        <v>47</v>
      </c>
      <c r="BT174" t="s">
        <v>47</v>
      </c>
      <c r="BU174" t="s">
        <v>47</v>
      </c>
      <c r="BV174"/>
      <c r="BW174" t="s">
        <v>47</v>
      </c>
      <c r="BX174" t="s">
        <v>47</v>
      </c>
      <c r="BY174" t="s">
        <v>47</v>
      </c>
      <c r="BZ174" t="s">
        <v>47</v>
      </c>
      <c r="CA174" t="s">
        <v>47</v>
      </c>
      <c r="CB174" t="s">
        <v>47</v>
      </c>
      <c r="CC174" t="s">
        <v>47</v>
      </c>
      <c r="CD174" t="s">
        <v>47</v>
      </c>
      <c r="CE174" t="s">
        <v>47</v>
      </c>
      <c r="CF174" t="s">
        <v>47</v>
      </c>
      <c r="CG174" t="s">
        <v>47</v>
      </c>
      <c r="CH174" t="s">
        <v>47</v>
      </c>
      <c r="CI174" t="s">
        <v>47</v>
      </c>
      <c r="CJ174" t="s">
        <v>47</v>
      </c>
      <c r="CK174"/>
    </row>
    <row r="175" spans="1:89" s="7" customFormat="1" x14ac:dyDescent="0.25">
      <c r="A175" t="s">
        <v>1438</v>
      </c>
      <c r="B175" t="s">
        <v>1465</v>
      </c>
      <c r="C175" t="s">
        <v>807</v>
      </c>
      <c r="D175" t="s">
        <v>1883</v>
      </c>
      <c r="E175">
        <v>718</v>
      </c>
      <c r="F175" t="s">
        <v>1321</v>
      </c>
      <c r="G175">
        <v>1147</v>
      </c>
      <c r="H175" s="9">
        <v>5</v>
      </c>
      <c r="I175" t="s">
        <v>1321</v>
      </c>
      <c r="J175" t="s">
        <v>799</v>
      </c>
      <c r="K175" t="s">
        <v>2089</v>
      </c>
      <c r="L175" t="s">
        <v>2085</v>
      </c>
      <c r="M175" s="10" t="str">
        <f>HYPERLINK(cna_product_database_catalog_website[[#This Row],[Spec Sheet Link]], cna_product_database_catalog_website[[#Headers],[Spec Sheet Link]])</f>
        <v>Spec Sheet Link</v>
      </c>
      <c r="N175" t="s">
        <v>46</v>
      </c>
      <c r="O175">
        <v>1</v>
      </c>
      <c r="P175">
        <v>1</v>
      </c>
      <c r="Q175" t="s">
        <v>343</v>
      </c>
      <c r="R175" t="s">
        <v>358</v>
      </c>
      <c r="S175" t="s">
        <v>47</v>
      </c>
      <c r="T175" t="s">
        <v>47</v>
      </c>
      <c r="U175" t="s">
        <v>47</v>
      </c>
      <c r="V175" t="s">
        <v>47</v>
      </c>
      <c r="W175" t="s">
        <v>47</v>
      </c>
      <c r="X175" t="s">
        <v>370</v>
      </c>
      <c r="Y175" t="s">
        <v>918</v>
      </c>
      <c r="Z175" t="s">
        <v>47</v>
      </c>
      <c r="AA175" t="s">
        <v>47</v>
      </c>
      <c r="AB175" t="s">
        <v>47</v>
      </c>
      <c r="AC175" t="s">
        <v>47</v>
      </c>
      <c r="AD175" t="s">
        <v>47</v>
      </c>
      <c r="AE175"/>
      <c r="AF175" t="s">
        <v>47</v>
      </c>
      <c r="AG175" t="s">
        <v>47</v>
      </c>
      <c r="AH175" t="s">
        <v>47</v>
      </c>
      <c r="AI175" t="s">
        <v>47</v>
      </c>
      <c r="AJ175"/>
      <c r="AK175"/>
      <c r="AL175" t="s">
        <v>47</v>
      </c>
      <c r="AM175"/>
      <c r="AN175"/>
      <c r="AO175" t="s">
        <v>47</v>
      </c>
      <c r="AP175" t="s">
        <v>47</v>
      </c>
      <c r="AQ175" t="s">
        <v>47</v>
      </c>
      <c r="AR175"/>
      <c r="AS175"/>
      <c r="AT175"/>
      <c r="AU175"/>
      <c r="AV175" t="s">
        <v>47</v>
      </c>
      <c r="AW175" t="s">
        <v>47</v>
      </c>
      <c r="AX175">
        <v>20</v>
      </c>
      <c r="AY175">
        <v>200</v>
      </c>
      <c r="AZ175"/>
      <c r="BA175"/>
      <c r="BB175"/>
      <c r="BC175">
        <v>0</v>
      </c>
      <c r="BD175">
        <v>0</v>
      </c>
      <c r="BE175" t="s">
        <v>47</v>
      </c>
      <c r="BF175"/>
      <c r="BG175"/>
      <c r="BH175"/>
      <c r="BI175">
        <v>0</v>
      </c>
      <c r="BJ175">
        <v>0</v>
      </c>
      <c r="BK175"/>
      <c r="BL175"/>
      <c r="BM175" t="s">
        <v>47</v>
      </c>
      <c r="BN175" t="s">
        <v>47</v>
      </c>
      <c r="BO175" t="s">
        <v>47</v>
      </c>
      <c r="BP175" t="s">
        <v>47</v>
      </c>
      <c r="BQ175" t="s">
        <v>47</v>
      </c>
      <c r="BR175"/>
      <c r="BS175" t="s">
        <v>47</v>
      </c>
      <c r="BT175" t="s">
        <v>47</v>
      </c>
      <c r="BU175" t="s">
        <v>47</v>
      </c>
      <c r="BV175"/>
      <c r="BW175" t="s">
        <v>47</v>
      </c>
      <c r="BX175" t="s">
        <v>47</v>
      </c>
      <c r="BY175" t="s">
        <v>47</v>
      </c>
      <c r="BZ175" t="s">
        <v>47</v>
      </c>
      <c r="CA175" t="s">
        <v>47</v>
      </c>
      <c r="CB175" t="s">
        <v>47</v>
      </c>
      <c r="CC175" t="s">
        <v>47</v>
      </c>
      <c r="CD175" t="s">
        <v>47</v>
      </c>
      <c r="CE175" t="s">
        <v>47</v>
      </c>
      <c r="CF175" t="s">
        <v>47</v>
      </c>
      <c r="CG175" t="s">
        <v>47</v>
      </c>
      <c r="CH175" t="s">
        <v>47</v>
      </c>
      <c r="CI175" t="s">
        <v>47</v>
      </c>
      <c r="CJ175" t="s">
        <v>47</v>
      </c>
      <c r="CK175"/>
    </row>
    <row r="176" spans="1:89" s="7" customFormat="1" x14ac:dyDescent="0.25">
      <c r="A176" t="s">
        <v>1438</v>
      </c>
      <c r="B176" t="s">
        <v>1465</v>
      </c>
      <c r="C176" t="s">
        <v>808</v>
      </c>
      <c r="D176" t="s">
        <v>1884</v>
      </c>
      <c r="E176">
        <v>719</v>
      </c>
      <c r="F176" t="s">
        <v>1322</v>
      </c>
      <c r="G176">
        <v>1143</v>
      </c>
      <c r="H176" s="9">
        <v>1.5</v>
      </c>
      <c r="I176" t="s">
        <v>1322</v>
      </c>
      <c r="J176" t="s">
        <v>800</v>
      </c>
      <c r="K176" t="s">
        <v>2090</v>
      </c>
      <c r="L176" t="s">
        <v>2085</v>
      </c>
      <c r="M176" s="10" t="str">
        <f>HYPERLINK(cna_product_database_catalog_website[[#This Row],[Spec Sheet Link]], cna_product_database_catalog_website[[#Headers],[Spec Sheet Link]])</f>
        <v>Spec Sheet Link</v>
      </c>
      <c r="N176" t="s">
        <v>46</v>
      </c>
      <c r="O176">
        <v>1</v>
      </c>
      <c r="P176">
        <v>1</v>
      </c>
      <c r="Q176" t="s">
        <v>343</v>
      </c>
      <c r="R176" t="s">
        <v>358</v>
      </c>
      <c r="S176" t="s">
        <v>47</v>
      </c>
      <c r="T176" t="s">
        <v>47</v>
      </c>
      <c r="U176" t="s">
        <v>47</v>
      </c>
      <c r="V176" t="s">
        <v>47</v>
      </c>
      <c r="W176" t="s">
        <v>47</v>
      </c>
      <c r="X176" t="s">
        <v>370</v>
      </c>
      <c r="Y176" t="s">
        <v>917</v>
      </c>
      <c r="Z176" t="s">
        <v>47</v>
      </c>
      <c r="AA176" t="s">
        <v>47</v>
      </c>
      <c r="AB176" t="s">
        <v>47</v>
      </c>
      <c r="AC176" t="s">
        <v>47</v>
      </c>
      <c r="AD176" t="s">
        <v>47</v>
      </c>
      <c r="AE176"/>
      <c r="AF176" t="s">
        <v>47</v>
      </c>
      <c r="AG176" t="s">
        <v>47</v>
      </c>
      <c r="AH176" t="s">
        <v>47</v>
      </c>
      <c r="AI176" t="s">
        <v>47</v>
      </c>
      <c r="AJ176"/>
      <c r="AK176"/>
      <c r="AL176" t="s">
        <v>47</v>
      </c>
      <c r="AM176"/>
      <c r="AN176"/>
      <c r="AO176" t="s">
        <v>47</v>
      </c>
      <c r="AP176" t="s">
        <v>47</v>
      </c>
      <c r="AQ176" t="s">
        <v>47</v>
      </c>
      <c r="AR176"/>
      <c r="AS176"/>
      <c r="AT176"/>
      <c r="AU176"/>
      <c r="AV176" t="s">
        <v>47</v>
      </c>
      <c r="AW176" t="s">
        <v>47</v>
      </c>
      <c r="AX176">
        <v>20</v>
      </c>
      <c r="AY176">
        <v>200</v>
      </c>
      <c r="AZ176"/>
      <c r="BA176"/>
      <c r="BB176"/>
      <c r="BC176">
        <v>0</v>
      </c>
      <c r="BD176">
        <v>0</v>
      </c>
      <c r="BE176" t="s">
        <v>47</v>
      </c>
      <c r="BF176"/>
      <c r="BG176"/>
      <c r="BH176"/>
      <c r="BI176">
        <v>0</v>
      </c>
      <c r="BJ176">
        <v>0</v>
      </c>
      <c r="BK176"/>
      <c r="BL176"/>
      <c r="BM176" t="s">
        <v>47</v>
      </c>
      <c r="BN176" t="s">
        <v>47</v>
      </c>
      <c r="BO176" t="s">
        <v>47</v>
      </c>
      <c r="BP176" t="s">
        <v>47</v>
      </c>
      <c r="BQ176" t="s">
        <v>47</v>
      </c>
      <c r="BR176"/>
      <c r="BS176" t="s">
        <v>47</v>
      </c>
      <c r="BT176" t="s">
        <v>47</v>
      </c>
      <c r="BU176" t="s">
        <v>47</v>
      </c>
      <c r="BV176"/>
      <c r="BW176" t="s">
        <v>47</v>
      </c>
      <c r="BX176" t="s">
        <v>47</v>
      </c>
      <c r="BY176" t="s">
        <v>47</v>
      </c>
      <c r="BZ176" t="s">
        <v>47</v>
      </c>
      <c r="CA176" t="s">
        <v>47</v>
      </c>
      <c r="CB176" t="s">
        <v>47</v>
      </c>
      <c r="CC176" t="s">
        <v>47</v>
      </c>
      <c r="CD176" t="s">
        <v>47</v>
      </c>
      <c r="CE176" t="s">
        <v>47</v>
      </c>
      <c r="CF176" t="s">
        <v>47</v>
      </c>
      <c r="CG176" t="s">
        <v>47</v>
      </c>
      <c r="CH176" t="s">
        <v>47</v>
      </c>
      <c r="CI176" t="s">
        <v>47</v>
      </c>
      <c r="CJ176" t="s">
        <v>47</v>
      </c>
      <c r="CK176"/>
    </row>
    <row r="177" spans="1:89" s="7" customFormat="1" x14ac:dyDescent="0.25">
      <c r="A177" t="s">
        <v>1438</v>
      </c>
      <c r="B177" t="s">
        <v>1465</v>
      </c>
      <c r="C177" t="s">
        <v>809</v>
      </c>
      <c r="D177" t="s">
        <v>1885</v>
      </c>
      <c r="E177">
        <v>720</v>
      </c>
      <c r="F177" t="s">
        <v>1323</v>
      </c>
      <c r="G177">
        <v>1142</v>
      </c>
      <c r="H177" s="9">
        <v>1.5</v>
      </c>
      <c r="I177" t="s">
        <v>1323</v>
      </c>
      <c r="J177" t="s">
        <v>801</v>
      </c>
      <c r="K177" t="s">
        <v>2091</v>
      </c>
      <c r="L177" t="s">
        <v>2085</v>
      </c>
      <c r="M177" s="10" t="str">
        <f>HYPERLINK(cna_product_database_catalog_website[[#This Row],[Spec Sheet Link]], cna_product_database_catalog_website[[#Headers],[Spec Sheet Link]])</f>
        <v>Spec Sheet Link</v>
      </c>
      <c r="N177" t="s">
        <v>46</v>
      </c>
      <c r="O177">
        <v>1</v>
      </c>
      <c r="P177">
        <v>1</v>
      </c>
      <c r="Q177" t="s">
        <v>104</v>
      </c>
      <c r="R177" t="s">
        <v>358</v>
      </c>
      <c r="S177" t="s">
        <v>47</v>
      </c>
      <c r="T177" t="s">
        <v>47</v>
      </c>
      <c r="U177" t="s">
        <v>47</v>
      </c>
      <c r="V177" t="s">
        <v>47</v>
      </c>
      <c r="W177" t="s">
        <v>47</v>
      </c>
      <c r="X177" t="s">
        <v>336</v>
      </c>
      <c r="Y177" t="s">
        <v>559</v>
      </c>
      <c r="Z177" t="s">
        <v>47</v>
      </c>
      <c r="AA177" t="s">
        <v>47</v>
      </c>
      <c r="AB177" t="s">
        <v>47</v>
      </c>
      <c r="AC177" t="s">
        <v>47</v>
      </c>
      <c r="AD177" t="s">
        <v>47</v>
      </c>
      <c r="AE177"/>
      <c r="AF177" t="s">
        <v>47</v>
      </c>
      <c r="AG177" t="s">
        <v>47</v>
      </c>
      <c r="AH177" t="s">
        <v>47</v>
      </c>
      <c r="AI177" t="s">
        <v>47</v>
      </c>
      <c r="AJ177"/>
      <c r="AK177"/>
      <c r="AL177" t="s">
        <v>47</v>
      </c>
      <c r="AM177"/>
      <c r="AN177"/>
      <c r="AO177" t="s">
        <v>47</v>
      </c>
      <c r="AP177" t="s">
        <v>47</v>
      </c>
      <c r="AQ177" t="s">
        <v>47</v>
      </c>
      <c r="AR177"/>
      <c r="AS177"/>
      <c r="AT177"/>
      <c r="AU177"/>
      <c r="AV177" t="s">
        <v>47</v>
      </c>
      <c r="AW177" t="s">
        <v>47</v>
      </c>
      <c r="AX177">
        <v>25</v>
      </c>
      <c r="AY177">
        <v>200</v>
      </c>
      <c r="AZ177"/>
      <c r="BA177"/>
      <c r="BB177"/>
      <c r="BC177">
        <v>0</v>
      </c>
      <c r="BD177">
        <v>0</v>
      </c>
      <c r="BE177" t="s">
        <v>47</v>
      </c>
      <c r="BF177"/>
      <c r="BG177"/>
      <c r="BH177"/>
      <c r="BI177">
        <v>0</v>
      </c>
      <c r="BJ177">
        <v>0</v>
      </c>
      <c r="BK177"/>
      <c r="BL177"/>
      <c r="BM177" t="s">
        <v>47</v>
      </c>
      <c r="BN177" t="s">
        <v>47</v>
      </c>
      <c r="BO177" t="s">
        <v>47</v>
      </c>
      <c r="BP177" t="s">
        <v>47</v>
      </c>
      <c r="BQ177" t="s">
        <v>47</v>
      </c>
      <c r="BR177"/>
      <c r="BS177" t="s">
        <v>47</v>
      </c>
      <c r="BT177" t="s">
        <v>47</v>
      </c>
      <c r="BU177" t="s">
        <v>47</v>
      </c>
      <c r="BV177"/>
      <c r="BW177" t="s">
        <v>47</v>
      </c>
      <c r="BX177" t="s">
        <v>47</v>
      </c>
      <c r="BY177" t="s">
        <v>47</v>
      </c>
      <c r="BZ177" t="s">
        <v>47</v>
      </c>
      <c r="CA177" t="s">
        <v>47</v>
      </c>
      <c r="CB177" t="s">
        <v>47</v>
      </c>
      <c r="CC177" t="s">
        <v>47</v>
      </c>
      <c r="CD177" t="s">
        <v>47</v>
      </c>
      <c r="CE177" t="s">
        <v>47</v>
      </c>
      <c r="CF177" t="s">
        <v>47</v>
      </c>
      <c r="CG177" t="s">
        <v>47</v>
      </c>
      <c r="CH177" t="s">
        <v>47</v>
      </c>
      <c r="CI177" t="s">
        <v>47</v>
      </c>
      <c r="CJ177" t="s">
        <v>47</v>
      </c>
      <c r="CK177"/>
    </row>
    <row r="178" spans="1:89" s="7" customFormat="1" x14ac:dyDescent="0.25">
      <c r="A178" t="s">
        <v>1438</v>
      </c>
      <c r="B178" t="s">
        <v>1465</v>
      </c>
      <c r="C178" t="s">
        <v>810</v>
      </c>
      <c r="D178" t="s">
        <v>1886</v>
      </c>
      <c r="E178">
        <v>721</v>
      </c>
      <c r="F178" t="s">
        <v>1324</v>
      </c>
      <c r="G178">
        <v>1139</v>
      </c>
      <c r="H178" s="9">
        <v>1.5</v>
      </c>
      <c r="I178" t="s">
        <v>1324</v>
      </c>
      <c r="J178" t="s">
        <v>802</v>
      </c>
      <c r="K178" t="s">
        <v>2092</v>
      </c>
      <c r="L178" t="s">
        <v>2085</v>
      </c>
      <c r="M178" s="10" t="str">
        <f>HYPERLINK(cna_product_database_catalog_website[[#This Row],[Spec Sheet Link]], cna_product_database_catalog_website[[#Headers],[Spec Sheet Link]])</f>
        <v>Spec Sheet Link</v>
      </c>
      <c r="N178" t="s">
        <v>46</v>
      </c>
      <c r="O178">
        <v>1</v>
      </c>
      <c r="P178">
        <v>1</v>
      </c>
      <c r="Q178" t="s">
        <v>104</v>
      </c>
      <c r="R178" t="s">
        <v>358</v>
      </c>
      <c r="S178" t="s">
        <v>47</v>
      </c>
      <c r="T178" t="s">
        <v>47</v>
      </c>
      <c r="U178" t="s">
        <v>47</v>
      </c>
      <c r="V178" t="s">
        <v>47</v>
      </c>
      <c r="W178" t="s">
        <v>47</v>
      </c>
      <c r="X178" t="s">
        <v>336</v>
      </c>
      <c r="Y178" t="s">
        <v>559</v>
      </c>
      <c r="Z178" t="s">
        <v>47</v>
      </c>
      <c r="AA178" t="s">
        <v>47</v>
      </c>
      <c r="AB178" t="s">
        <v>47</v>
      </c>
      <c r="AC178" t="s">
        <v>47</v>
      </c>
      <c r="AD178" t="s">
        <v>47</v>
      </c>
      <c r="AE178"/>
      <c r="AF178" t="s">
        <v>47</v>
      </c>
      <c r="AG178" t="s">
        <v>47</v>
      </c>
      <c r="AH178" t="s">
        <v>47</v>
      </c>
      <c r="AI178" t="s">
        <v>47</v>
      </c>
      <c r="AJ178"/>
      <c r="AK178"/>
      <c r="AL178" t="s">
        <v>47</v>
      </c>
      <c r="AM178"/>
      <c r="AN178"/>
      <c r="AO178" t="s">
        <v>47</v>
      </c>
      <c r="AP178" t="s">
        <v>47</v>
      </c>
      <c r="AQ178" t="s">
        <v>47</v>
      </c>
      <c r="AR178"/>
      <c r="AS178"/>
      <c r="AT178"/>
      <c r="AU178"/>
      <c r="AV178" t="s">
        <v>47</v>
      </c>
      <c r="AW178" t="s">
        <v>47</v>
      </c>
      <c r="AX178">
        <v>25</v>
      </c>
      <c r="AY178">
        <v>200</v>
      </c>
      <c r="AZ178"/>
      <c r="BA178"/>
      <c r="BB178"/>
      <c r="BC178">
        <v>0</v>
      </c>
      <c r="BD178">
        <v>0</v>
      </c>
      <c r="BE178" t="s">
        <v>47</v>
      </c>
      <c r="BF178"/>
      <c r="BG178"/>
      <c r="BH178"/>
      <c r="BI178">
        <v>0</v>
      </c>
      <c r="BJ178">
        <v>0</v>
      </c>
      <c r="BK178"/>
      <c r="BL178"/>
      <c r="BM178" t="s">
        <v>47</v>
      </c>
      <c r="BN178" t="s">
        <v>47</v>
      </c>
      <c r="BO178" t="s">
        <v>47</v>
      </c>
      <c r="BP178" t="s">
        <v>47</v>
      </c>
      <c r="BQ178" t="s">
        <v>47</v>
      </c>
      <c r="BR178"/>
      <c r="BS178" t="s">
        <v>47</v>
      </c>
      <c r="BT178" t="s">
        <v>47</v>
      </c>
      <c r="BU178" t="s">
        <v>47</v>
      </c>
      <c r="BV178"/>
      <c r="BW178" t="s">
        <v>47</v>
      </c>
      <c r="BX178" t="s">
        <v>47</v>
      </c>
      <c r="BY178" t="s">
        <v>47</v>
      </c>
      <c r="BZ178" t="s">
        <v>47</v>
      </c>
      <c r="CA178" t="s">
        <v>47</v>
      </c>
      <c r="CB178" t="s">
        <v>47</v>
      </c>
      <c r="CC178" t="s">
        <v>47</v>
      </c>
      <c r="CD178" t="s">
        <v>47</v>
      </c>
      <c r="CE178" t="s">
        <v>47</v>
      </c>
      <c r="CF178" t="s">
        <v>47</v>
      </c>
      <c r="CG178" t="s">
        <v>47</v>
      </c>
      <c r="CH178" t="s">
        <v>47</v>
      </c>
      <c r="CI178" t="s">
        <v>47</v>
      </c>
      <c r="CJ178" t="s">
        <v>47</v>
      </c>
      <c r="CK178"/>
    </row>
    <row r="179" spans="1:89" s="7" customFormat="1" x14ac:dyDescent="0.25">
      <c r="A179" t="s">
        <v>1438</v>
      </c>
      <c r="B179" t="s">
        <v>1465</v>
      </c>
      <c r="C179" t="s">
        <v>822</v>
      </c>
      <c r="D179" t="s">
        <v>1887</v>
      </c>
      <c r="E179">
        <v>730</v>
      </c>
      <c r="F179" t="s">
        <v>283</v>
      </c>
      <c r="G179">
        <v>1153</v>
      </c>
      <c r="H179" s="9">
        <v>4</v>
      </c>
      <c r="I179" t="s">
        <v>283</v>
      </c>
      <c r="J179" t="s">
        <v>814</v>
      </c>
      <c r="K179" t="s">
        <v>2093</v>
      </c>
      <c r="L179" t="s">
        <v>2085</v>
      </c>
      <c r="M179" s="10" t="str">
        <f>HYPERLINK(cna_product_database_catalog_website[[#This Row],[Spec Sheet Link]], cna_product_database_catalog_website[[#Headers],[Spec Sheet Link]])</f>
        <v>Spec Sheet Link</v>
      </c>
      <c r="N179" t="s">
        <v>46</v>
      </c>
      <c r="O179">
        <v>1</v>
      </c>
      <c r="P179">
        <v>1</v>
      </c>
      <c r="Q179" t="s">
        <v>352</v>
      </c>
      <c r="R179" t="s">
        <v>358</v>
      </c>
      <c r="S179" t="s">
        <v>47</v>
      </c>
      <c r="T179" t="s">
        <v>47</v>
      </c>
      <c r="U179" t="s">
        <v>47</v>
      </c>
      <c r="V179" t="s">
        <v>47</v>
      </c>
      <c r="W179" t="s">
        <v>47</v>
      </c>
      <c r="X179" t="s">
        <v>336</v>
      </c>
      <c r="Y179" t="s">
        <v>559</v>
      </c>
      <c r="Z179" t="s">
        <v>47</v>
      </c>
      <c r="AA179" t="s">
        <v>47</v>
      </c>
      <c r="AB179" t="s">
        <v>47</v>
      </c>
      <c r="AC179" t="s">
        <v>47</v>
      </c>
      <c r="AD179" t="s">
        <v>47</v>
      </c>
      <c r="AE179"/>
      <c r="AF179" t="s">
        <v>47</v>
      </c>
      <c r="AG179" t="s">
        <v>47</v>
      </c>
      <c r="AH179" t="s">
        <v>47</v>
      </c>
      <c r="AI179" t="s">
        <v>47</v>
      </c>
      <c r="AJ179"/>
      <c r="AK179"/>
      <c r="AL179" t="s">
        <v>47</v>
      </c>
      <c r="AM179"/>
      <c r="AN179"/>
      <c r="AO179" t="s">
        <v>47</v>
      </c>
      <c r="AP179" t="s">
        <v>47</v>
      </c>
      <c r="AQ179" t="s">
        <v>47</v>
      </c>
      <c r="AR179"/>
      <c r="AS179"/>
      <c r="AT179"/>
      <c r="AU179"/>
      <c r="AV179" t="s">
        <v>47</v>
      </c>
      <c r="AW179" t="s">
        <v>47</v>
      </c>
      <c r="AX179">
        <v>25</v>
      </c>
      <c r="AY179">
        <v>200</v>
      </c>
      <c r="AZ179"/>
      <c r="BA179"/>
      <c r="BB179"/>
      <c r="BC179">
        <v>0</v>
      </c>
      <c r="BD179">
        <v>0</v>
      </c>
      <c r="BE179" t="s">
        <v>47</v>
      </c>
      <c r="BF179"/>
      <c r="BG179"/>
      <c r="BH179"/>
      <c r="BI179">
        <v>0</v>
      </c>
      <c r="BJ179">
        <v>0</v>
      </c>
      <c r="BK179"/>
      <c r="BL179"/>
      <c r="BM179" t="s">
        <v>47</v>
      </c>
      <c r="BN179" t="s">
        <v>47</v>
      </c>
      <c r="BO179" t="s">
        <v>47</v>
      </c>
      <c r="BP179" t="s">
        <v>47</v>
      </c>
      <c r="BQ179" t="s">
        <v>47</v>
      </c>
      <c r="BR179"/>
      <c r="BS179" t="s">
        <v>47</v>
      </c>
      <c r="BT179" t="s">
        <v>47</v>
      </c>
      <c r="BU179" t="s">
        <v>47</v>
      </c>
      <c r="BV179"/>
      <c r="BW179" t="s">
        <v>47</v>
      </c>
      <c r="BX179" t="s">
        <v>47</v>
      </c>
      <c r="BY179" t="s">
        <v>47</v>
      </c>
      <c r="BZ179" t="s">
        <v>47</v>
      </c>
      <c r="CA179" t="s">
        <v>47</v>
      </c>
      <c r="CB179" t="s">
        <v>47</v>
      </c>
      <c r="CC179" t="s">
        <v>47</v>
      </c>
      <c r="CD179" t="s">
        <v>47</v>
      </c>
      <c r="CE179" t="s">
        <v>47</v>
      </c>
      <c r="CF179" t="s">
        <v>47</v>
      </c>
      <c r="CG179" t="s">
        <v>47</v>
      </c>
      <c r="CH179" t="s">
        <v>47</v>
      </c>
      <c r="CI179" t="s">
        <v>47</v>
      </c>
      <c r="CJ179" t="s">
        <v>47</v>
      </c>
      <c r="CK179"/>
    </row>
    <row r="180" spans="1:89" s="7" customFormat="1" x14ac:dyDescent="0.25">
      <c r="A180" t="s">
        <v>1438</v>
      </c>
      <c r="B180" t="s">
        <v>1465</v>
      </c>
      <c r="C180" t="s">
        <v>812</v>
      </c>
      <c r="D180" t="s">
        <v>1888</v>
      </c>
      <c r="E180">
        <v>740</v>
      </c>
      <c r="F180" t="s">
        <v>284</v>
      </c>
      <c r="G180">
        <v>994</v>
      </c>
      <c r="H180" s="9">
        <v>9.5</v>
      </c>
      <c r="I180" t="s">
        <v>284</v>
      </c>
      <c r="J180" t="s">
        <v>818</v>
      </c>
      <c r="K180" t="s">
        <v>2094</v>
      </c>
      <c r="L180" t="s">
        <v>2095</v>
      </c>
      <c r="M180" s="10" t="str">
        <f>HYPERLINK(cna_product_database_catalog_website[[#This Row],[Spec Sheet Link]], cna_product_database_catalog_website[[#Headers],[Spec Sheet Link]])</f>
        <v>Spec Sheet Link</v>
      </c>
      <c r="N180" t="s">
        <v>46</v>
      </c>
      <c r="O180">
        <v>1</v>
      </c>
      <c r="P180">
        <v>1</v>
      </c>
      <c r="Q180" t="s">
        <v>334</v>
      </c>
      <c r="R180" t="s">
        <v>358</v>
      </c>
      <c r="S180" t="s">
        <v>47</v>
      </c>
      <c r="T180" t="s">
        <v>47</v>
      </c>
      <c r="U180" t="s">
        <v>47</v>
      </c>
      <c r="V180" t="s">
        <v>47</v>
      </c>
      <c r="W180" t="s">
        <v>376</v>
      </c>
      <c r="X180" t="s">
        <v>336</v>
      </c>
      <c r="Y180" t="s">
        <v>47</v>
      </c>
      <c r="Z180" t="s">
        <v>47</v>
      </c>
      <c r="AA180" t="s">
        <v>47</v>
      </c>
      <c r="AB180" t="s">
        <v>47</v>
      </c>
      <c r="AC180" t="s">
        <v>47</v>
      </c>
      <c r="AD180" t="s">
        <v>47</v>
      </c>
      <c r="AE180"/>
      <c r="AF180" t="s">
        <v>47</v>
      </c>
      <c r="AG180" t="s">
        <v>47</v>
      </c>
      <c r="AH180" t="s">
        <v>47</v>
      </c>
      <c r="AI180" t="s">
        <v>47</v>
      </c>
      <c r="AJ180"/>
      <c r="AK180"/>
      <c r="AL180" t="s">
        <v>47</v>
      </c>
      <c r="AM180"/>
      <c r="AN180"/>
      <c r="AO180" t="s">
        <v>47</v>
      </c>
      <c r="AP180" t="s">
        <v>47</v>
      </c>
      <c r="AQ180" t="s">
        <v>47</v>
      </c>
      <c r="AR180"/>
      <c r="AS180"/>
      <c r="AT180"/>
      <c r="AU180"/>
      <c r="AV180" t="s">
        <v>47</v>
      </c>
      <c r="AW180" t="s">
        <v>47</v>
      </c>
      <c r="AX180">
        <v>10</v>
      </c>
      <c r="AY180">
        <v>100</v>
      </c>
      <c r="AZ180"/>
      <c r="BA180"/>
      <c r="BB180"/>
      <c r="BC180">
        <v>0</v>
      </c>
      <c r="BD180">
        <v>0</v>
      </c>
      <c r="BE180" t="s">
        <v>47</v>
      </c>
      <c r="BF180"/>
      <c r="BG180"/>
      <c r="BH180"/>
      <c r="BI180">
        <v>0</v>
      </c>
      <c r="BJ180">
        <v>0</v>
      </c>
      <c r="BK180"/>
      <c r="BL180"/>
      <c r="BM180" t="s">
        <v>47</v>
      </c>
      <c r="BN180" t="s">
        <v>47</v>
      </c>
      <c r="BO180" t="s">
        <v>47</v>
      </c>
      <c r="BP180" t="s">
        <v>47</v>
      </c>
      <c r="BQ180" t="s">
        <v>47</v>
      </c>
      <c r="BR180"/>
      <c r="BS180" t="s">
        <v>47</v>
      </c>
      <c r="BT180" t="s">
        <v>47</v>
      </c>
      <c r="BU180" t="s">
        <v>47</v>
      </c>
      <c r="BV180"/>
      <c r="BW180" t="s">
        <v>47</v>
      </c>
      <c r="BX180" t="s">
        <v>47</v>
      </c>
      <c r="BY180" t="s">
        <v>47</v>
      </c>
      <c r="BZ180" t="s">
        <v>47</v>
      </c>
      <c r="CA180" t="s">
        <v>47</v>
      </c>
      <c r="CB180" t="s">
        <v>47</v>
      </c>
      <c r="CC180" t="s">
        <v>47</v>
      </c>
      <c r="CD180" t="s">
        <v>47</v>
      </c>
      <c r="CE180" t="s">
        <v>47</v>
      </c>
      <c r="CF180" t="s">
        <v>47</v>
      </c>
      <c r="CG180" t="s">
        <v>47</v>
      </c>
      <c r="CH180" t="s">
        <v>47</v>
      </c>
      <c r="CI180" t="s">
        <v>47</v>
      </c>
      <c r="CJ180" t="s">
        <v>47</v>
      </c>
      <c r="CK180"/>
    </row>
    <row r="181" spans="1:89" s="7" customFormat="1" x14ac:dyDescent="0.25">
      <c r="A181" t="s">
        <v>1438</v>
      </c>
      <c r="B181" t="s">
        <v>1465</v>
      </c>
      <c r="C181" t="s">
        <v>813</v>
      </c>
      <c r="D181" t="s">
        <v>1889</v>
      </c>
      <c r="E181">
        <v>741</v>
      </c>
      <c r="F181" t="s">
        <v>285</v>
      </c>
      <c r="G181">
        <v>995</v>
      </c>
      <c r="H181" s="9">
        <v>2</v>
      </c>
      <c r="I181" t="s">
        <v>285</v>
      </c>
      <c r="J181" t="s">
        <v>813</v>
      </c>
      <c r="K181" t="s">
        <v>2096</v>
      </c>
      <c r="L181" t="s">
        <v>2095</v>
      </c>
      <c r="M181" s="10" t="str">
        <f>HYPERLINK(cna_product_database_catalog_website[[#This Row],[Spec Sheet Link]], cna_product_database_catalog_website[[#Headers],[Spec Sheet Link]])</f>
        <v>Spec Sheet Link</v>
      </c>
      <c r="N181" t="s">
        <v>46</v>
      </c>
      <c r="O181">
        <v>1</v>
      </c>
      <c r="P181">
        <v>1</v>
      </c>
      <c r="Q181" t="s">
        <v>343</v>
      </c>
      <c r="R181" t="s">
        <v>358</v>
      </c>
      <c r="S181" t="s">
        <v>47</v>
      </c>
      <c r="T181" t="s">
        <v>47</v>
      </c>
      <c r="U181" t="s">
        <v>47</v>
      </c>
      <c r="V181" t="s">
        <v>47</v>
      </c>
      <c r="W181" t="s">
        <v>376</v>
      </c>
      <c r="X181" t="s">
        <v>336</v>
      </c>
      <c r="Y181" t="s">
        <v>47</v>
      </c>
      <c r="Z181" t="s">
        <v>47</v>
      </c>
      <c r="AA181" t="s">
        <v>47</v>
      </c>
      <c r="AB181" t="s">
        <v>47</v>
      </c>
      <c r="AC181" t="s">
        <v>47</v>
      </c>
      <c r="AD181" t="s">
        <v>47</v>
      </c>
      <c r="AE181"/>
      <c r="AF181" t="s">
        <v>47</v>
      </c>
      <c r="AG181" t="s">
        <v>47</v>
      </c>
      <c r="AH181" t="s">
        <v>47</v>
      </c>
      <c r="AI181" t="s">
        <v>47</v>
      </c>
      <c r="AJ181"/>
      <c r="AK181"/>
      <c r="AL181" t="s">
        <v>47</v>
      </c>
      <c r="AM181"/>
      <c r="AN181"/>
      <c r="AO181" t="s">
        <v>47</v>
      </c>
      <c r="AP181" t="s">
        <v>47</v>
      </c>
      <c r="AQ181" t="s">
        <v>47</v>
      </c>
      <c r="AR181"/>
      <c r="AS181"/>
      <c r="AT181"/>
      <c r="AU181"/>
      <c r="AV181" t="s">
        <v>47</v>
      </c>
      <c r="AW181" t="s">
        <v>47</v>
      </c>
      <c r="AX181">
        <v>10</v>
      </c>
      <c r="AY181">
        <v>100</v>
      </c>
      <c r="AZ181"/>
      <c r="BA181"/>
      <c r="BB181"/>
      <c r="BC181">
        <v>0</v>
      </c>
      <c r="BD181">
        <v>0</v>
      </c>
      <c r="BE181" t="s">
        <v>47</v>
      </c>
      <c r="BF181"/>
      <c r="BG181"/>
      <c r="BH181"/>
      <c r="BI181">
        <v>0</v>
      </c>
      <c r="BJ181">
        <v>0</v>
      </c>
      <c r="BK181"/>
      <c r="BL181"/>
      <c r="BM181" t="s">
        <v>47</v>
      </c>
      <c r="BN181" t="s">
        <v>47</v>
      </c>
      <c r="BO181" t="s">
        <v>47</v>
      </c>
      <c r="BP181" t="s">
        <v>47</v>
      </c>
      <c r="BQ181" t="s">
        <v>47</v>
      </c>
      <c r="BR181"/>
      <c r="BS181" t="s">
        <v>47</v>
      </c>
      <c r="BT181" t="s">
        <v>47</v>
      </c>
      <c r="BU181" t="s">
        <v>47</v>
      </c>
      <c r="BV181"/>
      <c r="BW181" t="s">
        <v>47</v>
      </c>
      <c r="BX181" t="s">
        <v>47</v>
      </c>
      <c r="BY181" t="s">
        <v>47</v>
      </c>
      <c r="BZ181" t="s">
        <v>47</v>
      </c>
      <c r="CA181" t="s">
        <v>47</v>
      </c>
      <c r="CB181" t="s">
        <v>47</v>
      </c>
      <c r="CC181" t="s">
        <v>47</v>
      </c>
      <c r="CD181" t="s">
        <v>47</v>
      </c>
      <c r="CE181" t="s">
        <v>47</v>
      </c>
      <c r="CF181" t="s">
        <v>47</v>
      </c>
      <c r="CG181" t="s">
        <v>47</v>
      </c>
      <c r="CH181" t="s">
        <v>47</v>
      </c>
      <c r="CI181" t="s">
        <v>47</v>
      </c>
      <c r="CJ181" t="s">
        <v>47</v>
      </c>
      <c r="CK181"/>
    </row>
    <row r="182" spans="1:89" s="7" customFormat="1" x14ac:dyDescent="0.25">
      <c r="A182" t="s">
        <v>1438</v>
      </c>
      <c r="B182" t="s">
        <v>1465</v>
      </c>
      <c r="C182" t="s">
        <v>811</v>
      </c>
      <c r="D182" t="s">
        <v>1890</v>
      </c>
      <c r="E182">
        <v>742</v>
      </c>
      <c r="F182" t="s">
        <v>286</v>
      </c>
      <c r="G182">
        <v>998</v>
      </c>
      <c r="H182" s="9">
        <v>2</v>
      </c>
      <c r="I182" t="s">
        <v>286</v>
      </c>
      <c r="J182" t="s">
        <v>811</v>
      </c>
      <c r="K182" t="s">
        <v>2097</v>
      </c>
      <c r="L182" t="s">
        <v>2095</v>
      </c>
      <c r="M182" s="10" t="str">
        <f>HYPERLINK(cna_product_database_catalog_website[[#This Row],[Spec Sheet Link]], cna_product_database_catalog_website[[#Headers],[Spec Sheet Link]])</f>
        <v>Spec Sheet Link</v>
      </c>
      <c r="N182" t="s">
        <v>46</v>
      </c>
      <c r="O182">
        <v>1</v>
      </c>
      <c r="P182">
        <v>1</v>
      </c>
      <c r="Q182" t="s">
        <v>379</v>
      </c>
      <c r="R182" t="s">
        <v>50</v>
      </c>
      <c r="S182" t="s">
        <v>47</v>
      </c>
      <c r="T182" t="s">
        <v>47</v>
      </c>
      <c r="U182" t="s">
        <v>47</v>
      </c>
      <c r="V182" t="s">
        <v>47</v>
      </c>
      <c r="W182" t="s">
        <v>115</v>
      </c>
      <c r="X182" t="s">
        <v>336</v>
      </c>
      <c r="Y182" t="s">
        <v>47</v>
      </c>
      <c r="Z182" t="s">
        <v>47</v>
      </c>
      <c r="AA182" t="s">
        <v>47</v>
      </c>
      <c r="AB182" t="s">
        <v>47</v>
      </c>
      <c r="AC182" t="s">
        <v>47</v>
      </c>
      <c r="AD182" t="s">
        <v>47</v>
      </c>
      <c r="AE182"/>
      <c r="AF182" t="s">
        <v>47</v>
      </c>
      <c r="AG182" t="s">
        <v>47</v>
      </c>
      <c r="AH182" t="s">
        <v>47</v>
      </c>
      <c r="AI182" t="s">
        <v>47</v>
      </c>
      <c r="AJ182"/>
      <c r="AK182"/>
      <c r="AL182" t="s">
        <v>47</v>
      </c>
      <c r="AM182"/>
      <c r="AN182"/>
      <c r="AO182" t="s">
        <v>47</v>
      </c>
      <c r="AP182" t="s">
        <v>47</v>
      </c>
      <c r="AQ182" t="s">
        <v>47</v>
      </c>
      <c r="AR182"/>
      <c r="AS182"/>
      <c r="AT182"/>
      <c r="AU182"/>
      <c r="AV182" t="s">
        <v>47</v>
      </c>
      <c r="AW182" t="s">
        <v>47</v>
      </c>
      <c r="AX182">
        <v>50</v>
      </c>
      <c r="AY182">
        <v>50</v>
      </c>
      <c r="AZ182"/>
      <c r="BA182"/>
      <c r="BB182"/>
      <c r="BC182">
        <v>0</v>
      </c>
      <c r="BD182">
        <v>0</v>
      </c>
      <c r="BE182" t="s">
        <v>47</v>
      </c>
      <c r="BF182"/>
      <c r="BG182"/>
      <c r="BH182"/>
      <c r="BI182">
        <v>0</v>
      </c>
      <c r="BJ182">
        <v>0</v>
      </c>
      <c r="BK182"/>
      <c r="BL182"/>
      <c r="BM182" t="s">
        <v>47</v>
      </c>
      <c r="BN182" t="s">
        <v>47</v>
      </c>
      <c r="BO182" t="s">
        <v>47</v>
      </c>
      <c r="BP182" t="s">
        <v>47</v>
      </c>
      <c r="BQ182" t="s">
        <v>47</v>
      </c>
      <c r="BR182"/>
      <c r="BS182" t="s">
        <v>47</v>
      </c>
      <c r="BT182" t="s">
        <v>47</v>
      </c>
      <c r="BU182" t="s">
        <v>47</v>
      </c>
      <c r="BV182"/>
      <c r="BW182" t="s">
        <v>47</v>
      </c>
      <c r="BX182" t="s">
        <v>47</v>
      </c>
      <c r="BY182" t="s">
        <v>47</v>
      </c>
      <c r="BZ182" t="s">
        <v>47</v>
      </c>
      <c r="CA182" t="s">
        <v>47</v>
      </c>
      <c r="CB182" t="s">
        <v>47</v>
      </c>
      <c r="CC182" t="s">
        <v>47</v>
      </c>
      <c r="CD182" t="s">
        <v>47</v>
      </c>
      <c r="CE182" t="s">
        <v>47</v>
      </c>
      <c r="CF182" t="s">
        <v>47</v>
      </c>
      <c r="CG182" t="s">
        <v>47</v>
      </c>
      <c r="CH182" t="s">
        <v>47</v>
      </c>
      <c r="CI182" t="s">
        <v>47</v>
      </c>
      <c r="CJ182" t="s">
        <v>47</v>
      </c>
      <c r="CK182"/>
    </row>
    <row r="183" spans="1:89" s="7" customFormat="1" x14ac:dyDescent="0.25">
      <c r="A183" t="s">
        <v>1438</v>
      </c>
      <c r="B183" t="s">
        <v>1465</v>
      </c>
      <c r="C183" t="s">
        <v>815</v>
      </c>
      <c r="D183" t="s">
        <v>1891</v>
      </c>
      <c r="E183">
        <v>750</v>
      </c>
      <c r="F183" t="s">
        <v>287</v>
      </c>
      <c r="G183">
        <v>996</v>
      </c>
      <c r="H183" s="9">
        <v>9.5</v>
      </c>
      <c r="I183" t="s">
        <v>287</v>
      </c>
      <c r="J183" t="s">
        <v>819</v>
      </c>
      <c r="K183" t="s">
        <v>2098</v>
      </c>
      <c r="L183" t="s">
        <v>2095</v>
      </c>
      <c r="M183" s="10" t="str">
        <f>HYPERLINK(cna_product_database_catalog_website[[#This Row],[Spec Sheet Link]], cna_product_database_catalog_website[[#Headers],[Spec Sheet Link]])</f>
        <v>Spec Sheet Link</v>
      </c>
      <c r="N183" t="s">
        <v>46</v>
      </c>
      <c r="O183">
        <v>1</v>
      </c>
      <c r="P183">
        <v>1</v>
      </c>
      <c r="Q183" t="s">
        <v>338</v>
      </c>
      <c r="R183" t="s">
        <v>50</v>
      </c>
      <c r="S183" t="s">
        <v>47</v>
      </c>
      <c r="T183" t="s">
        <v>47</v>
      </c>
      <c r="U183" t="s">
        <v>47</v>
      </c>
      <c r="V183" t="s">
        <v>47</v>
      </c>
      <c r="W183" t="s">
        <v>115</v>
      </c>
      <c r="X183" t="s">
        <v>336</v>
      </c>
      <c r="Y183" t="s">
        <v>47</v>
      </c>
      <c r="Z183" t="s">
        <v>47</v>
      </c>
      <c r="AA183" t="s">
        <v>47</v>
      </c>
      <c r="AB183" t="s">
        <v>47</v>
      </c>
      <c r="AC183" t="s">
        <v>47</v>
      </c>
      <c r="AD183" t="s">
        <v>47</v>
      </c>
      <c r="AE183"/>
      <c r="AF183" t="s">
        <v>47</v>
      </c>
      <c r="AG183" t="s">
        <v>47</v>
      </c>
      <c r="AH183" t="s">
        <v>47</v>
      </c>
      <c r="AI183" t="s">
        <v>47</v>
      </c>
      <c r="AJ183"/>
      <c r="AK183"/>
      <c r="AL183" t="s">
        <v>47</v>
      </c>
      <c r="AM183"/>
      <c r="AN183"/>
      <c r="AO183" t="s">
        <v>47</v>
      </c>
      <c r="AP183" t="s">
        <v>47</v>
      </c>
      <c r="AQ183" t="s">
        <v>47</v>
      </c>
      <c r="AR183"/>
      <c r="AS183"/>
      <c r="AT183"/>
      <c r="AU183"/>
      <c r="AV183" t="s">
        <v>47</v>
      </c>
      <c r="AW183" t="s">
        <v>47</v>
      </c>
      <c r="AX183">
        <v>50</v>
      </c>
      <c r="AY183">
        <v>50</v>
      </c>
      <c r="AZ183"/>
      <c r="BA183"/>
      <c r="BB183"/>
      <c r="BC183">
        <v>0</v>
      </c>
      <c r="BD183">
        <v>0</v>
      </c>
      <c r="BE183" t="s">
        <v>47</v>
      </c>
      <c r="BF183"/>
      <c r="BG183"/>
      <c r="BH183"/>
      <c r="BI183">
        <v>0</v>
      </c>
      <c r="BJ183">
        <v>0</v>
      </c>
      <c r="BK183"/>
      <c r="BL183"/>
      <c r="BM183" t="s">
        <v>47</v>
      </c>
      <c r="BN183" t="s">
        <v>47</v>
      </c>
      <c r="BO183" t="s">
        <v>47</v>
      </c>
      <c r="BP183" t="s">
        <v>47</v>
      </c>
      <c r="BQ183" t="s">
        <v>47</v>
      </c>
      <c r="BR183"/>
      <c r="BS183" t="s">
        <v>47</v>
      </c>
      <c r="BT183" t="s">
        <v>47</v>
      </c>
      <c r="BU183" t="s">
        <v>47</v>
      </c>
      <c r="BV183"/>
      <c r="BW183" t="s">
        <v>47</v>
      </c>
      <c r="BX183" t="s">
        <v>47</v>
      </c>
      <c r="BY183" t="s">
        <v>47</v>
      </c>
      <c r="BZ183" t="s">
        <v>47</v>
      </c>
      <c r="CA183" t="s">
        <v>47</v>
      </c>
      <c r="CB183" t="s">
        <v>47</v>
      </c>
      <c r="CC183" t="s">
        <v>47</v>
      </c>
      <c r="CD183" t="s">
        <v>47</v>
      </c>
      <c r="CE183" t="s">
        <v>47</v>
      </c>
      <c r="CF183" t="s">
        <v>47</v>
      </c>
      <c r="CG183" t="s">
        <v>47</v>
      </c>
      <c r="CH183" t="s">
        <v>47</v>
      </c>
      <c r="CI183" t="s">
        <v>47</v>
      </c>
      <c r="CJ183" t="s">
        <v>47</v>
      </c>
      <c r="CK183"/>
    </row>
    <row r="184" spans="1:89" s="7" customFormat="1" x14ac:dyDescent="0.25">
      <c r="A184" t="s">
        <v>1438</v>
      </c>
      <c r="B184" t="s">
        <v>1465</v>
      </c>
      <c r="C184" t="s">
        <v>816</v>
      </c>
      <c r="D184" t="s">
        <v>1892</v>
      </c>
      <c r="E184">
        <v>751</v>
      </c>
      <c r="F184" t="s">
        <v>288</v>
      </c>
      <c r="G184">
        <v>997</v>
      </c>
      <c r="H184" s="9">
        <v>2</v>
      </c>
      <c r="I184" t="s">
        <v>288</v>
      </c>
      <c r="J184" t="s">
        <v>820</v>
      </c>
      <c r="K184" t="s">
        <v>2099</v>
      </c>
      <c r="L184" t="s">
        <v>2095</v>
      </c>
      <c r="M184" s="10" t="str">
        <f>HYPERLINK(cna_product_database_catalog_website[[#This Row],[Spec Sheet Link]], cna_product_database_catalog_website[[#Headers],[Spec Sheet Link]])</f>
        <v>Spec Sheet Link</v>
      </c>
      <c r="N184" t="s">
        <v>46</v>
      </c>
      <c r="O184">
        <v>1</v>
      </c>
      <c r="P184">
        <v>1</v>
      </c>
      <c r="Q184" t="s">
        <v>379</v>
      </c>
      <c r="R184" t="s">
        <v>50</v>
      </c>
      <c r="S184" t="s">
        <v>47</v>
      </c>
      <c r="T184" t="s">
        <v>47</v>
      </c>
      <c r="U184" t="s">
        <v>47</v>
      </c>
      <c r="V184" t="s">
        <v>47</v>
      </c>
      <c r="W184" t="s">
        <v>115</v>
      </c>
      <c r="X184" t="s">
        <v>336</v>
      </c>
      <c r="Y184" t="s">
        <v>47</v>
      </c>
      <c r="Z184" t="s">
        <v>47</v>
      </c>
      <c r="AA184" t="s">
        <v>47</v>
      </c>
      <c r="AB184" t="s">
        <v>47</v>
      </c>
      <c r="AC184" t="s">
        <v>47</v>
      </c>
      <c r="AD184" t="s">
        <v>47</v>
      </c>
      <c r="AE184"/>
      <c r="AF184" t="s">
        <v>47</v>
      </c>
      <c r="AG184" t="s">
        <v>47</v>
      </c>
      <c r="AH184" t="s">
        <v>47</v>
      </c>
      <c r="AI184" t="s">
        <v>47</v>
      </c>
      <c r="AJ184"/>
      <c r="AK184"/>
      <c r="AL184" t="s">
        <v>47</v>
      </c>
      <c r="AM184"/>
      <c r="AN184"/>
      <c r="AO184" t="s">
        <v>47</v>
      </c>
      <c r="AP184" t="s">
        <v>47</v>
      </c>
      <c r="AQ184" t="s">
        <v>47</v>
      </c>
      <c r="AR184"/>
      <c r="AS184"/>
      <c r="AT184"/>
      <c r="AU184"/>
      <c r="AV184" t="s">
        <v>47</v>
      </c>
      <c r="AW184" t="s">
        <v>47</v>
      </c>
      <c r="AX184">
        <v>50</v>
      </c>
      <c r="AY184">
        <v>50</v>
      </c>
      <c r="AZ184"/>
      <c r="BA184"/>
      <c r="BB184"/>
      <c r="BC184">
        <v>0</v>
      </c>
      <c r="BD184">
        <v>0</v>
      </c>
      <c r="BE184" t="s">
        <v>47</v>
      </c>
      <c r="BF184"/>
      <c r="BG184"/>
      <c r="BH184"/>
      <c r="BI184">
        <v>0</v>
      </c>
      <c r="BJ184">
        <v>0</v>
      </c>
      <c r="BK184"/>
      <c r="BL184"/>
      <c r="BM184" t="s">
        <v>47</v>
      </c>
      <c r="BN184" t="s">
        <v>47</v>
      </c>
      <c r="BO184" t="s">
        <v>47</v>
      </c>
      <c r="BP184" t="s">
        <v>47</v>
      </c>
      <c r="BQ184" t="s">
        <v>47</v>
      </c>
      <c r="BR184"/>
      <c r="BS184" t="s">
        <v>47</v>
      </c>
      <c r="BT184" t="s">
        <v>47</v>
      </c>
      <c r="BU184" t="s">
        <v>47</v>
      </c>
      <c r="BV184"/>
      <c r="BW184" t="s">
        <v>47</v>
      </c>
      <c r="BX184" t="s">
        <v>47</v>
      </c>
      <c r="BY184" t="s">
        <v>47</v>
      </c>
      <c r="BZ184" t="s">
        <v>47</v>
      </c>
      <c r="CA184" t="s">
        <v>47</v>
      </c>
      <c r="CB184" t="s">
        <v>47</v>
      </c>
      <c r="CC184" t="s">
        <v>47</v>
      </c>
      <c r="CD184" t="s">
        <v>47</v>
      </c>
      <c r="CE184" t="s">
        <v>47</v>
      </c>
      <c r="CF184" t="s">
        <v>47</v>
      </c>
      <c r="CG184" t="s">
        <v>47</v>
      </c>
      <c r="CH184" t="s">
        <v>47</v>
      </c>
      <c r="CI184" t="s">
        <v>47</v>
      </c>
      <c r="CJ184" t="s">
        <v>47</v>
      </c>
      <c r="CK184"/>
    </row>
    <row r="185" spans="1:89" s="7" customFormat="1" x14ac:dyDescent="0.25">
      <c r="A185" t="s">
        <v>1438</v>
      </c>
      <c r="B185" t="s">
        <v>1465</v>
      </c>
      <c r="C185" t="s">
        <v>817</v>
      </c>
      <c r="D185" t="s">
        <v>1893</v>
      </c>
      <c r="E185">
        <v>752</v>
      </c>
      <c r="F185" t="s">
        <v>289</v>
      </c>
      <c r="G185">
        <v>999</v>
      </c>
      <c r="H185" s="9">
        <v>3.5</v>
      </c>
      <c r="I185" t="s">
        <v>289</v>
      </c>
      <c r="J185" t="s">
        <v>821</v>
      </c>
      <c r="K185" t="s">
        <v>2100</v>
      </c>
      <c r="L185" t="s">
        <v>2095</v>
      </c>
      <c r="M185" s="10" t="str">
        <f>HYPERLINK(cna_product_database_catalog_website[[#This Row],[Spec Sheet Link]], cna_product_database_catalog_website[[#Headers],[Spec Sheet Link]])</f>
        <v>Spec Sheet Link</v>
      </c>
      <c r="N185" t="s">
        <v>46</v>
      </c>
      <c r="O185">
        <v>1</v>
      </c>
      <c r="P185">
        <v>1</v>
      </c>
      <c r="Q185" t="s">
        <v>383</v>
      </c>
      <c r="R185" t="s">
        <v>50</v>
      </c>
      <c r="S185" t="s">
        <v>47</v>
      </c>
      <c r="T185" t="s">
        <v>47</v>
      </c>
      <c r="U185" t="s">
        <v>47</v>
      </c>
      <c r="V185" t="s">
        <v>47</v>
      </c>
      <c r="W185" t="s">
        <v>115</v>
      </c>
      <c r="X185" t="s">
        <v>336</v>
      </c>
      <c r="Y185" t="s">
        <v>47</v>
      </c>
      <c r="Z185" t="s">
        <v>47</v>
      </c>
      <c r="AA185" t="s">
        <v>47</v>
      </c>
      <c r="AB185" t="s">
        <v>47</v>
      </c>
      <c r="AC185" t="s">
        <v>47</v>
      </c>
      <c r="AD185" t="s">
        <v>47</v>
      </c>
      <c r="AE185"/>
      <c r="AF185" t="s">
        <v>47</v>
      </c>
      <c r="AG185" t="s">
        <v>47</v>
      </c>
      <c r="AH185" t="s">
        <v>47</v>
      </c>
      <c r="AI185" t="s">
        <v>47</v>
      </c>
      <c r="AJ185"/>
      <c r="AK185"/>
      <c r="AL185" t="s">
        <v>47</v>
      </c>
      <c r="AM185"/>
      <c r="AN185"/>
      <c r="AO185" t="s">
        <v>47</v>
      </c>
      <c r="AP185" t="s">
        <v>47</v>
      </c>
      <c r="AQ185" t="s">
        <v>47</v>
      </c>
      <c r="AR185"/>
      <c r="AS185"/>
      <c r="AT185"/>
      <c r="AU185"/>
      <c r="AV185" t="s">
        <v>47</v>
      </c>
      <c r="AW185" t="s">
        <v>47</v>
      </c>
      <c r="AX185">
        <v>50</v>
      </c>
      <c r="AY185">
        <v>50</v>
      </c>
      <c r="AZ185"/>
      <c r="BA185"/>
      <c r="BB185"/>
      <c r="BC185">
        <v>0</v>
      </c>
      <c r="BD185">
        <v>0</v>
      </c>
      <c r="BE185" t="s">
        <v>47</v>
      </c>
      <c r="BF185"/>
      <c r="BG185"/>
      <c r="BH185"/>
      <c r="BI185">
        <v>0</v>
      </c>
      <c r="BJ185">
        <v>0</v>
      </c>
      <c r="BK185"/>
      <c r="BL185"/>
      <c r="BM185" t="s">
        <v>47</v>
      </c>
      <c r="BN185" t="s">
        <v>47</v>
      </c>
      <c r="BO185" t="s">
        <v>47</v>
      </c>
      <c r="BP185" t="s">
        <v>47</v>
      </c>
      <c r="BQ185" t="s">
        <v>47</v>
      </c>
      <c r="BR185"/>
      <c r="BS185" t="s">
        <v>47</v>
      </c>
      <c r="BT185" t="s">
        <v>47</v>
      </c>
      <c r="BU185" t="s">
        <v>47</v>
      </c>
      <c r="BV185"/>
      <c r="BW185" t="s">
        <v>47</v>
      </c>
      <c r="BX185" t="s">
        <v>47</v>
      </c>
      <c r="BY185" t="s">
        <v>47</v>
      </c>
      <c r="BZ185" t="s">
        <v>47</v>
      </c>
      <c r="CA185" t="s">
        <v>47</v>
      </c>
      <c r="CB185" t="s">
        <v>47</v>
      </c>
      <c r="CC185" t="s">
        <v>47</v>
      </c>
      <c r="CD185" t="s">
        <v>47</v>
      </c>
      <c r="CE185" t="s">
        <v>47</v>
      </c>
      <c r="CF185" t="s">
        <v>47</v>
      </c>
      <c r="CG185" t="s">
        <v>47</v>
      </c>
      <c r="CH185" t="s">
        <v>47</v>
      </c>
      <c r="CI185" t="s">
        <v>47</v>
      </c>
      <c r="CJ185" t="s">
        <v>47</v>
      </c>
      <c r="CK185"/>
    </row>
    <row r="186" spans="1:89" s="7" customFormat="1" x14ac:dyDescent="0.25">
      <c r="A186" t="s">
        <v>1438</v>
      </c>
      <c r="B186" t="s">
        <v>690</v>
      </c>
      <c r="C186" t="s">
        <v>1492</v>
      </c>
      <c r="D186" t="s">
        <v>1894</v>
      </c>
      <c r="E186">
        <v>800</v>
      </c>
      <c r="F186" t="s">
        <v>290</v>
      </c>
      <c r="G186">
        <v>1060</v>
      </c>
      <c r="H186" s="9">
        <v>16</v>
      </c>
      <c r="I186" t="s">
        <v>290</v>
      </c>
      <c r="J186" t="s">
        <v>823</v>
      </c>
      <c r="K186" t="s">
        <v>2101</v>
      </c>
      <c r="L186" t="s">
        <v>2102</v>
      </c>
      <c r="M186" s="10" t="str">
        <f>HYPERLINK(cna_product_database_catalog_website[[#This Row],[Spec Sheet Link]], cna_product_database_catalog_website[[#Headers],[Spec Sheet Link]])</f>
        <v>Spec Sheet Link</v>
      </c>
      <c r="N186" t="s">
        <v>46</v>
      </c>
      <c r="O186">
        <v>1</v>
      </c>
      <c r="P186">
        <v>1</v>
      </c>
      <c r="Q186" t="s">
        <v>385</v>
      </c>
      <c r="R186" t="s">
        <v>50</v>
      </c>
      <c r="S186" t="s">
        <v>47</v>
      </c>
      <c r="T186" t="s">
        <v>47</v>
      </c>
      <c r="U186" t="s">
        <v>47</v>
      </c>
      <c r="V186" t="s">
        <v>47</v>
      </c>
      <c r="W186" t="s">
        <v>115</v>
      </c>
      <c r="X186" t="s">
        <v>336</v>
      </c>
      <c r="Y186" t="s">
        <v>47</v>
      </c>
      <c r="Z186" t="s">
        <v>47</v>
      </c>
      <c r="AA186" t="s">
        <v>47</v>
      </c>
      <c r="AB186" t="s">
        <v>47</v>
      </c>
      <c r="AC186" t="s">
        <v>47</v>
      </c>
      <c r="AD186" t="s">
        <v>47</v>
      </c>
      <c r="AE186"/>
      <c r="AF186" t="s">
        <v>47</v>
      </c>
      <c r="AG186" t="s">
        <v>47</v>
      </c>
      <c r="AH186" t="s">
        <v>47</v>
      </c>
      <c r="AI186" t="s">
        <v>47</v>
      </c>
      <c r="AJ186"/>
      <c r="AK186"/>
      <c r="AL186" t="s">
        <v>47</v>
      </c>
      <c r="AM186"/>
      <c r="AN186"/>
      <c r="AO186" t="s">
        <v>47</v>
      </c>
      <c r="AP186" t="s">
        <v>47</v>
      </c>
      <c r="AQ186" t="s">
        <v>47</v>
      </c>
      <c r="AR186"/>
      <c r="AS186"/>
      <c r="AT186"/>
      <c r="AU186"/>
      <c r="AV186" t="s">
        <v>47</v>
      </c>
      <c r="AW186" t="s">
        <v>47</v>
      </c>
      <c r="AX186">
        <v>50</v>
      </c>
      <c r="AY186">
        <v>50</v>
      </c>
      <c r="AZ186"/>
      <c r="BA186"/>
      <c r="BB186"/>
      <c r="BC186">
        <v>0</v>
      </c>
      <c r="BD186">
        <v>0</v>
      </c>
      <c r="BE186" t="s">
        <v>47</v>
      </c>
      <c r="BF186"/>
      <c r="BG186"/>
      <c r="BH186"/>
      <c r="BI186">
        <v>0</v>
      </c>
      <c r="BJ186">
        <v>0</v>
      </c>
      <c r="BK186"/>
      <c r="BL186"/>
      <c r="BM186" t="s">
        <v>47</v>
      </c>
      <c r="BN186" t="s">
        <v>47</v>
      </c>
      <c r="BO186" t="s">
        <v>47</v>
      </c>
      <c r="BP186" t="s">
        <v>47</v>
      </c>
      <c r="BQ186" t="s">
        <v>47</v>
      </c>
      <c r="BR186"/>
      <c r="BS186" t="s">
        <v>47</v>
      </c>
      <c r="BT186" t="s">
        <v>47</v>
      </c>
      <c r="BU186" t="s">
        <v>47</v>
      </c>
      <c r="BV186"/>
      <c r="BW186" t="s">
        <v>47</v>
      </c>
      <c r="BX186" t="s">
        <v>47</v>
      </c>
      <c r="BY186" t="s">
        <v>47</v>
      </c>
      <c r="BZ186" t="s">
        <v>47</v>
      </c>
      <c r="CA186" t="s">
        <v>47</v>
      </c>
      <c r="CB186" t="s">
        <v>47</v>
      </c>
      <c r="CC186" t="s">
        <v>47</v>
      </c>
      <c r="CD186" t="s">
        <v>47</v>
      </c>
      <c r="CE186" t="s">
        <v>47</v>
      </c>
      <c r="CF186" t="s">
        <v>47</v>
      </c>
      <c r="CG186" t="s">
        <v>47</v>
      </c>
      <c r="CH186" t="s">
        <v>47</v>
      </c>
      <c r="CI186" t="s">
        <v>47</v>
      </c>
      <c r="CJ186" t="s">
        <v>47</v>
      </c>
      <c r="CK186"/>
    </row>
    <row r="187" spans="1:89" s="7" customFormat="1" x14ac:dyDescent="0.25">
      <c r="A187" t="s">
        <v>1438</v>
      </c>
      <c r="B187" t="s">
        <v>690</v>
      </c>
      <c r="C187" t="s">
        <v>1493</v>
      </c>
      <c r="D187" t="s">
        <v>1895</v>
      </c>
      <c r="E187">
        <v>805</v>
      </c>
      <c r="F187" t="s">
        <v>293</v>
      </c>
      <c r="G187">
        <v>1061</v>
      </c>
      <c r="H187" s="9">
        <v>25</v>
      </c>
      <c r="I187" t="s">
        <v>293</v>
      </c>
      <c r="J187" t="s">
        <v>824</v>
      </c>
      <c r="K187" t="s">
        <v>2103</v>
      </c>
      <c r="L187" t="s">
        <v>2104</v>
      </c>
      <c r="M187" s="10" t="str">
        <f>HYPERLINK(cna_product_database_catalog_website[[#This Row],[Spec Sheet Link]], cna_product_database_catalog_website[[#Headers],[Spec Sheet Link]])</f>
        <v>Spec Sheet Link</v>
      </c>
      <c r="N187" t="s">
        <v>46</v>
      </c>
      <c r="O187">
        <v>1</v>
      </c>
      <c r="P187">
        <v>1</v>
      </c>
      <c r="Q187" t="s">
        <v>379</v>
      </c>
      <c r="R187" t="s">
        <v>386</v>
      </c>
      <c r="S187" t="s">
        <v>47</v>
      </c>
      <c r="T187" t="s">
        <v>47</v>
      </c>
      <c r="U187" t="s">
        <v>47</v>
      </c>
      <c r="V187" t="s">
        <v>47</v>
      </c>
      <c r="W187" t="s">
        <v>115</v>
      </c>
      <c r="X187" t="s">
        <v>336</v>
      </c>
      <c r="Y187" t="s">
        <v>47</v>
      </c>
      <c r="Z187" t="s">
        <v>47</v>
      </c>
      <c r="AA187" t="s">
        <v>47</v>
      </c>
      <c r="AB187" t="s">
        <v>47</v>
      </c>
      <c r="AC187" t="s">
        <v>47</v>
      </c>
      <c r="AD187" t="s">
        <v>47</v>
      </c>
      <c r="AE187"/>
      <c r="AF187" t="s">
        <v>47</v>
      </c>
      <c r="AG187" t="s">
        <v>47</v>
      </c>
      <c r="AH187" t="s">
        <v>47</v>
      </c>
      <c r="AI187" t="s">
        <v>47</v>
      </c>
      <c r="AJ187"/>
      <c r="AK187"/>
      <c r="AL187" t="s">
        <v>47</v>
      </c>
      <c r="AM187"/>
      <c r="AN187"/>
      <c r="AO187" t="s">
        <v>47</v>
      </c>
      <c r="AP187" t="s">
        <v>47</v>
      </c>
      <c r="AQ187" t="s">
        <v>47</v>
      </c>
      <c r="AR187"/>
      <c r="AS187"/>
      <c r="AT187"/>
      <c r="AU187"/>
      <c r="AV187" t="s">
        <v>47</v>
      </c>
      <c r="AW187" t="s">
        <v>47</v>
      </c>
      <c r="AX187">
        <v>50</v>
      </c>
      <c r="AY187">
        <v>50</v>
      </c>
      <c r="AZ187"/>
      <c r="BA187"/>
      <c r="BB187"/>
      <c r="BC187">
        <v>0</v>
      </c>
      <c r="BD187">
        <v>0</v>
      </c>
      <c r="BE187" t="s">
        <v>47</v>
      </c>
      <c r="BF187"/>
      <c r="BG187"/>
      <c r="BH187"/>
      <c r="BI187">
        <v>0</v>
      </c>
      <c r="BJ187">
        <v>0</v>
      </c>
      <c r="BK187"/>
      <c r="BL187"/>
      <c r="BM187" t="s">
        <v>47</v>
      </c>
      <c r="BN187" t="s">
        <v>47</v>
      </c>
      <c r="BO187" t="s">
        <v>47</v>
      </c>
      <c r="BP187" t="s">
        <v>47</v>
      </c>
      <c r="BQ187" t="s">
        <v>47</v>
      </c>
      <c r="BR187"/>
      <c r="BS187" t="s">
        <v>47</v>
      </c>
      <c r="BT187" t="s">
        <v>47</v>
      </c>
      <c r="BU187" t="s">
        <v>47</v>
      </c>
      <c r="BV187"/>
      <c r="BW187" t="s">
        <v>47</v>
      </c>
      <c r="BX187" t="s">
        <v>47</v>
      </c>
      <c r="BY187" t="s">
        <v>47</v>
      </c>
      <c r="BZ187" t="s">
        <v>47</v>
      </c>
      <c r="CA187" t="s">
        <v>47</v>
      </c>
      <c r="CB187" t="s">
        <v>47</v>
      </c>
      <c r="CC187" t="s">
        <v>47</v>
      </c>
      <c r="CD187" t="s">
        <v>47</v>
      </c>
      <c r="CE187" t="s">
        <v>47</v>
      </c>
      <c r="CF187" t="s">
        <v>47</v>
      </c>
      <c r="CG187" t="s">
        <v>47</v>
      </c>
      <c r="CH187" t="s">
        <v>47</v>
      </c>
      <c r="CI187" t="s">
        <v>47</v>
      </c>
      <c r="CJ187" t="s">
        <v>47</v>
      </c>
      <c r="CK187"/>
    </row>
    <row r="188" spans="1:89" s="7" customFormat="1" x14ac:dyDescent="0.25">
      <c r="A188" t="s">
        <v>1438</v>
      </c>
      <c r="B188" t="s">
        <v>690</v>
      </c>
      <c r="C188" t="s">
        <v>1494</v>
      </c>
      <c r="D188" t="s">
        <v>1896</v>
      </c>
      <c r="E188">
        <v>810</v>
      </c>
      <c r="F188" t="s">
        <v>294</v>
      </c>
      <c r="G188">
        <v>1062</v>
      </c>
      <c r="H188" s="9">
        <v>35</v>
      </c>
      <c r="I188" t="s">
        <v>294</v>
      </c>
      <c r="J188" t="s">
        <v>825</v>
      </c>
      <c r="K188" t="s">
        <v>2105</v>
      </c>
      <c r="L188" t="s">
        <v>2106</v>
      </c>
      <c r="M188" s="10" t="str">
        <f>HYPERLINK(cna_product_database_catalog_website[[#This Row],[Spec Sheet Link]], cna_product_database_catalog_website[[#Headers],[Spec Sheet Link]])</f>
        <v>Spec Sheet Link</v>
      </c>
      <c r="N188" t="s">
        <v>46</v>
      </c>
      <c r="O188">
        <v>1</v>
      </c>
      <c r="P188">
        <v>1</v>
      </c>
      <c r="Q188" t="s">
        <v>383</v>
      </c>
      <c r="R188" t="s">
        <v>386</v>
      </c>
      <c r="S188" t="s">
        <v>47</v>
      </c>
      <c r="T188" t="s">
        <v>47</v>
      </c>
      <c r="U188" t="s">
        <v>47</v>
      </c>
      <c r="V188" t="s">
        <v>47</v>
      </c>
      <c r="W188" t="s">
        <v>115</v>
      </c>
      <c r="X188" t="s">
        <v>336</v>
      </c>
      <c r="Y188" t="s">
        <v>47</v>
      </c>
      <c r="Z188" t="s">
        <v>47</v>
      </c>
      <c r="AA188" t="s">
        <v>47</v>
      </c>
      <c r="AB188" t="s">
        <v>47</v>
      </c>
      <c r="AC188" t="s">
        <v>47</v>
      </c>
      <c r="AD188" t="s">
        <v>47</v>
      </c>
      <c r="AE188"/>
      <c r="AF188" t="s">
        <v>47</v>
      </c>
      <c r="AG188" t="s">
        <v>47</v>
      </c>
      <c r="AH188" t="s">
        <v>47</v>
      </c>
      <c r="AI188" t="s">
        <v>47</v>
      </c>
      <c r="AJ188"/>
      <c r="AK188"/>
      <c r="AL188" t="s">
        <v>47</v>
      </c>
      <c r="AM188"/>
      <c r="AN188"/>
      <c r="AO188" t="s">
        <v>47</v>
      </c>
      <c r="AP188" t="s">
        <v>47</v>
      </c>
      <c r="AQ188" t="s">
        <v>47</v>
      </c>
      <c r="AR188"/>
      <c r="AS188"/>
      <c r="AT188"/>
      <c r="AU188"/>
      <c r="AV188" t="s">
        <v>47</v>
      </c>
      <c r="AW188" t="s">
        <v>47</v>
      </c>
      <c r="AX188">
        <v>50</v>
      </c>
      <c r="AY188">
        <v>50</v>
      </c>
      <c r="AZ188"/>
      <c r="BA188"/>
      <c r="BB188"/>
      <c r="BC188">
        <v>0</v>
      </c>
      <c r="BD188">
        <v>0</v>
      </c>
      <c r="BE188" t="s">
        <v>47</v>
      </c>
      <c r="BF188"/>
      <c r="BG188"/>
      <c r="BH188"/>
      <c r="BI188">
        <v>0</v>
      </c>
      <c r="BJ188">
        <v>0</v>
      </c>
      <c r="BK188"/>
      <c r="BL188"/>
      <c r="BM188" t="s">
        <v>47</v>
      </c>
      <c r="BN188" t="s">
        <v>47</v>
      </c>
      <c r="BO188" t="s">
        <v>47</v>
      </c>
      <c r="BP188" t="s">
        <v>47</v>
      </c>
      <c r="BQ188" t="s">
        <v>47</v>
      </c>
      <c r="BR188"/>
      <c r="BS188" t="s">
        <v>47</v>
      </c>
      <c r="BT188" t="s">
        <v>47</v>
      </c>
      <c r="BU188" t="s">
        <v>47</v>
      </c>
      <c r="BV188"/>
      <c r="BW188" t="s">
        <v>47</v>
      </c>
      <c r="BX188" t="s">
        <v>47</v>
      </c>
      <c r="BY188" t="s">
        <v>47</v>
      </c>
      <c r="BZ188" t="s">
        <v>47</v>
      </c>
      <c r="CA188" t="s">
        <v>47</v>
      </c>
      <c r="CB188" t="s">
        <v>47</v>
      </c>
      <c r="CC188" t="s">
        <v>47</v>
      </c>
      <c r="CD188" t="s">
        <v>47</v>
      </c>
      <c r="CE188" t="s">
        <v>47</v>
      </c>
      <c r="CF188" t="s">
        <v>47</v>
      </c>
      <c r="CG188" t="s">
        <v>47</v>
      </c>
      <c r="CH188" t="s">
        <v>47</v>
      </c>
      <c r="CI188" t="s">
        <v>47</v>
      </c>
      <c r="CJ188" t="s">
        <v>47</v>
      </c>
      <c r="CK188"/>
    </row>
    <row r="189" spans="1:89" s="7" customFormat="1" x14ac:dyDescent="0.25">
      <c r="A189" t="s">
        <v>1438</v>
      </c>
      <c r="B189" t="s">
        <v>690</v>
      </c>
      <c r="C189" t="s">
        <v>1495</v>
      </c>
      <c r="D189" t="s">
        <v>1897</v>
      </c>
      <c r="E189">
        <v>815</v>
      </c>
      <c r="F189" t="s">
        <v>295</v>
      </c>
      <c r="G189">
        <v>1063</v>
      </c>
      <c r="H189" s="9">
        <v>45</v>
      </c>
      <c r="I189" t="s">
        <v>295</v>
      </c>
      <c r="J189" t="s">
        <v>826</v>
      </c>
      <c r="K189" t="s">
        <v>2107</v>
      </c>
      <c r="L189" t="s">
        <v>2108</v>
      </c>
      <c r="M189" s="10" t="str">
        <f>HYPERLINK(cna_product_database_catalog_website[[#This Row],[Spec Sheet Link]], cna_product_database_catalog_website[[#Headers],[Spec Sheet Link]])</f>
        <v>Spec Sheet Link</v>
      </c>
      <c r="N189" t="s">
        <v>46</v>
      </c>
      <c r="O189">
        <v>1</v>
      </c>
      <c r="P189">
        <v>1</v>
      </c>
      <c r="Q189" t="s">
        <v>390</v>
      </c>
      <c r="R189" t="s">
        <v>386</v>
      </c>
      <c r="S189" t="s">
        <v>47</v>
      </c>
      <c r="T189" t="s">
        <v>47</v>
      </c>
      <c r="U189" t="s">
        <v>47</v>
      </c>
      <c r="V189" t="s">
        <v>47</v>
      </c>
      <c r="W189" t="s">
        <v>115</v>
      </c>
      <c r="X189" t="s">
        <v>336</v>
      </c>
      <c r="Y189" t="s">
        <v>47</v>
      </c>
      <c r="Z189" t="s">
        <v>47</v>
      </c>
      <c r="AA189" t="s">
        <v>47</v>
      </c>
      <c r="AB189" t="s">
        <v>47</v>
      </c>
      <c r="AC189" t="s">
        <v>47</v>
      </c>
      <c r="AD189" t="s">
        <v>47</v>
      </c>
      <c r="AE189"/>
      <c r="AF189" t="s">
        <v>47</v>
      </c>
      <c r="AG189" t="s">
        <v>47</v>
      </c>
      <c r="AH189" t="s">
        <v>47</v>
      </c>
      <c r="AI189" t="s">
        <v>47</v>
      </c>
      <c r="AJ189"/>
      <c r="AK189"/>
      <c r="AL189" t="s">
        <v>47</v>
      </c>
      <c r="AM189"/>
      <c r="AN189"/>
      <c r="AO189" t="s">
        <v>47</v>
      </c>
      <c r="AP189" t="s">
        <v>47</v>
      </c>
      <c r="AQ189" t="s">
        <v>47</v>
      </c>
      <c r="AR189"/>
      <c r="AS189"/>
      <c r="AT189"/>
      <c r="AU189"/>
      <c r="AV189" t="s">
        <v>47</v>
      </c>
      <c r="AW189" t="s">
        <v>47</v>
      </c>
      <c r="AX189">
        <v>50</v>
      </c>
      <c r="AY189">
        <v>50</v>
      </c>
      <c r="AZ189"/>
      <c r="BA189"/>
      <c r="BB189"/>
      <c r="BC189">
        <v>0</v>
      </c>
      <c r="BD189">
        <v>0</v>
      </c>
      <c r="BE189" t="s">
        <v>47</v>
      </c>
      <c r="BF189"/>
      <c r="BG189"/>
      <c r="BH189"/>
      <c r="BI189">
        <v>0</v>
      </c>
      <c r="BJ189">
        <v>0</v>
      </c>
      <c r="BK189"/>
      <c r="BL189"/>
      <c r="BM189" t="s">
        <v>47</v>
      </c>
      <c r="BN189" t="s">
        <v>47</v>
      </c>
      <c r="BO189" t="s">
        <v>47</v>
      </c>
      <c r="BP189" t="s">
        <v>47</v>
      </c>
      <c r="BQ189" t="s">
        <v>47</v>
      </c>
      <c r="BR189"/>
      <c r="BS189" t="s">
        <v>47</v>
      </c>
      <c r="BT189" t="s">
        <v>47</v>
      </c>
      <c r="BU189" t="s">
        <v>47</v>
      </c>
      <c r="BV189"/>
      <c r="BW189" t="s">
        <v>47</v>
      </c>
      <c r="BX189" t="s">
        <v>47</v>
      </c>
      <c r="BY189" t="s">
        <v>47</v>
      </c>
      <c r="BZ189" t="s">
        <v>47</v>
      </c>
      <c r="CA189" t="s">
        <v>47</v>
      </c>
      <c r="CB189" t="s">
        <v>47</v>
      </c>
      <c r="CC189" t="s">
        <v>47</v>
      </c>
      <c r="CD189" t="s">
        <v>47</v>
      </c>
      <c r="CE189" t="s">
        <v>47</v>
      </c>
      <c r="CF189" t="s">
        <v>47</v>
      </c>
      <c r="CG189" t="s">
        <v>47</v>
      </c>
      <c r="CH189" t="s">
        <v>47</v>
      </c>
      <c r="CI189" t="s">
        <v>47</v>
      </c>
      <c r="CJ189" t="s">
        <v>47</v>
      </c>
      <c r="CK189"/>
    </row>
    <row r="190" spans="1:89" s="7" customFormat="1" x14ac:dyDescent="0.25">
      <c r="A190" t="s">
        <v>1438</v>
      </c>
      <c r="B190" t="s">
        <v>690</v>
      </c>
      <c r="C190" t="s">
        <v>1496</v>
      </c>
      <c r="D190" t="s">
        <v>1898</v>
      </c>
      <c r="E190">
        <v>820</v>
      </c>
      <c r="F190" t="s">
        <v>296</v>
      </c>
      <c r="G190">
        <v>1035</v>
      </c>
      <c r="H190" s="9">
        <v>62</v>
      </c>
      <c r="I190" t="s">
        <v>296</v>
      </c>
      <c r="J190" t="s">
        <v>827</v>
      </c>
      <c r="K190" t="s">
        <v>2109</v>
      </c>
      <c r="L190" t="s">
        <v>2110</v>
      </c>
      <c r="M190" s="10" t="str">
        <f>HYPERLINK(cna_product_database_catalog_website[[#This Row],[Spec Sheet Link]], cna_product_database_catalog_website[[#Headers],[Spec Sheet Link]])</f>
        <v>Spec Sheet Link</v>
      </c>
      <c r="N190" t="s">
        <v>46</v>
      </c>
      <c r="O190">
        <v>1</v>
      </c>
      <c r="P190">
        <v>1</v>
      </c>
      <c r="Q190" t="s">
        <v>338</v>
      </c>
      <c r="R190" t="s">
        <v>386</v>
      </c>
      <c r="S190" t="s">
        <v>47</v>
      </c>
      <c r="T190" t="s">
        <v>47</v>
      </c>
      <c r="U190" t="s">
        <v>47</v>
      </c>
      <c r="V190" t="s">
        <v>47</v>
      </c>
      <c r="W190" t="s">
        <v>115</v>
      </c>
      <c r="X190" t="s">
        <v>336</v>
      </c>
      <c r="Y190" t="s">
        <v>47</v>
      </c>
      <c r="Z190" t="s">
        <v>47</v>
      </c>
      <c r="AA190" t="s">
        <v>47</v>
      </c>
      <c r="AB190" t="s">
        <v>47</v>
      </c>
      <c r="AC190" t="s">
        <v>47</v>
      </c>
      <c r="AD190" t="s">
        <v>47</v>
      </c>
      <c r="AE190"/>
      <c r="AF190" t="s">
        <v>47</v>
      </c>
      <c r="AG190" t="s">
        <v>47</v>
      </c>
      <c r="AH190" t="s">
        <v>47</v>
      </c>
      <c r="AI190" t="s">
        <v>47</v>
      </c>
      <c r="AJ190"/>
      <c r="AK190"/>
      <c r="AL190" t="s">
        <v>47</v>
      </c>
      <c r="AM190"/>
      <c r="AN190"/>
      <c r="AO190" t="s">
        <v>47</v>
      </c>
      <c r="AP190" t="s">
        <v>47</v>
      </c>
      <c r="AQ190" t="s">
        <v>47</v>
      </c>
      <c r="AR190"/>
      <c r="AS190"/>
      <c r="AT190"/>
      <c r="AU190"/>
      <c r="AV190" t="s">
        <v>47</v>
      </c>
      <c r="AW190" t="s">
        <v>47</v>
      </c>
      <c r="AX190">
        <v>50</v>
      </c>
      <c r="AY190">
        <v>50</v>
      </c>
      <c r="AZ190"/>
      <c r="BA190"/>
      <c r="BB190"/>
      <c r="BC190">
        <v>0</v>
      </c>
      <c r="BD190">
        <v>0</v>
      </c>
      <c r="BE190" t="s">
        <v>47</v>
      </c>
      <c r="BF190"/>
      <c r="BG190"/>
      <c r="BH190"/>
      <c r="BI190">
        <v>0</v>
      </c>
      <c r="BJ190">
        <v>0</v>
      </c>
      <c r="BK190"/>
      <c r="BL190"/>
      <c r="BM190" t="s">
        <v>47</v>
      </c>
      <c r="BN190" t="s">
        <v>47</v>
      </c>
      <c r="BO190" t="s">
        <v>47</v>
      </c>
      <c r="BP190" t="s">
        <v>47</v>
      </c>
      <c r="BQ190" t="s">
        <v>47</v>
      </c>
      <c r="BR190"/>
      <c r="BS190" t="s">
        <v>47</v>
      </c>
      <c r="BT190" t="s">
        <v>47</v>
      </c>
      <c r="BU190" t="s">
        <v>47</v>
      </c>
      <c r="BV190"/>
      <c r="BW190" t="s">
        <v>47</v>
      </c>
      <c r="BX190" t="s">
        <v>47</v>
      </c>
      <c r="BY190" t="s">
        <v>47</v>
      </c>
      <c r="BZ190" t="s">
        <v>47</v>
      </c>
      <c r="CA190" t="s">
        <v>47</v>
      </c>
      <c r="CB190" t="s">
        <v>47</v>
      </c>
      <c r="CC190" t="s">
        <v>47</v>
      </c>
      <c r="CD190" t="s">
        <v>47</v>
      </c>
      <c r="CE190" t="s">
        <v>47</v>
      </c>
      <c r="CF190" t="s">
        <v>47</v>
      </c>
      <c r="CG190" t="s">
        <v>47</v>
      </c>
      <c r="CH190" t="s">
        <v>47</v>
      </c>
      <c r="CI190" t="s">
        <v>47</v>
      </c>
      <c r="CJ190" t="s">
        <v>47</v>
      </c>
      <c r="CK190"/>
    </row>
    <row r="191" spans="1:89" s="7" customFormat="1" x14ac:dyDescent="0.25">
      <c r="A191" t="s">
        <v>1438</v>
      </c>
      <c r="B191" t="s">
        <v>690</v>
      </c>
      <c r="C191" t="s">
        <v>1497</v>
      </c>
      <c r="D191" t="s">
        <v>1899</v>
      </c>
      <c r="E191">
        <v>825</v>
      </c>
      <c r="F191" t="s">
        <v>1325</v>
      </c>
      <c r="G191">
        <v>1135</v>
      </c>
      <c r="H191" s="9">
        <v>90</v>
      </c>
      <c r="I191" t="s">
        <v>1325</v>
      </c>
      <c r="J191" t="s">
        <v>828</v>
      </c>
      <c r="K191" t="s">
        <v>2111</v>
      </c>
      <c r="L191" t="s">
        <v>2112</v>
      </c>
      <c r="M191" s="10" t="str">
        <f>HYPERLINK(cna_product_database_catalog_website[[#This Row],[Spec Sheet Link]], cna_product_database_catalog_website[[#Headers],[Spec Sheet Link]])</f>
        <v>Spec Sheet Link</v>
      </c>
      <c r="N191" t="s">
        <v>46</v>
      </c>
      <c r="O191">
        <v>1</v>
      </c>
      <c r="P191">
        <v>1</v>
      </c>
      <c r="Q191" t="s">
        <v>379</v>
      </c>
      <c r="R191" t="s">
        <v>386</v>
      </c>
      <c r="S191" t="s">
        <v>47</v>
      </c>
      <c r="T191" t="s">
        <v>47</v>
      </c>
      <c r="U191" t="s">
        <v>47</v>
      </c>
      <c r="V191" t="s">
        <v>47</v>
      </c>
      <c r="W191" t="s">
        <v>115</v>
      </c>
      <c r="X191" t="s">
        <v>336</v>
      </c>
      <c r="Y191" t="s">
        <v>47</v>
      </c>
      <c r="Z191" t="s">
        <v>47</v>
      </c>
      <c r="AA191" t="s">
        <v>47</v>
      </c>
      <c r="AB191" t="s">
        <v>47</v>
      </c>
      <c r="AC191" t="s">
        <v>47</v>
      </c>
      <c r="AD191" t="s">
        <v>47</v>
      </c>
      <c r="AE191"/>
      <c r="AF191" t="s">
        <v>47</v>
      </c>
      <c r="AG191" t="s">
        <v>47</v>
      </c>
      <c r="AH191" t="s">
        <v>47</v>
      </c>
      <c r="AI191" t="s">
        <v>47</v>
      </c>
      <c r="AJ191"/>
      <c r="AK191"/>
      <c r="AL191" t="s">
        <v>47</v>
      </c>
      <c r="AM191"/>
      <c r="AN191"/>
      <c r="AO191" t="s">
        <v>47</v>
      </c>
      <c r="AP191" t="s">
        <v>47</v>
      </c>
      <c r="AQ191" t="s">
        <v>47</v>
      </c>
      <c r="AR191"/>
      <c r="AS191"/>
      <c r="AT191"/>
      <c r="AU191"/>
      <c r="AV191" t="s">
        <v>47</v>
      </c>
      <c r="AW191" t="s">
        <v>47</v>
      </c>
      <c r="AX191">
        <v>50</v>
      </c>
      <c r="AY191">
        <v>50</v>
      </c>
      <c r="AZ191"/>
      <c r="BA191"/>
      <c r="BB191"/>
      <c r="BC191">
        <v>0</v>
      </c>
      <c r="BD191">
        <v>0</v>
      </c>
      <c r="BE191" t="s">
        <v>47</v>
      </c>
      <c r="BF191"/>
      <c r="BG191"/>
      <c r="BH191"/>
      <c r="BI191">
        <v>0</v>
      </c>
      <c r="BJ191">
        <v>0</v>
      </c>
      <c r="BK191"/>
      <c r="BL191"/>
      <c r="BM191" t="s">
        <v>47</v>
      </c>
      <c r="BN191" t="s">
        <v>47</v>
      </c>
      <c r="BO191" t="s">
        <v>47</v>
      </c>
      <c r="BP191" t="s">
        <v>47</v>
      </c>
      <c r="BQ191" t="s">
        <v>47</v>
      </c>
      <c r="BR191"/>
      <c r="BS191" t="s">
        <v>47</v>
      </c>
      <c r="BT191" t="s">
        <v>47</v>
      </c>
      <c r="BU191" t="s">
        <v>47</v>
      </c>
      <c r="BV191"/>
      <c r="BW191" t="s">
        <v>47</v>
      </c>
      <c r="BX191" t="s">
        <v>47</v>
      </c>
      <c r="BY191" t="s">
        <v>47</v>
      </c>
      <c r="BZ191" t="s">
        <v>47</v>
      </c>
      <c r="CA191" t="s">
        <v>47</v>
      </c>
      <c r="CB191" t="s">
        <v>47</v>
      </c>
      <c r="CC191" t="s">
        <v>47</v>
      </c>
      <c r="CD191" t="s">
        <v>47</v>
      </c>
      <c r="CE191" t="s">
        <v>47</v>
      </c>
      <c r="CF191" t="s">
        <v>47</v>
      </c>
      <c r="CG191" t="s">
        <v>47</v>
      </c>
      <c r="CH191" t="s">
        <v>47</v>
      </c>
      <c r="CI191" t="s">
        <v>47</v>
      </c>
      <c r="CJ191" t="s">
        <v>47</v>
      </c>
      <c r="CK191"/>
    </row>
    <row r="192" spans="1:89" s="7" customFormat="1" x14ac:dyDescent="0.25">
      <c r="A192" t="s">
        <v>1438</v>
      </c>
      <c r="B192" t="s">
        <v>690</v>
      </c>
      <c r="C192" t="s">
        <v>1498</v>
      </c>
      <c r="D192" t="s">
        <v>1900</v>
      </c>
      <c r="E192">
        <v>830</v>
      </c>
      <c r="F192" t="s">
        <v>298</v>
      </c>
      <c r="G192">
        <v>945</v>
      </c>
      <c r="H192" s="9">
        <v>35</v>
      </c>
      <c r="I192" t="s">
        <v>298</v>
      </c>
      <c r="J192" t="s">
        <v>829</v>
      </c>
      <c r="K192" t="s">
        <v>2113</v>
      </c>
      <c r="L192" t="s">
        <v>2114</v>
      </c>
      <c r="M192" s="10" t="str">
        <f>HYPERLINK(cna_product_database_catalog_website[[#This Row],[Spec Sheet Link]], cna_product_database_catalog_website[[#Headers],[Spec Sheet Link]])</f>
        <v>Spec Sheet Link</v>
      </c>
      <c r="N192" t="s">
        <v>46</v>
      </c>
      <c r="O192">
        <v>1</v>
      </c>
      <c r="P192">
        <v>1</v>
      </c>
      <c r="Q192" t="s">
        <v>385</v>
      </c>
      <c r="R192" t="s">
        <v>386</v>
      </c>
      <c r="S192" t="s">
        <v>47</v>
      </c>
      <c r="T192" t="s">
        <v>47</v>
      </c>
      <c r="U192" t="s">
        <v>47</v>
      </c>
      <c r="V192" t="s">
        <v>47</v>
      </c>
      <c r="W192" t="s">
        <v>115</v>
      </c>
      <c r="X192" t="s">
        <v>336</v>
      </c>
      <c r="Y192" t="s">
        <v>47</v>
      </c>
      <c r="Z192" t="s">
        <v>47</v>
      </c>
      <c r="AA192" t="s">
        <v>47</v>
      </c>
      <c r="AB192" t="s">
        <v>47</v>
      </c>
      <c r="AC192" t="s">
        <v>47</v>
      </c>
      <c r="AD192" t="s">
        <v>47</v>
      </c>
      <c r="AE192"/>
      <c r="AF192" t="s">
        <v>47</v>
      </c>
      <c r="AG192" t="s">
        <v>47</v>
      </c>
      <c r="AH192" t="s">
        <v>47</v>
      </c>
      <c r="AI192" t="s">
        <v>47</v>
      </c>
      <c r="AJ192"/>
      <c r="AK192"/>
      <c r="AL192" t="s">
        <v>47</v>
      </c>
      <c r="AM192"/>
      <c r="AN192"/>
      <c r="AO192" t="s">
        <v>47</v>
      </c>
      <c r="AP192" t="s">
        <v>47</v>
      </c>
      <c r="AQ192" t="s">
        <v>47</v>
      </c>
      <c r="AR192"/>
      <c r="AS192"/>
      <c r="AT192"/>
      <c r="AU192"/>
      <c r="AV192" t="s">
        <v>47</v>
      </c>
      <c r="AW192" t="s">
        <v>47</v>
      </c>
      <c r="AX192">
        <v>50</v>
      </c>
      <c r="AY192">
        <v>50</v>
      </c>
      <c r="AZ192"/>
      <c r="BA192"/>
      <c r="BB192"/>
      <c r="BC192">
        <v>0</v>
      </c>
      <c r="BD192">
        <v>0</v>
      </c>
      <c r="BE192" t="s">
        <v>47</v>
      </c>
      <c r="BF192"/>
      <c r="BG192"/>
      <c r="BH192"/>
      <c r="BI192">
        <v>0</v>
      </c>
      <c r="BJ192">
        <v>0</v>
      </c>
      <c r="BK192"/>
      <c r="BL192"/>
      <c r="BM192" t="s">
        <v>47</v>
      </c>
      <c r="BN192" t="s">
        <v>47</v>
      </c>
      <c r="BO192" t="s">
        <v>47</v>
      </c>
      <c r="BP192" t="s">
        <v>47</v>
      </c>
      <c r="BQ192" t="s">
        <v>47</v>
      </c>
      <c r="BR192"/>
      <c r="BS192" t="s">
        <v>47</v>
      </c>
      <c r="BT192" t="s">
        <v>47</v>
      </c>
      <c r="BU192" t="s">
        <v>47</v>
      </c>
      <c r="BV192"/>
      <c r="BW192" t="s">
        <v>47</v>
      </c>
      <c r="BX192" t="s">
        <v>47</v>
      </c>
      <c r="BY192" t="s">
        <v>47</v>
      </c>
      <c r="BZ192" t="s">
        <v>47</v>
      </c>
      <c r="CA192" t="s">
        <v>47</v>
      </c>
      <c r="CB192" t="s">
        <v>47</v>
      </c>
      <c r="CC192" t="s">
        <v>47</v>
      </c>
      <c r="CD192" t="s">
        <v>47</v>
      </c>
      <c r="CE192" t="s">
        <v>47</v>
      </c>
      <c r="CF192" t="s">
        <v>47</v>
      </c>
      <c r="CG192" t="s">
        <v>47</v>
      </c>
      <c r="CH192" t="s">
        <v>47</v>
      </c>
      <c r="CI192" t="s">
        <v>47</v>
      </c>
      <c r="CJ192" t="s">
        <v>47</v>
      </c>
      <c r="CK192"/>
    </row>
    <row r="193" spans="1:89" s="7" customFormat="1" x14ac:dyDescent="0.25">
      <c r="A193" t="s">
        <v>1438</v>
      </c>
      <c r="B193" t="s">
        <v>690</v>
      </c>
      <c r="C193" t="s">
        <v>1499</v>
      </c>
      <c r="D193" t="s">
        <v>1901</v>
      </c>
      <c r="E193">
        <v>835</v>
      </c>
      <c r="F193" t="s">
        <v>304</v>
      </c>
      <c r="G193">
        <v>946</v>
      </c>
      <c r="H193" s="9">
        <v>45</v>
      </c>
      <c r="I193" t="s">
        <v>304</v>
      </c>
      <c r="J193" t="s">
        <v>830</v>
      </c>
      <c r="K193" t="s">
        <v>2115</v>
      </c>
      <c r="L193" t="s">
        <v>2116</v>
      </c>
      <c r="M193" s="10" t="str">
        <f>HYPERLINK(cna_product_database_catalog_website[[#This Row],[Spec Sheet Link]], cna_product_database_catalog_website[[#Headers],[Spec Sheet Link]])</f>
        <v>Spec Sheet Link</v>
      </c>
      <c r="N193" t="s">
        <v>46</v>
      </c>
      <c r="O193">
        <v>1</v>
      </c>
      <c r="P193">
        <v>1</v>
      </c>
      <c r="Q193" t="s">
        <v>396</v>
      </c>
      <c r="R193" t="s">
        <v>386</v>
      </c>
      <c r="S193" t="s">
        <v>47</v>
      </c>
      <c r="T193" t="s">
        <v>47</v>
      </c>
      <c r="U193" t="s">
        <v>47</v>
      </c>
      <c r="V193" t="s">
        <v>47</v>
      </c>
      <c r="W193" t="s">
        <v>115</v>
      </c>
      <c r="X193" t="s">
        <v>336</v>
      </c>
      <c r="Y193" t="s">
        <v>47</v>
      </c>
      <c r="Z193" t="s">
        <v>47</v>
      </c>
      <c r="AA193" t="s">
        <v>47</v>
      </c>
      <c r="AB193" t="s">
        <v>47</v>
      </c>
      <c r="AC193" t="s">
        <v>47</v>
      </c>
      <c r="AD193" t="s">
        <v>47</v>
      </c>
      <c r="AE193"/>
      <c r="AF193" t="s">
        <v>47</v>
      </c>
      <c r="AG193" t="s">
        <v>47</v>
      </c>
      <c r="AH193" t="s">
        <v>47</v>
      </c>
      <c r="AI193" t="s">
        <v>47</v>
      </c>
      <c r="AJ193"/>
      <c r="AK193"/>
      <c r="AL193" t="s">
        <v>47</v>
      </c>
      <c r="AM193"/>
      <c r="AN193"/>
      <c r="AO193" t="s">
        <v>47</v>
      </c>
      <c r="AP193" t="s">
        <v>47</v>
      </c>
      <c r="AQ193" t="s">
        <v>47</v>
      </c>
      <c r="AR193"/>
      <c r="AS193"/>
      <c r="AT193"/>
      <c r="AU193"/>
      <c r="AV193" t="s">
        <v>47</v>
      </c>
      <c r="AW193" t="s">
        <v>47</v>
      </c>
      <c r="AX193">
        <v>50</v>
      </c>
      <c r="AY193">
        <v>50</v>
      </c>
      <c r="AZ193"/>
      <c r="BA193"/>
      <c r="BB193"/>
      <c r="BC193">
        <v>0</v>
      </c>
      <c r="BD193">
        <v>0</v>
      </c>
      <c r="BE193" t="s">
        <v>47</v>
      </c>
      <c r="BF193"/>
      <c r="BG193"/>
      <c r="BH193"/>
      <c r="BI193">
        <v>0</v>
      </c>
      <c r="BJ193">
        <v>0</v>
      </c>
      <c r="BK193"/>
      <c r="BL193"/>
      <c r="BM193" t="s">
        <v>47</v>
      </c>
      <c r="BN193" t="s">
        <v>47</v>
      </c>
      <c r="BO193" t="s">
        <v>47</v>
      </c>
      <c r="BP193" t="s">
        <v>47</v>
      </c>
      <c r="BQ193" t="s">
        <v>47</v>
      </c>
      <c r="BR193"/>
      <c r="BS193" t="s">
        <v>47</v>
      </c>
      <c r="BT193" t="s">
        <v>47</v>
      </c>
      <c r="BU193" t="s">
        <v>47</v>
      </c>
      <c r="BV193"/>
      <c r="BW193" t="s">
        <v>47</v>
      </c>
      <c r="BX193" t="s">
        <v>47</v>
      </c>
      <c r="BY193" t="s">
        <v>47</v>
      </c>
      <c r="BZ193" t="s">
        <v>47</v>
      </c>
      <c r="CA193" t="s">
        <v>47</v>
      </c>
      <c r="CB193" t="s">
        <v>47</v>
      </c>
      <c r="CC193" t="s">
        <v>47</v>
      </c>
      <c r="CD193" t="s">
        <v>47</v>
      </c>
      <c r="CE193" t="s">
        <v>47</v>
      </c>
      <c r="CF193" t="s">
        <v>47</v>
      </c>
      <c r="CG193" t="s">
        <v>47</v>
      </c>
      <c r="CH193" t="s">
        <v>47</v>
      </c>
      <c r="CI193" t="s">
        <v>47</v>
      </c>
      <c r="CJ193" t="s">
        <v>47</v>
      </c>
      <c r="CK193"/>
    </row>
    <row r="194" spans="1:89" s="7" customFormat="1" x14ac:dyDescent="0.25">
      <c r="A194" t="s">
        <v>1438</v>
      </c>
      <c r="B194" t="s">
        <v>690</v>
      </c>
      <c r="C194" t="s">
        <v>1500</v>
      </c>
      <c r="D194" t="s">
        <v>1902</v>
      </c>
      <c r="E194">
        <v>840</v>
      </c>
      <c r="F194" t="s">
        <v>307</v>
      </c>
      <c r="G194">
        <v>629</v>
      </c>
      <c r="H194" s="9">
        <v>90</v>
      </c>
      <c r="I194" t="s">
        <v>307</v>
      </c>
      <c r="J194" t="s">
        <v>831</v>
      </c>
      <c r="K194" t="s">
        <v>2117</v>
      </c>
      <c r="L194"/>
      <c r="M194" s="10" t="str">
        <f>HYPERLINK(cna_product_database_catalog_website[[#This Row],[Spec Sheet Link]], cna_product_database_catalog_website[[#Headers],[Spec Sheet Link]])</f>
        <v>Spec Sheet Link</v>
      </c>
      <c r="N194" t="s">
        <v>46</v>
      </c>
      <c r="O194">
        <v>1</v>
      </c>
      <c r="P194">
        <v>1</v>
      </c>
      <c r="Q194" t="s">
        <v>396</v>
      </c>
      <c r="R194" t="s">
        <v>386</v>
      </c>
      <c r="S194" t="s">
        <v>47</v>
      </c>
      <c r="T194" t="s">
        <v>47</v>
      </c>
      <c r="U194" t="s">
        <v>47</v>
      </c>
      <c r="V194" t="s">
        <v>47</v>
      </c>
      <c r="W194" t="s">
        <v>115</v>
      </c>
      <c r="X194" t="s">
        <v>336</v>
      </c>
      <c r="Y194" t="s">
        <v>47</v>
      </c>
      <c r="Z194" t="s">
        <v>47</v>
      </c>
      <c r="AA194" t="s">
        <v>47</v>
      </c>
      <c r="AB194" t="s">
        <v>47</v>
      </c>
      <c r="AC194" t="s">
        <v>47</v>
      </c>
      <c r="AD194" t="s">
        <v>47</v>
      </c>
      <c r="AE194"/>
      <c r="AF194" t="s">
        <v>47</v>
      </c>
      <c r="AG194" t="s">
        <v>47</v>
      </c>
      <c r="AH194" t="s">
        <v>47</v>
      </c>
      <c r="AI194" t="s">
        <v>47</v>
      </c>
      <c r="AJ194"/>
      <c r="AK194"/>
      <c r="AL194" t="s">
        <v>47</v>
      </c>
      <c r="AM194"/>
      <c r="AN194"/>
      <c r="AO194" t="s">
        <v>47</v>
      </c>
      <c r="AP194" t="s">
        <v>47</v>
      </c>
      <c r="AQ194" t="s">
        <v>47</v>
      </c>
      <c r="AR194"/>
      <c r="AS194"/>
      <c r="AT194"/>
      <c r="AU194"/>
      <c r="AV194" t="s">
        <v>47</v>
      </c>
      <c r="AW194" t="s">
        <v>47</v>
      </c>
      <c r="AX194">
        <v>50</v>
      </c>
      <c r="AY194">
        <v>50</v>
      </c>
      <c r="AZ194"/>
      <c r="BA194"/>
      <c r="BB194"/>
      <c r="BC194">
        <v>0</v>
      </c>
      <c r="BD194">
        <v>0</v>
      </c>
      <c r="BE194" t="s">
        <v>47</v>
      </c>
      <c r="BF194"/>
      <c r="BG194"/>
      <c r="BH194"/>
      <c r="BI194">
        <v>0</v>
      </c>
      <c r="BJ194">
        <v>0</v>
      </c>
      <c r="BK194"/>
      <c r="BL194"/>
      <c r="BM194" t="s">
        <v>47</v>
      </c>
      <c r="BN194" t="s">
        <v>47</v>
      </c>
      <c r="BO194" t="s">
        <v>47</v>
      </c>
      <c r="BP194" t="s">
        <v>47</v>
      </c>
      <c r="BQ194" t="s">
        <v>47</v>
      </c>
      <c r="BR194"/>
      <c r="BS194" t="s">
        <v>47</v>
      </c>
      <c r="BT194" t="s">
        <v>47</v>
      </c>
      <c r="BU194" t="s">
        <v>47</v>
      </c>
      <c r="BV194"/>
      <c r="BW194" t="s">
        <v>47</v>
      </c>
      <c r="BX194" t="s">
        <v>47</v>
      </c>
      <c r="BY194" t="s">
        <v>47</v>
      </c>
      <c r="BZ194" t="s">
        <v>47</v>
      </c>
      <c r="CA194" t="s">
        <v>47</v>
      </c>
      <c r="CB194" t="s">
        <v>47</v>
      </c>
      <c r="CC194" t="s">
        <v>47</v>
      </c>
      <c r="CD194" t="s">
        <v>47</v>
      </c>
      <c r="CE194" t="s">
        <v>47</v>
      </c>
      <c r="CF194" t="s">
        <v>47</v>
      </c>
      <c r="CG194" t="s">
        <v>47</v>
      </c>
      <c r="CH194" t="s">
        <v>47</v>
      </c>
      <c r="CI194" t="s">
        <v>47</v>
      </c>
      <c r="CJ194" t="s">
        <v>47</v>
      </c>
      <c r="CK194"/>
    </row>
    <row r="195" spans="1:89" s="7" customFormat="1" x14ac:dyDescent="0.25">
      <c r="A195" t="s">
        <v>1438</v>
      </c>
      <c r="B195" t="s">
        <v>690</v>
      </c>
      <c r="C195" t="s">
        <v>1501</v>
      </c>
      <c r="D195" t="s">
        <v>1903</v>
      </c>
      <c r="E195">
        <v>845</v>
      </c>
      <c r="F195" t="s">
        <v>308</v>
      </c>
      <c r="G195">
        <v>467</v>
      </c>
      <c r="H195" s="9">
        <v>60</v>
      </c>
      <c r="I195" t="s">
        <v>308</v>
      </c>
      <c r="J195" t="s">
        <v>832</v>
      </c>
      <c r="K195" t="s">
        <v>2118</v>
      </c>
      <c r="L195" t="s">
        <v>2119</v>
      </c>
      <c r="M195" s="10" t="str">
        <f>HYPERLINK(cna_product_database_catalog_website[[#This Row],[Spec Sheet Link]], cna_product_database_catalog_website[[#Headers],[Spec Sheet Link]])</f>
        <v>Spec Sheet Link</v>
      </c>
      <c r="N195" t="s">
        <v>46</v>
      </c>
      <c r="O195">
        <v>1</v>
      </c>
      <c r="P195">
        <v>1</v>
      </c>
      <c r="Q195" t="s">
        <v>394</v>
      </c>
      <c r="R195" t="s">
        <v>399</v>
      </c>
      <c r="S195" t="s">
        <v>47</v>
      </c>
      <c r="T195" t="s">
        <v>47</v>
      </c>
      <c r="U195" t="s">
        <v>47</v>
      </c>
      <c r="V195" t="s">
        <v>47</v>
      </c>
      <c r="W195" t="s">
        <v>115</v>
      </c>
      <c r="X195" t="s">
        <v>336</v>
      </c>
      <c r="Y195" t="s">
        <v>47</v>
      </c>
      <c r="Z195" t="s">
        <v>47</v>
      </c>
      <c r="AA195" t="s">
        <v>47</v>
      </c>
      <c r="AB195" t="s">
        <v>47</v>
      </c>
      <c r="AC195" t="s">
        <v>47</v>
      </c>
      <c r="AD195" t="s">
        <v>47</v>
      </c>
      <c r="AE195"/>
      <c r="AF195" t="s">
        <v>47</v>
      </c>
      <c r="AG195" t="s">
        <v>47</v>
      </c>
      <c r="AH195" t="s">
        <v>47</v>
      </c>
      <c r="AI195" t="s">
        <v>47</v>
      </c>
      <c r="AJ195"/>
      <c r="AK195"/>
      <c r="AL195" t="s">
        <v>47</v>
      </c>
      <c r="AM195"/>
      <c r="AN195"/>
      <c r="AO195" t="s">
        <v>47</v>
      </c>
      <c r="AP195" t="s">
        <v>47</v>
      </c>
      <c r="AQ195" t="s">
        <v>47</v>
      </c>
      <c r="AR195"/>
      <c r="AS195"/>
      <c r="AT195"/>
      <c r="AU195"/>
      <c r="AV195" t="s">
        <v>47</v>
      </c>
      <c r="AW195" t="s">
        <v>47</v>
      </c>
      <c r="AX195">
        <v>50</v>
      </c>
      <c r="AY195">
        <v>50</v>
      </c>
      <c r="AZ195"/>
      <c r="BA195"/>
      <c r="BB195"/>
      <c r="BC195">
        <v>0</v>
      </c>
      <c r="BD195">
        <v>0</v>
      </c>
      <c r="BE195" t="s">
        <v>47</v>
      </c>
      <c r="BF195"/>
      <c r="BG195"/>
      <c r="BH195"/>
      <c r="BI195">
        <v>0</v>
      </c>
      <c r="BJ195">
        <v>0</v>
      </c>
      <c r="BK195"/>
      <c r="BL195"/>
      <c r="BM195" t="s">
        <v>47</v>
      </c>
      <c r="BN195" t="s">
        <v>47</v>
      </c>
      <c r="BO195" t="s">
        <v>47</v>
      </c>
      <c r="BP195" t="s">
        <v>47</v>
      </c>
      <c r="BQ195" t="s">
        <v>47</v>
      </c>
      <c r="BR195"/>
      <c r="BS195" t="s">
        <v>47</v>
      </c>
      <c r="BT195" t="s">
        <v>47</v>
      </c>
      <c r="BU195" t="s">
        <v>47</v>
      </c>
      <c r="BV195"/>
      <c r="BW195" t="s">
        <v>47</v>
      </c>
      <c r="BX195" t="s">
        <v>47</v>
      </c>
      <c r="BY195" t="s">
        <v>47</v>
      </c>
      <c r="BZ195" t="s">
        <v>47</v>
      </c>
      <c r="CA195" t="s">
        <v>47</v>
      </c>
      <c r="CB195" t="s">
        <v>47</v>
      </c>
      <c r="CC195" t="s">
        <v>47</v>
      </c>
      <c r="CD195" t="s">
        <v>47</v>
      </c>
      <c r="CE195" t="s">
        <v>47</v>
      </c>
      <c r="CF195" t="s">
        <v>47</v>
      </c>
      <c r="CG195" t="s">
        <v>47</v>
      </c>
      <c r="CH195" t="s">
        <v>47</v>
      </c>
      <c r="CI195" t="s">
        <v>47</v>
      </c>
      <c r="CJ195" t="s">
        <v>47</v>
      </c>
      <c r="CK195"/>
    </row>
    <row r="196" spans="1:89" s="7" customFormat="1" x14ac:dyDescent="0.25">
      <c r="A196" t="s">
        <v>1438</v>
      </c>
      <c r="B196" t="s">
        <v>690</v>
      </c>
      <c r="C196" t="s">
        <v>1502</v>
      </c>
      <c r="D196" t="s">
        <v>1904</v>
      </c>
      <c r="E196">
        <v>850</v>
      </c>
      <c r="F196" t="s">
        <v>310</v>
      </c>
      <c r="G196">
        <v>625</v>
      </c>
      <c r="H196" s="9">
        <v>70</v>
      </c>
      <c r="I196" t="s">
        <v>310</v>
      </c>
      <c r="J196" t="s">
        <v>833</v>
      </c>
      <c r="K196" t="s">
        <v>2120</v>
      </c>
      <c r="L196" t="s">
        <v>45</v>
      </c>
      <c r="M196" s="10"/>
      <c r="N196" t="s">
        <v>46</v>
      </c>
      <c r="O196">
        <v>1</v>
      </c>
      <c r="P196">
        <v>1</v>
      </c>
      <c r="Q196" t="s">
        <v>396</v>
      </c>
      <c r="R196" t="s">
        <v>399</v>
      </c>
      <c r="S196" t="s">
        <v>47</v>
      </c>
      <c r="T196" t="s">
        <v>47</v>
      </c>
      <c r="U196" t="s">
        <v>47</v>
      </c>
      <c r="V196" t="s">
        <v>47</v>
      </c>
      <c r="W196" t="s">
        <v>115</v>
      </c>
      <c r="X196" t="s">
        <v>336</v>
      </c>
      <c r="Y196" t="s">
        <v>47</v>
      </c>
      <c r="Z196" t="s">
        <v>47</v>
      </c>
      <c r="AA196" t="s">
        <v>47</v>
      </c>
      <c r="AB196" t="s">
        <v>47</v>
      </c>
      <c r="AC196" t="s">
        <v>47</v>
      </c>
      <c r="AD196" t="s">
        <v>47</v>
      </c>
      <c r="AE196"/>
      <c r="AF196" t="s">
        <v>47</v>
      </c>
      <c r="AG196" t="s">
        <v>47</v>
      </c>
      <c r="AH196" t="s">
        <v>47</v>
      </c>
      <c r="AI196" t="s">
        <v>47</v>
      </c>
      <c r="AJ196"/>
      <c r="AK196"/>
      <c r="AL196" t="s">
        <v>47</v>
      </c>
      <c r="AM196"/>
      <c r="AN196"/>
      <c r="AO196" t="s">
        <v>47</v>
      </c>
      <c r="AP196" t="s">
        <v>47</v>
      </c>
      <c r="AQ196" t="s">
        <v>47</v>
      </c>
      <c r="AR196"/>
      <c r="AS196"/>
      <c r="AT196"/>
      <c r="AU196"/>
      <c r="AV196" t="s">
        <v>47</v>
      </c>
      <c r="AW196" t="s">
        <v>47</v>
      </c>
      <c r="AX196">
        <v>50</v>
      </c>
      <c r="AY196">
        <v>50</v>
      </c>
      <c r="AZ196"/>
      <c r="BA196"/>
      <c r="BB196"/>
      <c r="BC196">
        <v>0</v>
      </c>
      <c r="BD196">
        <v>0</v>
      </c>
      <c r="BE196" t="s">
        <v>47</v>
      </c>
      <c r="BF196"/>
      <c r="BG196"/>
      <c r="BH196"/>
      <c r="BI196">
        <v>0</v>
      </c>
      <c r="BJ196">
        <v>0</v>
      </c>
      <c r="BK196"/>
      <c r="BL196"/>
      <c r="BM196" t="s">
        <v>47</v>
      </c>
      <c r="BN196" t="s">
        <v>47</v>
      </c>
      <c r="BO196" t="s">
        <v>47</v>
      </c>
      <c r="BP196" t="s">
        <v>47</v>
      </c>
      <c r="BQ196" t="s">
        <v>47</v>
      </c>
      <c r="BR196"/>
      <c r="BS196" t="s">
        <v>47</v>
      </c>
      <c r="BT196" t="s">
        <v>47</v>
      </c>
      <c r="BU196" t="s">
        <v>47</v>
      </c>
      <c r="BV196"/>
      <c r="BW196" t="s">
        <v>47</v>
      </c>
      <c r="BX196" t="s">
        <v>47</v>
      </c>
      <c r="BY196" t="s">
        <v>47</v>
      </c>
      <c r="BZ196" t="s">
        <v>47</v>
      </c>
      <c r="CA196" t="s">
        <v>47</v>
      </c>
      <c r="CB196" t="s">
        <v>47</v>
      </c>
      <c r="CC196" t="s">
        <v>47</v>
      </c>
      <c r="CD196" t="s">
        <v>47</v>
      </c>
      <c r="CE196" t="s">
        <v>47</v>
      </c>
      <c r="CF196" t="s">
        <v>47</v>
      </c>
      <c r="CG196" t="s">
        <v>47</v>
      </c>
      <c r="CH196" t="s">
        <v>47</v>
      </c>
      <c r="CI196" t="s">
        <v>47</v>
      </c>
      <c r="CJ196" t="s">
        <v>47</v>
      </c>
      <c r="CK196"/>
    </row>
    <row r="197" spans="1:89" s="7" customFormat="1" x14ac:dyDescent="0.25">
      <c r="A197" t="s">
        <v>1438</v>
      </c>
      <c r="B197" t="s">
        <v>690</v>
      </c>
      <c r="C197" t="s">
        <v>1503</v>
      </c>
      <c r="D197" t="s">
        <v>1905</v>
      </c>
      <c r="E197">
        <v>855</v>
      </c>
      <c r="F197" t="s">
        <v>311</v>
      </c>
      <c r="G197">
        <v>619</v>
      </c>
      <c r="H197" s="9">
        <v>30</v>
      </c>
      <c r="I197" t="s">
        <v>311</v>
      </c>
      <c r="J197" t="s">
        <v>834</v>
      </c>
      <c r="K197" t="s">
        <v>2121</v>
      </c>
      <c r="L197" t="s">
        <v>45</v>
      </c>
      <c r="M197" s="10"/>
      <c r="N197" t="s">
        <v>46</v>
      </c>
      <c r="O197">
        <v>1</v>
      </c>
      <c r="P197">
        <v>1</v>
      </c>
      <c r="Q197" t="s">
        <v>396</v>
      </c>
      <c r="R197" t="s">
        <v>399</v>
      </c>
      <c r="S197" t="s">
        <v>47</v>
      </c>
      <c r="T197" t="s">
        <v>47</v>
      </c>
      <c r="U197" t="s">
        <v>47</v>
      </c>
      <c r="V197" t="s">
        <v>47</v>
      </c>
      <c r="W197" t="s">
        <v>115</v>
      </c>
      <c r="X197" t="s">
        <v>336</v>
      </c>
      <c r="Y197" t="s">
        <v>47</v>
      </c>
      <c r="Z197" t="s">
        <v>47</v>
      </c>
      <c r="AA197" t="s">
        <v>47</v>
      </c>
      <c r="AB197" t="s">
        <v>47</v>
      </c>
      <c r="AC197" t="s">
        <v>47</v>
      </c>
      <c r="AD197" t="s">
        <v>47</v>
      </c>
      <c r="AE197"/>
      <c r="AF197" t="s">
        <v>47</v>
      </c>
      <c r="AG197" t="s">
        <v>47</v>
      </c>
      <c r="AH197" t="s">
        <v>47</v>
      </c>
      <c r="AI197" t="s">
        <v>47</v>
      </c>
      <c r="AJ197"/>
      <c r="AK197"/>
      <c r="AL197" t="s">
        <v>47</v>
      </c>
      <c r="AM197"/>
      <c r="AN197"/>
      <c r="AO197" t="s">
        <v>47</v>
      </c>
      <c r="AP197" t="s">
        <v>47</v>
      </c>
      <c r="AQ197" t="s">
        <v>47</v>
      </c>
      <c r="AR197"/>
      <c r="AS197"/>
      <c r="AT197"/>
      <c r="AU197"/>
      <c r="AV197" t="s">
        <v>47</v>
      </c>
      <c r="AW197" t="s">
        <v>47</v>
      </c>
      <c r="AX197">
        <v>50</v>
      </c>
      <c r="AY197">
        <v>50</v>
      </c>
      <c r="AZ197"/>
      <c r="BA197"/>
      <c r="BB197"/>
      <c r="BC197">
        <v>0</v>
      </c>
      <c r="BD197">
        <v>0</v>
      </c>
      <c r="BE197" t="s">
        <v>47</v>
      </c>
      <c r="BF197"/>
      <c r="BG197"/>
      <c r="BH197"/>
      <c r="BI197">
        <v>0</v>
      </c>
      <c r="BJ197">
        <v>0</v>
      </c>
      <c r="BK197"/>
      <c r="BL197"/>
      <c r="BM197" t="s">
        <v>47</v>
      </c>
      <c r="BN197" t="s">
        <v>47</v>
      </c>
      <c r="BO197" t="s">
        <v>47</v>
      </c>
      <c r="BP197" t="s">
        <v>47</v>
      </c>
      <c r="BQ197" t="s">
        <v>47</v>
      </c>
      <c r="BR197"/>
      <c r="BS197" t="s">
        <v>47</v>
      </c>
      <c r="BT197" t="s">
        <v>47</v>
      </c>
      <c r="BU197" t="s">
        <v>47</v>
      </c>
      <c r="BV197"/>
      <c r="BW197" t="s">
        <v>47</v>
      </c>
      <c r="BX197" t="s">
        <v>47</v>
      </c>
      <c r="BY197" t="s">
        <v>47</v>
      </c>
      <c r="BZ197" t="s">
        <v>47</v>
      </c>
      <c r="CA197" t="s">
        <v>47</v>
      </c>
      <c r="CB197" t="s">
        <v>47</v>
      </c>
      <c r="CC197" t="s">
        <v>47</v>
      </c>
      <c r="CD197" t="s">
        <v>47</v>
      </c>
      <c r="CE197" t="s">
        <v>47</v>
      </c>
      <c r="CF197" t="s">
        <v>47</v>
      </c>
      <c r="CG197" t="s">
        <v>47</v>
      </c>
      <c r="CH197" t="s">
        <v>47</v>
      </c>
      <c r="CI197" t="s">
        <v>47</v>
      </c>
      <c r="CJ197" t="s">
        <v>47</v>
      </c>
      <c r="CK197"/>
    </row>
    <row r="198" spans="1:89" s="7" customFormat="1" x14ac:dyDescent="0.25">
      <c r="A198" t="s">
        <v>1438</v>
      </c>
      <c r="B198" t="s">
        <v>690</v>
      </c>
      <c r="C198" t="s">
        <v>1504</v>
      </c>
      <c r="D198" t="s">
        <v>1906</v>
      </c>
      <c r="E198">
        <v>860</v>
      </c>
      <c r="F198" t="s">
        <v>313</v>
      </c>
      <c r="G198">
        <v>620</v>
      </c>
      <c r="H198" s="9">
        <v>50</v>
      </c>
      <c r="I198" t="s">
        <v>313</v>
      </c>
      <c r="J198" t="s">
        <v>835</v>
      </c>
      <c r="K198" t="s">
        <v>2122</v>
      </c>
      <c r="L198" t="s">
        <v>2123</v>
      </c>
      <c r="M198" s="10" t="str">
        <f>HYPERLINK(cna_product_database_catalog_website[[#This Row],[Spec Sheet Link]], cna_product_database_catalog_website[[#Headers],[Spec Sheet Link]])</f>
        <v>Spec Sheet Link</v>
      </c>
      <c r="N198" t="s">
        <v>46</v>
      </c>
      <c r="O198">
        <v>1</v>
      </c>
      <c r="P198">
        <v>1</v>
      </c>
      <c r="Q198" t="s">
        <v>404</v>
      </c>
      <c r="R198" t="s">
        <v>399</v>
      </c>
      <c r="S198" t="s">
        <v>47</v>
      </c>
      <c r="T198" t="s">
        <v>47</v>
      </c>
      <c r="U198" t="s">
        <v>47</v>
      </c>
      <c r="V198" t="s">
        <v>47</v>
      </c>
      <c r="W198" t="s">
        <v>115</v>
      </c>
      <c r="X198" t="s">
        <v>336</v>
      </c>
      <c r="Y198" t="s">
        <v>47</v>
      </c>
      <c r="Z198" t="s">
        <v>47</v>
      </c>
      <c r="AA198" t="s">
        <v>47</v>
      </c>
      <c r="AB198" t="s">
        <v>47</v>
      </c>
      <c r="AC198" t="s">
        <v>47</v>
      </c>
      <c r="AD198" t="s">
        <v>47</v>
      </c>
      <c r="AE198"/>
      <c r="AF198" t="s">
        <v>47</v>
      </c>
      <c r="AG198" t="s">
        <v>47</v>
      </c>
      <c r="AH198" t="s">
        <v>47</v>
      </c>
      <c r="AI198" t="s">
        <v>47</v>
      </c>
      <c r="AJ198"/>
      <c r="AK198"/>
      <c r="AL198" t="s">
        <v>47</v>
      </c>
      <c r="AM198"/>
      <c r="AN198"/>
      <c r="AO198" t="s">
        <v>47</v>
      </c>
      <c r="AP198" t="s">
        <v>47</v>
      </c>
      <c r="AQ198" t="s">
        <v>47</v>
      </c>
      <c r="AR198"/>
      <c r="AS198"/>
      <c r="AT198"/>
      <c r="AU198"/>
      <c r="AV198" t="s">
        <v>47</v>
      </c>
      <c r="AW198" t="s">
        <v>47</v>
      </c>
      <c r="AX198">
        <v>50</v>
      </c>
      <c r="AY198">
        <v>50</v>
      </c>
      <c r="AZ198"/>
      <c r="BA198"/>
      <c r="BB198"/>
      <c r="BC198">
        <v>0</v>
      </c>
      <c r="BD198">
        <v>0</v>
      </c>
      <c r="BE198" t="s">
        <v>47</v>
      </c>
      <c r="BF198"/>
      <c r="BG198"/>
      <c r="BH198"/>
      <c r="BI198">
        <v>0</v>
      </c>
      <c r="BJ198">
        <v>0</v>
      </c>
      <c r="BK198"/>
      <c r="BL198"/>
      <c r="BM198" t="s">
        <v>47</v>
      </c>
      <c r="BN198" t="s">
        <v>47</v>
      </c>
      <c r="BO198" t="s">
        <v>47</v>
      </c>
      <c r="BP198" t="s">
        <v>47</v>
      </c>
      <c r="BQ198" t="s">
        <v>47</v>
      </c>
      <c r="BR198"/>
      <c r="BS198" t="s">
        <v>47</v>
      </c>
      <c r="BT198" t="s">
        <v>47</v>
      </c>
      <c r="BU198" t="s">
        <v>47</v>
      </c>
      <c r="BV198"/>
      <c r="BW198" t="s">
        <v>47</v>
      </c>
      <c r="BX198" t="s">
        <v>47</v>
      </c>
      <c r="BY198" t="s">
        <v>47</v>
      </c>
      <c r="BZ198" t="s">
        <v>47</v>
      </c>
      <c r="CA198" t="s">
        <v>47</v>
      </c>
      <c r="CB198" t="s">
        <v>47</v>
      </c>
      <c r="CC198" t="s">
        <v>47</v>
      </c>
      <c r="CD198" t="s">
        <v>47</v>
      </c>
      <c r="CE198" t="s">
        <v>47</v>
      </c>
      <c r="CF198" t="s">
        <v>47</v>
      </c>
      <c r="CG198" t="s">
        <v>47</v>
      </c>
      <c r="CH198" t="s">
        <v>47</v>
      </c>
      <c r="CI198" t="s">
        <v>47</v>
      </c>
      <c r="CJ198" t="s">
        <v>47</v>
      </c>
      <c r="CK198"/>
    </row>
    <row r="199" spans="1:89" s="7" customFormat="1" x14ac:dyDescent="0.25">
      <c r="A199" t="s">
        <v>1438</v>
      </c>
      <c r="B199" t="s">
        <v>691</v>
      </c>
      <c r="C199" t="s">
        <v>1505</v>
      </c>
      <c r="D199" t="s">
        <v>1907</v>
      </c>
      <c r="E199">
        <v>880</v>
      </c>
      <c r="F199" t="s">
        <v>1326</v>
      </c>
      <c r="G199">
        <v>1148</v>
      </c>
      <c r="H199" s="9">
        <v>35</v>
      </c>
      <c r="I199" t="s">
        <v>1326</v>
      </c>
      <c r="J199" t="s">
        <v>836</v>
      </c>
      <c r="K199" t="s">
        <v>2124</v>
      </c>
      <c r="L199" t="s">
        <v>2125</v>
      </c>
      <c r="M199" s="10" t="str">
        <f>HYPERLINK(cna_product_database_catalog_website[[#This Row],[Spec Sheet Link]], cna_product_database_catalog_website[[#Headers],[Spec Sheet Link]])</f>
        <v>Spec Sheet Link</v>
      </c>
      <c r="N199" t="s">
        <v>46</v>
      </c>
      <c r="O199">
        <v>1</v>
      </c>
      <c r="P199">
        <v>1</v>
      </c>
      <c r="Q199" t="s">
        <v>406</v>
      </c>
      <c r="R199" t="s">
        <v>386</v>
      </c>
      <c r="S199" t="s">
        <v>47</v>
      </c>
      <c r="T199" t="s">
        <v>47</v>
      </c>
      <c r="U199" t="s">
        <v>47</v>
      </c>
      <c r="V199" t="s">
        <v>47</v>
      </c>
      <c r="W199" t="s">
        <v>112</v>
      </c>
      <c r="X199" t="s">
        <v>336</v>
      </c>
      <c r="Y199" t="s">
        <v>47</v>
      </c>
      <c r="Z199" t="s">
        <v>47</v>
      </c>
      <c r="AA199" t="s">
        <v>47</v>
      </c>
      <c r="AB199" t="s">
        <v>47</v>
      </c>
      <c r="AC199" t="s">
        <v>47</v>
      </c>
      <c r="AD199" t="s">
        <v>47</v>
      </c>
      <c r="AE199"/>
      <c r="AF199" t="s">
        <v>47</v>
      </c>
      <c r="AG199" t="s">
        <v>47</v>
      </c>
      <c r="AH199" t="s">
        <v>47</v>
      </c>
      <c r="AI199" t="s">
        <v>47</v>
      </c>
      <c r="AJ199"/>
      <c r="AK199"/>
      <c r="AL199" t="s">
        <v>47</v>
      </c>
      <c r="AM199"/>
      <c r="AN199"/>
      <c r="AO199" t="s">
        <v>47</v>
      </c>
      <c r="AP199" t="s">
        <v>47</v>
      </c>
      <c r="AQ199" t="s">
        <v>47</v>
      </c>
      <c r="AR199"/>
      <c r="AS199"/>
      <c r="AT199"/>
      <c r="AU199"/>
      <c r="AV199" t="s">
        <v>47</v>
      </c>
      <c r="AW199" t="s">
        <v>47</v>
      </c>
      <c r="AX199">
        <v>10</v>
      </c>
      <c r="AY199">
        <v>100</v>
      </c>
      <c r="AZ199"/>
      <c r="BA199"/>
      <c r="BB199"/>
      <c r="BC199">
        <v>0</v>
      </c>
      <c r="BD199">
        <v>0</v>
      </c>
      <c r="BE199" t="s">
        <v>47</v>
      </c>
      <c r="BF199"/>
      <c r="BG199"/>
      <c r="BH199"/>
      <c r="BI199">
        <v>0</v>
      </c>
      <c r="BJ199">
        <v>0</v>
      </c>
      <c r="BK199"/>
      <c r="BL199"/>
      <c r="BM199" t="s">
        <v>47</v>
      </c>
      <c r="BN199" t="s">
        <v>47</v>
      </c>
      <c r="BO199" t="s">
        <v>47</v>
      </c>
      <c r="BP199" t="s">
        <v>47</v>
      </c>
      <c r="BQ199" t="s">
        <v>47</v>
      </c>
      <c r="BR199"/>
      <c r="BS199" t="s">
        <v>47</v>
      </c>
      <c r="BT199" t="s">
        <v>47</v>
      </c>
      <c r="BU199" t="s">
        <v>47</v>
      </c>
      <c r="BV199"/>
      <c r="BW199" t="s">
        <v>47</v>
      </c>
      <c r="BX199" t="s">
        <v>47</v>
      </c>
      <c r="BY199" t="s">
        <v>47</v>
      </c>
      <c r="BZ199" t="s">
        <v>47</v>
      </c>
      <c r="CA199" t="s">
        <v>47</v>
      </c>
      <c r="CB199" t="s">
        <v>47</v>
      </c>
      <c r="CC199" t="s">
        <v>47</v>
      </c>
      <c r="CD199" t="s">
        <v>47</v>
      </c>
      <c r="CE199" t="s">
        <v>47</v>
      </c>
      <c r="CF199" t="s">
        <v>47</v>
      </c>
      <c r="CG199" t="s">
        <v>47</v>
      </c>
      <c r="CH199" t="s">
        <v>47</v>
      </c>
      <c r="CI199" t="s">
        <v>47</v>
      </c>
      <c r="CJ199" t="s">
        <v>47</v>
      </c>
      <c r="CK199"/>
    </row>
    <row r="200" spans="1:89" s="7" customFormat="1" x14ac:dyDescent="0.25">
      <c r="A200" t="s">
        <v>1438</v>
      </c>
      <c r="B200" t="s">
        <v>691</v>
      </c>
      <c r="C200" t="s">
        <v>1506</v>
      </c>
      <c r="D200" t="s">
        <v>1908</v>
      </c>
      <c r="E200">
        <v>885</v>
      </c>
      <c r="F200" t="s">
        <v>1327</v>
      </c>
      <c r="G200">
        <v>1149</v>
      </c>
      <c r="H200" s="9">
        <v>45</v>
      </c>
      <c r="I200" t="s">
        <v>1327</v>
      </c>
      <c r="J200" t="s">
        <v>837</v>
      </c>
      <c r="K200" t="s">
        <v>2126</v>
      </c>
      <c r="L200" t="s">
        <v>2127</v>
      </c>
      <c r="M200" s="10" t="str">
        <f>HYPERLINK(cna_product_database_catalog_website[[#This Row],[Spec Sheet Link]], cna_product_database_catalog_website[[#Headers],[Spec Sheet Link]])</f>
        <v>Spec Sheet Link</v>
      </c>
      <c r="N200" t="s">
        <v>46</v>
      </c>
      <c r="O200">
        <v>1</v>
      </c>
      <c r="P200">
        <v>1</v>
      </c>
      <c r="Q200" t="s">
        <v>334</v>
      </c>
      <c r="R200" t="s">
        <v>386</v>
      </c>
      <c r="S200" t="s">
        <v>47</v>
      </c>
      <c r="T200" t="s">
        <v>47</v>
      </c>
      <c r="U200" t="s">
        <v>47</v>
      </c>
      <c r="V200" t="s">
        <v>47</v>
      </c>
      <c r="W200" t="s">
        <v>112</v>
      </c>
      <c r="X200" t="s">
        <v>336</v>
      </c>
      <c r="Y200" t="s">
        <v>47</v>
      </c>
      <c r="Z200" t="s">
        <v>47</v>
      </c>
      <c r="AA200" t="s">
        <v>47</v>
      </c>
      <c r="AB200" t="s">
        <v>47</v>
      </c>
      <c r="AC200" t="s">
        <v>47</v>
      </c>
      <c r="AD200" t="s">
        <v>47</v>
      </c>
      <c r="AE200"/>
      <c r="AF200" t="s">
        <v>47</v>
      </c>
      <c r="AG200" t="s">
        <v>47</v>
      </c>
      <c r="AH200" t="s">
        <v>47</v>
      </c>
      <c r="AI200" t="s">
        <v>47</v>
      </c>
      <c r="AJ200"/>
      <c r="AK200"/>
      <c r="AL200" t="s">
        <v>47</v>
      </c>
      <c r="AM200"/>
      <c r="AN200"/>
      <c r="AO200" t="s">
        <v>47</v>
      </c>
      <c r="AP200" t="s">
        <v>47</v>
      </c>
      <c r="AQ200" t="s">
        <v>47</v>
      </c>
      <c r="AR200"/>
      <c r="AS200"/>
      <c r="AT200"/>
      <c r="AU200"/>
      <c r="AV200" t="s">
        <v>47</v>
      </c>
      <c r="AW200" t="s">
        <v>47</v>
      </c>
      <c r="AX200">
        <v>10</v>
      </c>
      <c r="AY200">
        <v>100</v>
      </c>
      <c r="AZ200"/>
      <c r="BA200"/>
      <c r="BB200"/>
      <c r="BC200">
        <v>0</v>
      </c>
      <c r="BD200">
        <v>0</v>
      </c>
      <c r="BE200" t="s">
        <v>47</v>
      </c>
      <c r="BF200"/>
      <c r="BG200"/>
      <c r="BH200"/>
      <c r="BI200">
        <v>0</v>
      </c>
      <c r="BJ200">
        <v>0</v>
      </c>
      <c r="BK200"/>
      <c r="BL200"/>
      <c r="BM200" t="s">
        <v>47</v>
      </c>
      <c r="BN200" t="s">
        <v>47</v>
      </c>
      <c r="BO200" t="s">
        <v>47</v>
      </c>
      <c r="BP200" t="s">
        <v>47</v>
      </c>
      <c r="BQ200" t="s">
        <v>47</v>
      </c>
      <c r="BR200"/>
      <c r="BS200" t="s">
        <v>47</v>
      </c>
      <c r="BT200" t="s">
        <v>47</v>
      </c>
      <c r="BU200" t="s">
        <v>47</v>
      </c>
      <c r="BV200"/>
      <c r="BW200" t="s">
        <v>47</v>
      </c>
      <c r="BX200" t="s">
        <v>47</v>
      </c>
      <c r="BY200" t="s">
        <v>47</v>
      </c>
      <c r="BZ200" t="s">
        <v>47</v>
      </c>
      <c r="CA200" t="s">
        <v>47</v>
      </c>
      <c r="CB200" t="s">
        <v>47</v>
      </c>
      <c r="CC200" t="s">
        <v>47</v>
      </c>
      <c r="CD200" t="s">
        <v>47</v>
      </c>
      <c r="CE200" t="s">
        <v>47</v>
      </c>
      <c r="CF200" t="s">
        <v>47</v>
      </c>
      <c r="CG200" t="s">
        <v>47</v>
      </c>
      <c r="CH200" t="s">
        <v>47</v>
      </c>
      <c r="CI200" t="s">
        <v>47</v>
      </c>
      <c r="CJ200" t="s">
        <v>47</v>
      </c>
      <c r="CK200"/>
    </row>
    <row r="201" spans="1:89" s="7" customFormat="1" x14ac:dyDescent="0.25">
      <c r="A201" t="s">
        <v>1438</v>
      </c>
      <c r="B201" t="s">
        <v>691</v>
      </c>
      <c r="C201" t="s">
        <v>1507</v>
      </c>
      <c r="D201" t="s">
        <v>1909</v>
      </c>
      <c r="E201">
        <v>890</v>
      </c>
      <c r="F201" t="s">
        <v>1328</v>
      </c>
      <c r="G201">
        <v>1150</v>
      </c>
      <c r="H201" s="9">
        <v>55</v>
      </c>
      <c r="I201" t="s">
        <v>1328</v>
      </c>
      <c r="J201" t="s">
        <v>838</v>
      </c>
      <c r="K201" t="s">
        <v>2128</v>
      </c>
      <c r="L201" t="s">
        <v>2129</v>
      </c>
      <c r="M201" s="10" t="str">
        <f>HYPERLINK(cna_product_database_catalog_website[[#This Row],[Spec Sheet Link]], cna_product_database_catalog_website[[#Headers],[Spec Sheet Link]])</f>
        <v>Spec Sheet Link</v>
      </c>
      <c r="N201" t="s">
        <v>46</v>
      </c>
      <c r="O201">
        <v>1</v>
      </c>
      <c r="P201">
        <v>1</v>
      </c>
      <c r="Q201" t="s">
        <v>409</v>
      </c>
      <c r="R201" t="s">
        <v>50</v>
      </c>
      <c r="S201" t="s">
        <v>47</v>
      </c>
      <c r="T201" t="s">
        <v>47</v>
      </c>
      <c r="U201" t="s">
        <v>47</v>
      </c>
      <c r="V201" t="s">
        <v>47</v>
      </c>
      <c r="W201" t="s">
        <v>112</v>
      </c>
      <c r="X201" t="s">
        <v>336</v>
      </c>
      <c r="Y201" t="s">
        <v>47</v>
      </c>
      <c r="Z201" t="s">
        <v>47</v>
      </c>
      <c r="AA201" t="s">
        <v>47</v>
      </c>
      <c r="AB201" t="s">
        <v>47</v>
      </c>
      <c r="AC201" t="s">
        <v>47</v>
      </c>
      <c r="AD201" t="s">
        <v>47</v>
      </c>
      <c r="AE201"/>
      <c r="AF201" t="s">
        <v>47</v>
      </c>
      <c r="AG201" t="s">
        <v>47</v>
      </c>
      <c r="AH201" t="s">
        <v>47</v>
      </c>
      <c r="AI201" t="s">
        <v>47</v>
      </c>
      <c r="AJ201"/>
      <c r="AK201"/>
      <c r="AL201" t="s">
        <v>47</v>
      </c>
      <c r="AM201"/>
      <c r="AN201"/>
      <c r="AO201" t="s">
        <v>47</v>
      </c>
      <c r="AP201" t="s">
        <v>47</v>
      </c>
      <c r="AQ201" t="s">
        <v>47</v>
      </c>
      <c r="AR201"/>
      <c r="AS201"/>
      <c r="AT201"/>
      <c r="AU201"/>
      <c r="AV201" t="s">
        <v>47</v>
      </c>
      <c r="AW201" t="s">
        <v>47</v>
      </c>
      <c r="AX201">
        <v>10</v>
      </c>
      <c r="AY201">
        <v>100</v>
      </c>
      <c r="AZ201"/>
      <c r="BA201"/>
      <c r="BB201"/>
      <c r="BC201">
        <v>0</v>
      </c>
      <c r="BD201">
        <v>0</v>
      </c>
      <c r="BE201" t="s">
        <v>47</v>
      </c>
      <c r="BF201"/>
      <c r="BG201"/>
      <c r="BH201"/>
      <c r="BI201">
        <v>0</v>
      </c>
      <c r="BJ201">
        <v>0</v>
      </c>
      <c r="BK201"/>
      <c r="BL201"/>
      <c r="BM201" t="s">
        <v>47</v>
      </c>
      <c r="BN201" t="s">
        <v>47</v>
      </c>
      <c r="BO201" t="s">
        <v>47</v>
      </c>
      <c r="BP201" t="s">
        <v>47</v>
      </c>
      <c r="BQ201" t="s">
        <v>47</v>
      </c>
      <c r="BR201"/>
      <c r="BS201" t="s">
        <v>47</v>
      </c>
      <c r="BT201" t="s">
        <v>47</v>
      </c>
      <c r="BU201" t="s">
        <v>47</v>
      </c>
      <c r="BV201"/>
      <c r="BW201" t="s">
        <v>47</v>
      </c>
      <c r="BX201" t="s">
        <v>47</v>
      </c>
      <c r="BY201" t="s">
        <v>47</v>
      </c>
      <c r="BZ201" t="s">
        <v>47</v>
      </c>
      <c r="CA201" t="s">
        <v>47</v>
      </c>
      <c r="CB201" t="s">
        <v>47</v>
      </c>
      <c r="CC201" t="s">
        <v>47</v>
      </c>
      <c r="CD201" t="s">
        <v>47</v>
      </c>
      <c r="CE201" t="s">
        <v>47</v>
      </c>
      <c r="CF201" t="s">
        <v>47</v>
      </c>
      <c r="CG201" t="s">
        <v>47</v>
      </c>
      <c r="CH201" t="s">
        <v>47</v>
      </c>
      <c r="CI201" t="s">
        <v>47</v>
      </c>
      <c r="CJ201" t="s">
        <v>47</v>
      </c>
      <c r="CK201"/>
    </row>
    <row r="202" spans="1:89" s="7" customFormat="1" x14ac:dyDescent="0.25">
      <c r="A202" t="s">
        <v>1438</v>
      </c>
      <c r="B202" t="s">
        <v>691</v>
      </c>
      <c r="C202" t="s">
        <v>1508</v>
      </c>
      <c r="D202" t="s">
        <v>1910</v>
      </c>
      <c r="E202">
        <v>895</v>
      </c>
      <c r="F202" t="s">
        <v>1329</v>
      </c>
      <c r="G202">
        <v>1151</v>
      </c>
      <c r="H202" s="9">
        <v>65</v>
      </c>
      <c r="I202" t="s">
        <v>1329</v>
      </c>
      <c r="J202" t="s">
        <v>839</v>
      </c>
      <c r="K202" t="s">
        <v>2130</v>
      </c>
      <c r="L202" t="s">
        <v>2131</v>
      </c>
      <c r="M202" s="10" t="str">
        <f>HYPERLINK(cna_product_database_catalog_website[[#This Row],[Spec Sheet Link]], cna_product_database_catalog_website[[#Headers],[Spec Sheet Link]])</f>
        <v>Spec Sheet Link</v>
      </c>
      <c r="N202" t="s">
        <v>46</v>
      </c>
      <c r="O202">
        <v>1</v>
      </c>
      <c r="P202">
        <v>1</v>
      </c>
      <c r="Q202" t="s">
        <v>104</v>
      </c>
      <c r="R202" t="s">
        <v>50</v>
      </c>
      <c r="S202" t="s">
        <v>47</v>
      </c>
      <c r="T202" t="s">
        <v>47</v>
      </c>
      <c r="U202" t="s">
        <v>47</v>
      </c>
      <c r="V202" t="s">
        <v>47</v>
      </c>
      <c r="W202" t="s">
        <v>411</v>
      </c>
      <c r="X202" t="s">
        <v>336</v>
      </c>
      <c r="Y202" t="s">
        <v>47</v>
      </c>
      <c r="Z202" t="s">
        <v>47</v>
      </c>
      <c r="AA202" t="s">
        <v>47</v>
      </c>
      <c r="AB202" t="s">
        <v>47</v>
      </c>
      <c r="AC202" t="s">
        <v>47</v>
      </c>
      <c r="AD202" t="s">
        <v>47</v>
      </c>
      <c r="AE202"/>
      <c r="AF202" t="s">
        <v>47</v>
      </c>
      <c r="AG202" t="s">
        <v>47</v>
      </c>
      <c r="AH202" t="s">
        <v>47</v>
      </c>
      <c r="AI202" t="s">
        <v>47</v>
      </c>
      <c r="AJ202"/>
      <c r="AK202"/>
      <c r="AL202" t="s">
        <v>47</v>
      </c>
      <c r="AM202"/>
      <c r="AN202"/>
      <c r="AO202" t="s">
        <v>47</v>
      </c>
      <c r="AP202" t="s">
        <v>47</v>
      </c>
      <c r="AQ202" t="s">
        <v>47</v>
      </c>
      <c r="AR202"/>
      <c r="AS202"/>
      <c r="AT202"/>
      <c r="AU202"/>
      <c r="AV202" t="s">
        <v>47</v>
      </c>
      <c r="AW202" t="s">
        <v>47</v>
      </c>
      <c r="AX202">
        <v>10</v>
      </c>
      <c r="AY202">
        <v>100</v>
      </c>
      <c r="AZ202"/>
      <c r="BA202"/>
      <c r="BB202"/>
      <c r="BC202">
        <v>0</v>
      </c>
      <c r="BD202">
        <v>0</v>
      </c>
      <c r="BE202" t="s">
        <v>47</v>
      </c>
      <c r="BF202"/>
      <c r="BG202"/>
      <c r="BH202"/>
      <c r="BI202">
        <v>0</v>
      </c>
      <c r="BJ202">
        <v>0</v>
      </c>
      <c r="BK202"/>
      <c r="BL202"/>
      <c r="BM202" t="s">
        <v>47</v>
      </c>
      <c r="BN202" t="s">
        <v>47</v>
      </c>
      <c r="BO202" t="s">
        <v>47</v>
      </c>
      <c r="BP202" t="s">
        <v>47</v>
      </c>
      <c r="BQ202" t="s">
        <v>47</v>
      </c>
      <c r="BR202"/>
      <c r="BS202" t="s">
        <v>47</v>
      </c>
      <c r="BT202" t="s">
        <v>47</v>
      </c>
      <c r="BU202" t="s">
        <v>47</v>
      </c>
      <c r="BV202"/>
      <c r="BW202" t="s">
        <v>47</v>
      </c>
      <c r="BX202" t="s">
        <v>47</v>
      </c>
      <c r="BY202" t="s">
        <v>47</v>
      </c>
      <c r="BZ202" t="s">
        <v>47</v>
      </c>
      <c r="CA202" t="s">
        <v>47</v>
      </c>
      <c r="CB202" t="s">
        <v>47</v>
      </c>
      <c r="CC202" t="s">
        <v>47</v>
      </c>
      <c r="CD202" t="s">
        <v>47</v>
      </c>
      <c r="CE202" t="s">
        <v>47</v>
      </c>
      <c r="CF202" t="s">
        <v>47</v>
      </c>
      <c r="CG202" t="s">
        <v>47</v>
      </c>
      <c r="CH202" t="s">
        <v>47</v>
      </c>
      <c r="CI202" t="s">
        <v>47</v>
      </c>
      <c r="CJ202" t="s">
        <v>47</v>
      </c>
      <c r="CK202"/>
    </row>
    <row r="203" spans="1:89" s="7" customFormat="1" x14ac:dyDescent="0.25">
      <c r="A203" t="s">
        <v>1438</v>
      </c>
      <c r="B203" t="s">
        <v>691</v>
      </c>
      <c r="C203" t="s">
        <v>1509</v>
      </c>
      <c r="D203" t="s">
        <v>1911</v>
      </c>
      <c r="E203">
        <v>900</v>
      </c>
      <c r="F203" t="s">
        <v>1330</v>
      </c>
      <c r="G203">
        <v>1152</v>
      </c>
      <c r="H203" s="9">
        <v>95</v>
      </c>
      <c r="I203" t="s">
        <v>1330</v>
      </c>
      <c r="J203" t="s">
        <v>840</v>
      </c>
      <c r="K203" t="s">
        <v>2132</v>
      </c>
      <c r="L203" t="s">
        <v>2133</v>
      </c>
      <c r="M203" s="10" t="str">
        <f>HYPERLINK(cna_product_database_catalog_website[[#This Row],[Spec Sheet Link]], cna_product_database_catalog_website[[#Headers],[Spec Sheet Link]])</f>
        <v>Spec Sheet Link</v>
      </c>
      <c r="N203" t="s">
        <v>46</v>
      </c>
      <c r="O203">
        <v>1</v>
      </c>
      <c r="P203">
        <v>1</v>
      </c>
      <c r="Q203" t="s">
        <v>343</v>
      </c>
      <c r="R203" t="s">
        <v>50</v>
      </c>
      <c r="S203" t="s">
        <v>47</v>
      </c>
      <c r="T203" t="s">
        <v>47</v>
      </c>
      <c r="U203" t="s">
        <v>47</v>
      </c>
      <c r="V203" t="s">
        <v>47</v>
      </c>
      <c r="W203" t="s">
        <v>411</v>
      </c>
      <c r="X203" t="s">
        <v>336</v>
      </c>
      <c r="Y203" t="s">
        <v>47</v>
      </c>
      <c r="Z203" t="s">
        <v>47</v>
      </c>
      <c r="AA203" t="s">
        <v>47</v>
      </c>
      <c r="AB203" t="s">
        <v>47</v>
      </c>
      <c r="AC203" t="s">
        <v>47</v>
      </c>
      <c r="AD203" t="s">
        <v>47</v>
      </c>
      <c r="AE203"/>
      <c r="AF203" t="s">
        <v>47</v>
      </c>
      <c r="AG203" t="s">
        <v>47</v>
      </c>
      <c r="AH203" t="s">
        <v>47</v>
      </c>
      <c r="AI203" t="s">
        <v>47</v>
      </c>
      <c r="AJ203"/>
      <c r="AK203"/>
      <c r="AL203" t="s">
        <v>47</v>
      </c>
      <c r="AM203"/>
      <c r="AN203"/>
      <c r="AO203" t="s">
        <v>47</v>
      </c>
      <c r="AP203" t="s">
        <v>47</v>
      </c>
      <c r="AQ203" t="s">
        <v>47</v>
      </c>
      <c r="AR203"/>
      <c r="AS203"/>
      <c r="AT203"/>
      <c r="AU203"/>
      <c r="AV203" t="s">
        <v>47</v>
      </c>
      <c r="AW203" t="s">
        <v>47</v>
      </c>
      <c r="AX203">
        <v>10</v>
      </c>
      <c r="AY203">
        <v>100</v>
      </c>
      <c r="AZ203"/>
      <c r="BA203"/>
      <c r="BB203"/>
      <c r="BC203">
        <v>0</v>
      </c>
      <c r="BD203">
        <v>0</v>
      </c>
      <c r="BE203" t="s">
        <v>47</v>
      </c>
      <c r="BF203"/>
      <c r="BG203"/>
      <c r="BH203"/>
      <c r="BI203">
        <v>0</v>
      </c>
      <c r="BJ203">
        <v>0</v>
      </c>
      <c r="BK203"/>
      <c r="BL203"/>
      <c r="BM203" t="s">
        <v>47</v>
      </c>
      <c r="BN203" t="s">
        <v>47</v>
      </c>
      <c r="BO203" t="s">
        <v>47</v>
      </c>
      <c r="BP203" t="s">
        <v>47</v>
      </c>
      <c r="BQ203" t="s">
        <v>47</v>
      </c>
      <c r="BR203"/>
      <c r="BS203" t="s">
        <v>47</v>
      </c>
      <c r="BT203" t="s">
        <v>47</v>
      </c>
      <c r="BU203" t="s">
        <v>47</v>
      </c>
      <c r="BV203"/>
      <c r="BW203" t="s">
        <v>47</v>
      </c>
      <c r="BX203" t="s">
        <v>47</v>
      </c>
      <c r="BY203" t="s">
        <v>47</v>
      </c>
      <c r="BZ203" t="s">
        <v>47</v>
      </c>
      <c r="CA203" t="s">
        <v>47</v>
      </c>
      <c r="CB203" t="s">
        <v>47</v>
      </c>
      <c r="CC203" t="s">
        <v>47</v>
      </c>
      <c r="CD203" t="s">
        <v>47</v>
      </c>
      <c r="CE203" t="s">
        <v>47</v>
      </c>
      <c r="CF203" t="s">
        <v>47</v>
      </c>
      <c r="CG203" t="s">
        <v>47</v>
      </c>
      <c r="CH203" t="s">
        <v>47</v>
      </c>
      <c r="CI203" t="s">
        <v>47</v>
      </c>
      <c r="CJ203" t="s">
        <v>47</v>
      </c>
      <c r="CK203"/>
    </row>
    <row r="204" spans="1:89" s="7" customFormat="1" x14ac:dyDescent="0.25">
      <c r="A204" t="s">
        <v>1438</v>
      </c>
      <c r="B204" t="s">
        <v>691</v>
      </c>
      <c r="C204" t="s">
        <v>1510</v>
      </c>
      <c r="D204" t="s">
        <v>1912</v>
      </c>
      <c r="E204">
        <v>905</v>
      </c>
      <c r="F204" t="s">
        <v>1331</v>
      </c>
      <c r="G204">
        <v>1103</v>
      </c>
      <c r="H204" s="9">
        <v>60</v>
      </c>
      <c r="I204" t="s">
        <v>1331</v>
      </c>
      <c r="J204" t="s">
        <v>841</v>
      </c>
      <c r="K204" t="s">
        <v>2134</v>
      </c>
      <c r="L204" t="s">
        <v>2135</v>
      </c>
      <c r="M204" s="10" t="str">
        <f>HYPERLINK(cna_product_database_catalog_website[[#This Row],[Spec Sheet Link]], cna_product_database_catalog_website[[#Headers],[Spec Sheet Link]])</f>
        <v>Spec Sheet Link</v>
      </c>
      <c r="N204" t="s">
        <v>46</v>
      </c>
      <c r="O204">
        <v>1</v>
      </c>
      <c r="P204">
        <v>1</v>
      </c>
      <c r="Q204" t="s">
        <v>352</v>
      </c>
      <c r="R204" t="s">
        <v>50</v>
      </c>
      <c r="S204" t="s">
        <v>47</v>
      </c>
      <c r="T204" t="s">
        <v>47</v>
      </c>
      <c r="U204" t="s">
        <v>47</v>
      </c>
      <c r="V204" t="s">
        <v>47</v>
      </c>
      <c r="W204" t="s">
        <v>376</v>
      </c>
      <c r="X204" t="s">
        <v>336</v>
      </c>
      <c r="Y204" t="s">
        <v>47</v>
      </c>
      <c r="Z204" t="s">
        <v>47</v>
      </c>
      <c r="AA204" t="s">
        <v>47</v>
      </c>
      <c r="AB204" t="s">
        <v>47</v>
      </c>
      <c r="AC204" t="s">
        <v>47</v>
      </c>
      <c r="AD204" t="s">
        <v>47</v>
      </c>
      <c r="AE204"/>
      <c r="AF204" t="s">
        <v>47</v>
      </c>
      <c r="AG204" t="s">
        <v>47</v>
      </c>
      <c r="AH204" t="s">
        <v>47</v>
      </c>
      <c r="AI204" t="s">
        <v>47</v>
      </c>
      <c r="AJ204"/>
      <c r="AK204"/>
      <c r="AL204" t="s">
        <v>47</v>
      </c>
      <c r="AM204"/>
      <c r="AN204"/>
      <c r="AO204" t="s">
        <v>47</v>
      </c>
      <c r="AP204" t="s">
        <v>47</v>
      </c>
      <c r="AQ204" t="s">
        <v>47</v>
      </c>
      <c r="AR204"/>
      <c r="AS204"/>
      <c r="AT204"/>
      <c r="AU204"/>
      <c r="AV204" t="s">
        <v>47</v>
      </c>
      <c r="AW204" t="s">
        <v>47</v>
      </c>
      <c r="AX204">
        <v>10</v>
      </c>
      <c r="AY204">
        <v>100</v>
      </c>
      <c r="AZ204"/>
      <c r="BA204"/>
      <c r="BB204"/>
      <c r="BC204">
        <v>0</v>
      </c>
      <c r="BD204">
        <v>0</v>
      </c>
      <c r="BE204" t="s">
        <v>47</v>
      </c>
      <c r="BF204"/>
      <c r="BG204"/>
      <c r="BH204"/>
      <c r="BI204">
        <v>0</v>
      </c>
      <c r="BJ204">
        <v>0</v>
      </c>
      <c r="BK204"/>
      <c r="BL204"/>
      <c r="BM204" t="s">
        <v>47</v>
      </c>
      <c r="BN204" t="s">
        <v>47</v>
      </c>
      <c r="BO204" t="s">
        <v>47</v>
      </c>
      <c r="BP204" t="s">
        <v>47</v>
      </c>
      <c r="BQ204" t="s">
        <v>47</v>
      </c>
      <c r="BR204"/>
      <c r="BS204" t="s">
        <v>47</v>
      </c>
      <c r="BT204" t="s">
        <v>47</v>
      </c>
      <c r="BU204" t="s">
        <v>47</v>
      </c>
      <c r="BV204"/>
      <c r="BW204" t="s">
        <v>47</v>
      </c>
      <c r="BX204" t="s">
        <v>47</v>
      </c>
      <c r="BY204" t="s">
        <v>47</v>
      </c>
      <c r="BZ204" t="s">
        <v>47</v>
      </c>
      <c r="CA204" t="s">
        <v>47</v>
      </c>
      <c r="CB204" t="s">
        <v>47</v>
      </c>
      <c r="CC204" t="s">
        <v>47</v>
      </c>
      <c r="CD204" t="s">
        <v>47</v>
      </c>
      <c r="CE204" t="s">
        <v>47</v>
      </c>
      <c r="CF204" t="s">
        <v>47</v>
      </c>
      <c r="CG204" t="s">
        <v>47</v>
      </c>
      <c r="CH204" t="s">
        <v>47</v>
      </c>
      <c r="CI204" t="s">
        <v>47</v>
      </c>
      <c r="CJ204" t="s">
        <v>47</v>
      </c>
      <c r="CK204"/>
    </row>
    <row r="205" spans="1:89" s="7" customFormat="1" x14ac:dyDescent="0.25">
      <c r="A205" t="s">
        <v>688</v>
      </c>
      <c r="B205" t="s">
        <v>1489</v>
      </c>
      <c r="C205" t="s">
        <v>846</v>
      </c>
      <c r="D205" t="s">
        <v>1913</v>
      </c>
      <c r="E205">
        <v>910</v>
      </c>
      <c r="F205" t="s">
        <v>273</v>
      </c>
      <c r="G205">
        <v>1129</v>
      </c>
      <c r="H205" s="9">
        <v>12</v>
      </c>
      <c r="I205" t="s">
        <v>273</v>
      </c>
      <c r="J205" t="s">
        <v>842</v>
      </c>
      <c r="K205" t="s">
        <v>2056</v>
      </c>
      <c r="L205" t="s">
        <v>2057</v>
      </c>
      <c r="M205" s="10" t="str">
        <f>HYPERLINK(cna_product_database_catalog_website[[#This Row],[Spec Sheet Link]], cna_product_database_catalog_website[[#Headers],[Spec Sheet Link]])</f>
        <v>Spec Sheet Link</v>
      </c>
      <c r="N205" t="s">
        <v>46</v>
      </c>
      <c r="O205">
        <v>1</v>
      </c>
      <c r="P205">
        <v>1</v>
      </c>
      <c r="Q205" t="s">
        <v>343</v>
      </c>
      <c r="R205" t="s">
        <v>50</v>
      </c>
      <c r="S205" t="s">
        <v>47</v>
      </c>
      <c r="T205" t="s">
        <v>47</v>
      </c>
      <c r="U205" t="s">
        <v>47</v>
      </c>
      <c r="V205" t="s">
        <v>47</v>
      </c>
      <c r="W205" t="s">
        <v>415</v>
      </c>
      <c r="X205" t="s">
        <v>336</v>
      </c>
      <c r="Y205" t="s">
        <v>47</v>
      </c>
      <c r="Z205" t="s">
        <v>47</v>
      </c>
      <c r="AA205" t="s">
        <v>47</v>
      </c>
      <c r="AB205" t="s">
        <v>47</v>
      </c>
      <c r="AC205" t="s">
        <v>47</v>
      </c>
      <c r="AD205" t="s">
        <v>47</v>
      </c>
      <c r="AE205"/>
      <c r="AF205" t="s">
        <v>47</v>
      </c>
      <c r="AG205" t="s">
        <v>47</v>
      </c>
      <c r="AH205" t="s">
        <v>47</v>
      </c>
      <c r="AI205" t="s">
        <v>47</v>
      </c>
      <c r="AJ205"/>
      <c r="AK205"/>
      <c r="AL205" t="s">
        <v>47</v>
      </c>
      <c r="AM205"/>
      <c r="AN205"/>
      <c r="AO205" t="s">
        <v>47</v>
      </c>
      <c r="AP205" t="s">
        <v>47</v>
      </c>
      <c r="AQ205" t="s">
        <v>47</v>
      </c>
      <c r="AR205"/>
      <c r="AS205"/>
      <c r="AT205"/>
      <c r="AU205"/>
      <c r="AV205" t="s">
        <v>47</v>
      </c>
      <c r="AW205" t="s">
        <v>47</v>
      </c>
      <c r="AX205">
        <v>10</v>
      </c>
      <c r="AY205">
        <v>100</v>
      </c>
      <c r="AZ205"/>
      <c r="BA205"/>
      <c r="BB205"/>
      <c r="BC205">
        <v>0</v>
      </c>
      <c r="BD205">
        <v>0</v>
      </c>
      <c r="BE205" t="s">
        <v>47</v>
      </c>
      <c r="BF205"/>
      <c r="BG205"/>
      <c r="BH205"/>
      <c r="BI205">
        <v>0</v>
      </c>
      <c r="BJ205">
        <v>0</v>
      </c>
      <c r="BK205"/>
      <c r="BL205"/>
      <c r="BM205" t="s">
        <v>47</v>
      </c>
      <c r="BN205" t="s">
        <v>47</v>
      </c>
      <c r="BO205" t="s">
        <v>47</v>
      </c>
      <c r="BP205" t="s">
        <v>47</v>
      </c>
      <c r="BQ205" t="s">
        <v>47</v>
      </c>
      <c r="BR205"/>
      <c r="BS205" t="s">
        <v>47</v>
      </c>
      <c r="BT205" t="s">
        <v>47</v>
      </c>
      <c r="BU205" t="s">
        <v>47</v>
      </c>
      <c r="BV205"/>
      <c r="BW205" t="s">
        <v>47</v>
      </c>
      <c r="BX205" t="s">
        <v>47</v>
      </c>
      <c r="BY205" t="s">
        <v>47</v>
      </c>
      <c r="BZ205" t="s">
        <v>47</v>
      </c>
      <c r="CA205" t="s">
        <v>47</v>
      </c>
      <c r="CB205" t="s">
        <v>47</v>
      </c>
      <c r="CC205" t="s">
        <v>47</v>
      </c>
      <c r="CD205" t="s">
        <v>47</v>
      </c>
      <c r="CE205" t="s">
        <v>47</v>
      </c>
      <c r="CF205" t="s">
        <v>47</v>
      </c>
      <c r="CG205" t="s">
        <v>47</v>
      </c>
      <c r="CH205" t="s">
        <v>47</v>
      </c>
      <c r="CI205" t="s">
        <v>47</v>
      </c>
      <c r="CJ205" t="s">
        <v>47</v>
      </c>
      <c r="CK205"/>
    </row>
    <row r="206" spans="1:89" s="7" customFormat="1" x14ac:dyDescent="0.25">
      <c r="A206" t="s">
        <v>688</v>
      </c>
      <c r="B206" t="s">
        <v>688</v>
      </c>
      <c r="C206" t="s">
        <v>1468</v>
      </c>
      <c r="D206" t="s">
        <v>1914</v>
      </c>
      <c r="E206">
        <v>915</v>
      </c>
      <c r="F206" t="s">
        <v>318</v>
      </c>
      <c r="G206">
        <v>1004</v>
      </c>
      <c r="H206" s="9">
        <v>22</v>
      </c>
      <c r="I206" t="s">
        <v>318</v>
      </c>
      <c r="J206" t="s">
        <v>843</v>
      </c>
      <c r="K206" t="s">
        <v>2136</v>
      </c>
      <c r="L206" t="s">
        <v>2137</v>
      </c>
      <c r="M206" s="10" t="str">
        <f>HYPERLINK(cna_product_database_catalog_website[[#This Row],[Spec Sheet Link]], cna_product_database_catalog_website[[#Headers],[Spec Sheet Link]])</f>
        <v>Spec Sheet Link</v>
      </c>
      <c r="N206" t="s">
        <v>46</v>
      </c>
      <c r="O206">
        <v>1</v>
      </c>
      <c r="P206">
        <v>1</v>
      </c>
      <c r="Q206" t="s">
        <v>334</v>
      </c>
      <c r="R206" t="s">
        <v>50</v>
      </c>
      <c r="S206" t="s">
        <v>47</v>
      </c>
      <c r="T206" t="s">
        <v>47</v>
      </c>
      <c r="U206" t="s">
        <v>47</v>
      </c>
      <c r="V206" t="s">
        <v>47</v>
      </c>
      <c r="W206" t="s">
        <v>376</v>
      </c>
      <c r="X206" t="s">
        <v>336</v>
      </c>
      <c r="Y206" t="s">
        <v>47</v>
      </c>
      <c r="Z206" t="s">
        <v>47</v>
      </c>
      <c r="AA206" t="s">
        <v>47</v>
      </c>
      <c r="AB206" t="s">
        <v>47</v>
      </c>
      <c r="AC206" t="s">
        <v>47</v>
      </c>
      <c r="AD206" t="s">
        <v>47</v>
      </c>
      <c r="AE206"/>
      <c r="AF206" t="s">
        <v>47</v>
      </c>
      <c r="AG206" t="s">
        <v>47</v>
      </c>
      <c r="AH206" t="s">
        <v>47</v>
      </c>
      <c r="AI206" t="s">
        <v>47</v>
      </c>
      <c r="AJ206"/>
      <c r="AK206"/>
      <c r="AL206" t="s">
        <v>47</v>
      </c>
      <c r="AM206"/>
      <c r="AN206"/>
      <c r="AO206" t="s">
        <v>47</v>
      </c>
      <c r="AP206" t="s">
        <v>47</v>
      </c>
      <c r="AQ206" t="s">
        <v>47</v>
      </c>
      <c r="AR206"/>
      <c r="AS206"/>
      <c r="AT206"/>
      <c r="AU206"/>
      <c r="AV206" t="s">
        <v>47</v>
      </c>
      <c r="AW206" t="s">
        <v>47</v>
      </c>
      <c r="AX206">
        <v>10</v>
      </c>
      <c r="AY206">
        <v>100</v>
      </c>
      <c r="AZ206"/>
      <c r="BA206"/>
      <c r="BB206"/>
      <c r="BC206">
        <v>0</v>
      </c>
      <c r="BD206">
        <v>0</v>
      </c>
      <c r="BE206" t="s">
        <v>47</v>
      </c>
      <c r="BF206"/>
      <c r="BG206"/>
      <c r="BH206"/>
      <c r="BI206">
        <v>0</v>
      </c>
      <c r="BJ206">
        <v>0</v>
      </c>
      <c r="BK206"/>
      <c r="BL206"/>
      <c r="BM206" t="s">
        <v>47</v>
      </c>
      <c r="BN206" t="s">
        <v>47</v>
      </c>
      <c r="BO206" t="s">
        <v>47</v>
      </c>
      <c r="BP206" t="s">
        <v>47</v>
      </c>
      <c r="BQ206" t="s">
        <v>47</v>
      </c>
      <c r="BR206"/>
      <c r="BS206" t="s">
        <v>47</v>
      </c>
      <c r="BT206" t="s">
        <v>47</v>
      </c>
      <c r="BU206" t="s">
        <v>47</v>
      </c>
      <c r="BV206"/>
      <c r="BW206" t="s">
        <v>47</v>
      </c>
      <c r="BX206" t="s">
        <v>47</v>
      </c>
      <c r="BY206" t="s">
        <v>47</v>
      </c>
      <c r="BZ206" t="s">
        <v>47</v>
      </c>
      <c r="CA206" t="s">
        <v>47</v>
      </c>
      <c r="CB206" t="s">
        <v>47</v>
      </c>
      <c r="CC206" t="s">
        <v>47</v>
      </c>
      <c r="CD206" t="s">
        <v>47</v>
      </c>
      <c r="CE206" t="s">
        <v>47</v>
      </c>
      <c r="CF206" t="s">
        <v>47</v>
      </c>
      <c r="CG206" t="s">
        <v>47</v>
      </c>
      <c r="CH206" t="s">
        <v>47</v>
      </c>
      <c r="CI206" t="s">
        <v>47</v>
      </c>
      <c r="CJ206" t="s">
        <v>47</v>
      </c>
      <c r="CK206"/>
    </row>
    <row r="207" spans="1:89" s="7" customFormat="1" x14ac:dyDescent="0.25">
      <c r="A207" t="s">
        <v>688</v>
      </c>
      <c r="B207" t="s">
        <v>688</v>
      </c>
      <c r="C207" t="s">
        <v>1469</v>
      </c>
      <c r="D207" t="s">
        <v>1915</v>
      </c>
      <c r="E207">
        <v>916</v>
      </c>
      <c r="F207" t="s">
        <v>320</v>
      </c>
      <c r="G207">
        <v>1005</v>
      </c>
      <c r="H207" s="9">
        <v>22</v>
      </c>
      <c r="I207" t="s">
        <v>320</v>
      </c>
      <c r="J207" t="s">
        <v>844</v>
      </c>
      <c r="K207" t="s">
        <v>2138</v>
      </c>
      <c r="L207" t="s">
        <v>2137</v>
      </c>
      <c r="M207" s="10" t="str">
        <f>HYPERLINK(cna_product_database_catalog_website[[#This Row],[Spec Sheet Link]], cna_product_database_catalog_website[[#Headers],[Spec Sheet Link]])</f>
        <v>Spec Sheet Link</v>
      </c>
      <c r="N207" t="s">
        <v>46</v>
      </c>
      <c r="O207">
        <v>1</v>
      </c>
      <c r="P207">
        <v>1</v>
      </c>
      <c r="Q207" t="s">
        <v>338</v>
      </c>
      <c r="R207" t="s">
        <v>50</v>
      </c>
      <c r="S207" t="s">
        <v>47</v>
      </c>
      <c r="T207" t="s">
        <v>47</v>
      </c>
      <c r="U207" t="s">
        <v>47</v>
      </c>
      <c r="V207" t="s">
        <v>47</v>
      </c>
      <c r="W207" t="s">
        <v>376</v>
      </c>
      <c r="X207" t="s">
        <v>336</v>
      </c>
      <c r="Y207" t="s">
        <v>47</v>
      </c>
      <c r="Z207" t="s">
        <v>47</v>
      </c>
      <c r="AA207" t="s">
        <v>47</v>
      </c>
      <c r="AB207" t="s">
        <v>47</v>
      </c>
      <c r="AC207" t="s">
        <v>47</v>
      </c>
      <c r="AD207" t="s">
        <v>47</v>
      </c>
      <c r="AE207"/>
      <c r="AF207" t="s">
        <v>47</v>
      </c>
      <c r="AG207" t="s">
        <v>47</v>
      </c>
      <c r="AH207" t="s">
        <v>47</v>
      </c>
      <c r="AI207" t="s">
        <v>47</v>
      </c>
      <c r="AJ207"/>
      <c r="AK207"/>
      <c r="AL207" t="s">
        <v>47</v>
      </c>
      <c r="AM207"/>
      <c r="AN207"/>
      <c r="AO207" t="s">
        <v>47</v>
      </c>
      <c r="AP207" t="s">
        <v>47</v>
      </c>
      <c r="AQ207" t="s">
        <v>47</v>
      </c>
      <c r="AR207"/>
      <c r="AS207"/>
      <c r="AT207"/>
      <c r="AU207"/>
      <c r="AV207" t="s">
        <v>47</v>
      </c>
      <c r="AW207" t="s">
        <v>47</v>
      </c>
      <c r="AX207">
        <v>10</v>
      </c>
      <c r="AY207">
        <v>100</v>
      </c>
      <c r="AZ207"/>
      <c r="BA207"/>
      <c r="BB207"/>
      <c r="BC207">
        <v>0</v>
      </c>
      <c r="BD207">
        <v>0</v>
      </c>
      <c r="BE207" t="s">
        <v>47</v>
      </c>
      <c r="BF207"/>
      <c r="BG207"/>
      <c r="BH207"/>
      <c r="BI207">
        <v>0</v>
      </c>
      <c r="BJ207">
        <v>0</v>
      </c>
      <c r="BK207"/>
      <c r="BL207"/>
      <c r="BM207" t="s">
        <v>47</v>
      </c>
      <c r="BN207" t="s">
        <v>47</v>
      </c>
      <c r="BO207" t="s">
        <v>47</v>
      </c>
      <c r="BP207" t="s">
        <v>47</v>
      </c>
      <c r="BQ207" t="s">
        <v>47</v>
      </c>
      <c r="BR207"/>
      <c r="BS207" t="s">
        <v>47</v>
      </c>
      <c r="BT207" t="s">
        <v>47</v>
      </c>
      <c r="BU207" t="s">
        <v>47</v>
      </c>
      <c r="BV207"/>
      <c r="BW207" t="s">
        <v>47</v>
      </c>
      <c r="BX207" t="s">
        <v>47</v>
      </c>
      <c r="BY207" t="s">
        <v>47</v>
      </c>
      <c r="BZ207" t="s">
        <v>47</v>
      </c>
      <c r="CA207" t="s">
        <v>47</v>
      </c>
      <c r="CB207" t="s">
        <v>47</v>
      </c>
      <c r="CC207" t="s">
        <v>47</v>
      </c>
      <c r="CD207" t="s">
        <v>47</v>
      </c>
      <c r="CE207" t="s">
        <v>47</v>
      </c>
      <c r="CF207" t="s">
        <v>47</v>
      </c>
      <c r="CG207" t="s">
        <v>47</v>
      </c>
      <c r="CH207" t="s">
        <v>47</v>
      </c>
      <c r="CI207" t="s">
        <v>47</v>
      </c>
      <c r="CJ207" t="s">
        <v>47</v>
      </c>
      <c r="CK207"/>
    </row>
    <row r="208" spans="1:89" s="7" customFormat="1" x14ac:dyDescent="0.25">
      <c r="A208" t="s">
        <v>688</v>
      </c>
      <c r="B208" t="s">
        <v>688</v>
      </c>
      <c r="C208" t="s">
        <v>1470</v>
      </c>
      <c r="D208" t="s">
        <v>1916</v>
      </c>
      <c r="E208">
        <v>917</v>
      </c>
      <c r="F208" t="s">
        <v>321</v>
      </c>
      <c r="G208">
        <v>1003</v>
      </c>
      <c r="H208" s="9">
        <v>22</v>
      </c>
      <c r="I208" t="s">
        <v>321</v>
      </c>
      <c r="J208" t="s">
        <v>845</v>
      </c>
      <c r="K208" t="s">
        <v>2139</v>
      </c>
      <c r="L208" t="s">
        <v>2137</v>
      </c>
      <c r="M208" s="10" t="str">
        <f>HYPERLINK(cna_product_database_catalog_website[[#This Row],[Spec Sheet Link]], cna_product_database_catalog_website[[#Headers],[Spec Sheet Link]])</f>
        <v>Spec Sheet Link</v>
      </c>
      <c r="N208" t="s">
        <v>46</v>
      </c>
      <c r="O208">
        <v>1</v>
      </c>
      <c r="P208">
        <v>1</v>
      </c>
      <c r="Q208" t="s">
        <v>334</v>
      </c>
      <c r="R208" t="s">
        <v>50</v>
      </c>
      <c r="S208" t="s">
        <v>47</v>
      </c>
      <c r="T208" t="s">
        <v>47</v>
      </c>
      <c r="U208" t="s">
        <v>47</v>
      </c>
      <c r="V208" t="s">
        <v>47</v>
      </c>
      <c r="W208" t="s">
        <v>345</v>
      </c>
      <c r="X208" t="s">
        <v>336</v>
      </c>
      <c r="Y208" t="s">
        <v>47</v>
      </c>
      <c r="Z208" t="s">
        <v>47</v>
      </c>
      <c r="AA208" t="s">
        <v>47</v>
      </c>
      <c r="AB208" t="s">
        <v>47</v>
      </c>
      <c r="AC208" t="s">
        <v>47</v>
      </c>
      <c r="AD208" t="s">
        <v>47</v>
      </c>
      <c r="AE208"/>
      <c r="AF208" t="s">
        <v>47</v>
      </c>
      <c r="AG208" t="s">
        <v>47</v>
      </c>
      <c r="AH208" t="s">
        <v>47</v>
      </c>
      <c r="AI208" t="s">
        <v>47</v>
      </c>
      <c r="AJ208"/>
      <c r="AK208"/>
      <c r="AL208" t="s">
        <v>47</v>
      </c>
      <c r="AM208"/>
      <c r="AN208"/>
      <c r="AO208" t="s">
        <v>47</v>
      </c>
      <c r="AP208" t="s">
        <v>47</v>
      </c>
      <c r="AQ208" t="s">
        <v>47</v>
      </c>
      <c r="AR208"/>
      <c r="AS208"/>
      <c r="AT208"/>
      <c r="AU208"/>
      <c r="AV208" t="s">
        <v>47</v>
      </c>
      <c r="AW208" t="s">
        <v>47</v>
      </c>
      <c r="AX208">
        <v>50</v>
      </c>
      <c r="AY208">
        <v>50</v>
      </c>
      <c r="AZ208"/>
      <c r="BA208"/>
      <c r="BB208"/>
      <c r="BC208">
        <v>0</v>
      </c>
      <c r="BD208">
        <v>0</v>
      </c>
      <c r="BE208" t="s">
        <v>47</v>
      </c>
      <c r="BF208"/>
      <c r="BG208"/>
      <c r="BH208"/>
      <c r="BI208">
        <v>0</v>
      </c>
      <c r="BJ208">
        <v>0</v>
      </c>
      <c r="BK208"/>
      <c r="BL208"/>
      <c r="BM208" t="s">
        <v>47</v>
      </c>
      <c r="BN208" t="s">
        <v>47</v>
      </c>
      <c r="BO208" t="s">
        <v>47</v>
      </c>
      <c r="BP208" t="s">
        <v>47</v>
      </c>
      <c r="BQ208" t="s">
        <v>47</v>
      </c>
      <c r="BR208"/>
      <c r="BS208" t="s">
        <v>47</v>
      </c>
      <c r="BT208" t="s">
        <v>47</v>
      </c>
      <c r="BU208" t="s">
        <v>47</v>
      </c>
      <c r="BV208"/>
      <c r="BW208" t="s">
        <v>47</v>
      </c>
      <c r="BX208" t="s">
        <v>47</v>
      </c>
      <c r="BY208" t="s">
        <v>47</v>
      </c>
      <c r="BZ208" t="s">
        <v>47</v>
      </c>
      <c r="CA208" t="s">
        <v>47</v>
      </c>
      <c r="CB208" t="s">
        <v>47</v>
      </c>
      <c r="CC208" t="s">
        <v>47</v>
      </c>
      <c r="CD208" t="s">
        <v>47</v>
      </c>
      <c r="CE208" t="s">
        <v>47</v>
      </c>
      <c r="CF208" t="s">
        <v>47</v>
      </c>
      <c r="CG208" t="s">
        <v>47</v>
      </c>
      <c r="CH208" t="s">
        <v>47</v>
      </c>
      <c r="CI208" t="s">
        <v>47</v>
      </c>
      <c r="CJ208" t="s">
        <v>47</v>
      </c>
      <c r="CK208"/>
    </row>
    <row r="209" spans="1:89" s="7" customFormat="1" x14ac:dyDescent="0.25">
      <c r="A209" t="s">
        <v>687</v>
      </c>
      <c r="B209" t="s">
        <v>1471</v>
      </c>
      <c r="C209" t="s">
        <v>1471</v>
      </c>
      <c r="D209" t="s">
        <v>1917</v>
      </c>
      <c r="E209">
        <v>930</v>
      </c>
      <c r="F209" t="s">
        <v>780</v>
      </c>
      <c r="G209">
        <v>1122</v>
      </c>
      <c r="H209" s="9">
        <v>32</v>
      </c>
      <c r="I209" t="s">
        <v>780</v>
      </c>
      <c r="J209" t="s">
        <v>781</v>
      </c>
      <c r="K209" t="s">
        <v>2140</v>
      </c>
      <c r="L209" t="s">
        <v>2141</v>
      </c>
      <c r="M209" s="10" t="str">
        <f>HYPERLINK(cna_product_database_catalog_website[[#This Row],[Spec Sheet Link]], cna_product_database_catalog_website[[#Headers],[Spec Sheet Link]])</f>
        <v>Spec Sheet Link</v>
      </c>
      <c r="N209" t="s">
        <v>46</v>
      </c>
      <c r="O209">
        <v>1</v>
      </c>
      <c r="P209">
        <v>1</v>
      </c>
      <c r="Q209" t="s">
        <v>379</v>
      </c>
      <c r="R209" t="s">
        <v>50</v>
      </c>
      <c r="S209" t="s">
        <v>47</v>
      </c>
      <c r="T209" t="s">
        <v>47</v>
      </c>
      <c r="U209" t="s">
        <v>47</v>
      </c>
      <c r="V209" t="s">
        <v>47</v>
      </c>
      <c r="W209" t="s">
        <v>345</v>
      </c>
      <c r="X209" t="s">
        <v>336</v>
      </c>
      <c r="Y209" t="s">
        <v>47</v>
      </c>
      <c r="Z209" t="s">
        <v>47</v>
      </c>
      <c r="AA209" t="s">
        <v>47</v>
      </c>
      <c r="AB209" t="s">
        <v>47</v>
      </c>
      <c r="AC209" t="s">
        <v>47</v>
      </c>
      <c r="AD209" t="s">
        <v>47</v>
      </c>
      <c r="AE209"/>
      <c r="AF209" t="s">
        <v>47</v>
      </c>
      <c r="AG209" t="s">
        <v>47</v>
      </c>
      <c r="AH209" t="s">
        <v>47</v>
      </c>
      <c r="AI209" t="s">
        <v>47</v>
      </c>
      <c r="AJ209"/>
      <c r="AK209"/>
      <c r="AL209" t="s">
        <v>47</v>
      </c>
      <c r="AM209"/>
      <c r="AN209"/>
      <c r="AO209" t="s">
        <v>47</v>
      </c>
      <c r="AP209" t="s">
        <v>47</v>
      </c>
      <c r="AQ209" t="s">
        <v>47</v>
      </c>
      <c r="AR209"/>
      <c r="AS209"/>
      <c r="AT209"/>
      <c r="AU209"/>
      <c r="AV209" t="s">
        <v>47</v>
      </c>
      <c r="AW209" t="s">
        <v>47</v>
      </c>
      <c r="AX209">
        <v>50</v>
      </c>
      <c r="AY209">
        <v>50</v>
      </c>
      <c r="AZ209"/>
      <c r="BA209"/>
      <c r="BB209"/>
      <c r="BC209">
        <v>0</v>
      </c>
      <c r="BD209">
        <v>0</v>
      </c>
      <c r="BE209" t="s">
        <v>47</v>
      </c>
      <c r="BF209"/>
      <c r="BG209"/>
      <c r="BH209"/>
      <c r="BI209">
        <v>0</v>
      </c>
      <c r="BJ209">
        <v>0</v>
      </c>
      <c r="BK209"/>
      <c r="BL209"/>
      <c r="BM209" t="s">
        <v>47</v>
      </c>
      <c r="BN209" t="s">
        <v>47</v>
      </c>
      <c r="BO209" t="s">
        <v>47</v>
      </c>
      <c r="BP209" t="s">
        <v>47</v>
      </c>
      <c r="BQ209" t="s">
        <v>47</v>
      </c>
      <c r="BR209"/>
      <c r="BS209" t="s">
        <v>47</v>
      </c>
      <c r="BT209" t="s">
        <v>47</v>
      </c>
      <c r="BU209" t="s">
        <v>47</v>
      </c>
      <c r="BV209"/>
      <c r="BW209" t="s">
        <v>47</v>
      </c>
      <c r="BX209" t="s">
        <v>47</v>
      </c>
      <c r="BY209" t="s">
        <v>47</v>
      </c>
      <c r="BZ209" t="s">
        <v>47</v>
      </c>
      <c r="CA209" t="s">
        <v>47</v>
      </c>
      <c r="CB209" t="s">
        <v>47</v>
      </c>
      <c r="CC209" t="s">
        <v>47</v>
      </c>
      <c r="CD209" t="s">
        <v>47</v>
      </c>
      <c r="CE209" t="s">
        <v>47</v>
      </c>
      <c r="CF209" t="s">
        <v>47</v>
      </c>
      <c r="CG209" t="s">
        <v>47</v>
      </c>
      <c r="CH209" t="s">
        <v>47</v>
      </c>
      <c r="CI209" t="s">
        <v>47</v>
      </c>
      <c r="CJ209" t="s">
        <v>47</v>
      </c>
      <c r="CK209"/>
    </row>
    <row r="210" spans="1:89" s="7" customFormat="1" x14ac:dyDescent="0.25">
      <c r="A210" t="s">
        <v>1472</v>
      </c>
      <c r="B210" t="s">
        <v>1490</v>
      </c>
      <c r="C210" t="s">
        <v>1152</v>
      </c>
      <c r="D210" t="s">
        <v>1918</v>
      </c>
      <c r="E210">
        <v>940</v>
      </c>
      <c r="F210" t="s">
        <v>759</v>
      </c>
      <c r="G210">
        <v>1214</v>
      </c>
      <c r="H210" s="9">
        <v>8.5</v>
      </c>
      <c r="I210" t="s">
        <v>759</v>
      </c>
      <c r="J210" t="s">
        <v>777</v>
      </c>
      <c r="K210" t="s">
        <v>2142</v>
      </c>
      <c r="L210" t="s">
        <v>2143</v>
      </c>
      <c r="M210" s="10" t="str">
        <f>HYPERLINK(cna_product_database_catalog_website[[#This Row],[Spec Sheet Link]], cna_product_database_catalog_website[[#Headers],[Spec Sheet Link]])</f>
        <v>Spec Sheet Link</v>
      </c>
      <c r="N210" t="s">
        <v>46</v>
      </c>
      <c r="O210">
        <v>1</v>
      </c>
      <c r="P210">
        <v>1</v>
      </c>
      <c r="Q210" t="s">
        <v>390</v>
      </c>
      <c r="R210" t="s">
        <v>50</v>
      </c>
      <c r="S210" t="s">
        <v>47</v>
      </c>
      <c r="T210" t="s">
        <v>47</v>
      </c>
      <c r="U210" t="s">
        <v>47</v>
      </c>
      <c r="V210" t="s">
        <v>47</v>
      </c>
      <c r="W210" t="s">
        <v>345</v>
      </c>
      <c r="X210" t="s">
        <v>336</v>
      </c>
      <c r="Y210" t="s">
        <v>47</v>
      </c>
      <c r="Z210" t="s">
        <v>47</v>
      </c>
      <c r="AA210" t="s">
        <v>47</v>
      </c>
      <c r="AB210" t="s">
        <v>47</v>
      </c>
      <c r="AC210" t="s">
        <v>47</v>
      </c>
      <c r="AD210" t="s">
        <v>47</v>
      </c>
      <c r="AE210"/>
      <c r="AF210" t="s">
        <v>47</v>
      </c>
      <c r="AG210" t="s">
        <v>47</v>
      </c>
      <c r="AH210" t="s">
        <v>47</v>
      </c>
      <c r="AI210" t="s">
        <v>47</v>
      </c>
      <c r="AJ210"/>
      <c r="AK210"/>
      <c r="AL210" t="s">
        <v>47</v>
      </c>
      <c r="AM210"/>
      <c r="AN210"/>
      <c r="AO210" t="s">
        <v>47</v>
      </c>
      <c r="AP210" t="s">
        <v>47</v>
      </c>
      <c r="AQ210" t="s">
        <v>47</v>
      </c>
      <c r="AR210"/>
      <c r="AS210"/>
      <c r="AT210"/>
      <c r="AU210"/>
      <c r="AV210" t="s">
        <v>47</v>
      </c>
      <c r="AW210" t="s">
        <v>47</v>
      </c>
      <c r="AX210">
        <v>50</v>
      </c>
      <c r="AY210">
        <v>50</v>
      </c>
      <c r="AZ210"/>
      <c r="BA210"/>
      <c r="BB210"/>
      <c r="BC210">
        <v>0</v>
      </c>
      <c r="BD210">
        <v>0</v>
      </c>
      <c r="BE210" t="s">
        <v>47</v>
      </c>
      <c r="BF210"/>
      <c r="BG210"/>
      <c r="BH210"/>
      <c r="BI210">
        <v>0</v>
      </c>
      <c r="BJ210">
        <v>0</v>
      </c>
      <c r="BK210"/>
      <c r="BL210"/>
      <c r="BM210" t="s">
        <v>47</v>
      </c>
      <c r="BN210" t="s">
        <v>47</v>
      </c>
      <c r="BO210" t="s">
        <v>47</v>
      </c>
      <c r="BP210" t="s">
        <v>47</v>
      </c>
      <c r="BQ210" t="s">
        <v>47</v>
      </c>
      <c r="BR210"/>
      <c r="BS210" t="s">
        <v>47</v>
      </c>
      <c r="BT210" t="s">
        <v>47</v>
      </c>
      <c r="BU210" t="s">
        <v>47</v>
      </c>
      <c r="BV210"/>
      <c r="BW210" t="s">
        <v>47</v>
      </c>
      <c r="BX210" t="s">
        <v>47</v>
      </c>
      <c r="BY210" t="s">
        <v>47</v>
      </c>
      <c r="BZ210" t="s">
        <v>47</v>
      </c>
      <c r="CA210" t="s">
        <v>47</v>
      </c>
      <c r="CB210" t="s">
        <v>47</v>
      </c>
      <c r="CC210" t="s">
        <v>47</v>
      </c>
      <c r="CD210" t="s">
        <v>47</v>
      </c>
      <c r="CE210" t="s">
        <v>47</v>
      </c>
      <c r="CF210" t="s">
        <v>47</v>
      </c>
      <c r="CG210" t="s">
        <v>47</v>
      </c>
      <c r="CH210" t="s">
        <v>47</v>
      </c>
      <c r="CI210" t="s">
        <v>47</v>
      </c>
      <c r="CJ210" t="s">
        <v>47</v>
      </c>
      <c r="CK210"/>
    </row>
    <row r="211" spans="1:89" s="7" customFormat="1" x14ac:dyDescent="0.25">
      <c r="A211" t="s">
        <v>1472</v>
      </c>
      <c r="B211" t="s">
        <v>1473</v>
      </c>
      <c r="C211" t="s">
        <v>1153</v>
      </c>
      <c r="D211" t="s">
        <v>1919</v>
      </c>
      <c r="E211">
        <v>945</v>
      </c>
      <c r="F211" t="s">
        <v>964</v>
      </c>
      <c r="G211">
        <v>168</v>
      </c>
      <c r="H211" s="9">
        <v>13.5</v>
      </c>
      <c r="I211" t="s">
        <v>964</v>
      </c>
      <c r="J211" t="s">
        <v>965</v>
      </c>
      <c r="K211" t="s">
        <v>2144</v>
      </c>
      <c r="L211" t="s">
        <v>2145</v>
      </c>
      <c r="M211" s="10" t="str">
        <f>HYPERLINK(cna_product_database_catalog_website[[#This Row],[Spec Sheet Link]], cna_product_database_catalog_website[[#Headers],[Spec Sheet Link]])</f>
        <v>Spec Sheet Link</v>
      </c>
      <c r="N211" t="s">
        <v>46</v>
      </c>
      <c r="O211">
        <v>1</v>
      </c>
      <c r="P211">
        <v>1</v>
      </c>
      <c r="Q211" t="s">
        <v>343</v>
      </c>
      <c r="R211" t="s">
        <v>50</v>
      </c>
      <c r="S211" t="s">
        <v>47</v>
      </c>
      <c r="T211" t="s">
        <v>47</v>
      </c>
      <c r="U211" t="s">
        <v>47</v>
      </c>
      <c r="V211" t="s">
        <v>47</v>
      </c>
      <c r="W211" t="s">
        <v>421</v>
      </c>
      <c r="X211" t="s">
        <v>336</v>
      </c>
      <c r="Y211" t="s">
        <v>47</v>
      </c>
      <c r="Z211" t="s">
        <v>47</v>
      </c>
      <c r="AA211" t="s">
        <v>47</v>
      </c>
      <c r="AB211" t="s">
        <v>47</v>
      </c>
      <c r="AC211" t="s">
        <v>47</v>
      </c>
      <c r="AD211" t="s">
        <v>47</v>
      </c>
      <c r="AE211"/>
      <c r="AF211" t="s">
        <v>47</v>
      </c>
      <c r="AG211" t="s">
        <v>47</v>
      </c>
      <c r="AH211" t="s">
        <v>47</v>
      </c>
      <c r="AI211" t="s">
        <v>47</v>
      </c>
      <c r="AJ211"/>
      <c r="AK211"/>
      <c r="AL211" t="s">
        <v>47</v>
      </c>
      <c r="AM211"/>
      <c r="AN211"/>
      <c r="AO211" t="s">
        <v>47</v>
      </c>
      <c r="AP211" t="s">
        <v>47</v>
      </c>
      <c r="AQ211" t="s">
        <v>47</v>
      </c>
      <c r="AR211"/>
      <c r="AS211"/>
      <c r="AT211"/>
      <c r="AU211"/>
      <c r="AV211" t="s">
        <v>47</v>
      </c>
      <c r="AW211" t="s">
        <v>47</v>
      </c>
      <c r="AX211">
        <v>50</v>
      </c>
      <c r="AY211">
        <v>50</v>
      </c>
      <c r="AZ211"/>
      <c r="BA211"/>
      <c r="BB211"/>
      <c r="BC211">
        <v>0</v>
      </c>
      <c r="BD211">
        <v>0</v>
      </c>
      <c r="BE211" t="s">
        <v>47</v>
      </c>
      <c r="BF211"/>
      <c r="BG211"/>
      <c r="BH211"/>
      <c r="BI211">
        <v>0</v>
      </c>
      <c r="BJ211">
        <v>0</v>
      </c>
      <c r="BK211"/>
      <c r="BL211"/>
      <c r="BM211" t="s">
        <v>47</v>
      </c>
      <c r="BN211" t="s">
        <v>47</v>
      </c>
      <c r="BO211" t="s">
        <v>47</v>
      </c>
      <c r="BP211" t="s">
        <v>47</v>
      </c>
      <c r="BQ211" t="s">
        <v>47</v>
      </c>
      <c r="BR211"/>
      <c r="BS211" t="s">
        <v>47</v>
      </c>
      <c r="BT211" t="s">
        <v>47</v>
      </c>
      <c r="BU211" t="s">
        <v>47</v>
      </c>
      <c r="BV211"/>
      <c r="BW211" t="s">
        <v>47</v>
      </c>
      <c r="BX211" t="s">
        <v>47</v>
      </c>
      <c r="BY211" t="s">
        <v>47</v>
      </c>
      <c r="BZ211" t="s">
        <v>47</v>
      </c>
      <c r="CA211" t="s">
        <v>47</v>
      </c>
      <c r="CB211" t="s">
        <v>47</v>
      </c>
      <c r="CC211" t="s">
        <v>47</v>
      </c>
      <c r="CD211" t="s">
        <v>47</v>
      </c>
      <c r="CE211" t="s">
        <v>47</v>
      </c>
      <c r="CF211" t="s">
        <v>47</v>
      </c>
      <c r="CG211" t="s">
        <v>47</v>
      </c>
      <c r="CH211" t="s">
        <v>47</v>
      </c>
      <c r="CI211" t="s">
        <v>47</v>
      </c>
      <c r="CJ211" t="s">
        <v>47</v>
      </c>
      <c r="CK211"/>
    </row>
    <row r="212" spans="1:89" s="7" customFormat="1" x14ac:dyDescent="0.25">
      <c r="A212" t="s">
        <v>1472</v>
      </c>
      <c r="B212" t="s">
        <v>1473</v>
      </c>
      <c r="C212" t="s">
        <v>1154</v>
      </c>
      <c r="D212" t="s">
        <v>1920</v>
      </c>
      <c r="E212">
        <v>946</v>
      </c>
      <c r="F212" t="s">
        <v>229</v>
      </c>
      <c r="G212">
        <v>1023</v>
      </c>
      <c r="H212" s="9">
        <v>10.5</v>
      </c>
      <c r="I212" t="s">
        <v>229</v>
      </c>
      <c r="J212" t="s">
        <v>776</v>
      </c>
      <c r="K212" t="s">
        <v>2146</v>
      </c>
      <c r="L212" t="s">
        <v>2147</v>
      </c>
      <c r="M212" s="10" t="str">
        <f>HYPERLINK(cna_product_database_catalog_website[[#This Row],[Spec Sheet Link]], cna_product_database_catalog_website[[#Headers],[Spec Sheet Link]])</f>
        <v>Spec Sheet Link</v>
      </c>
      <c r="N212" t="s">
        <v>46</v>
      </c>
      <c r="O212">
        <v>1</v>
      </c>
      <c r="P212">
        <v>1</v>
      </c>
      <c r="Q212" t="s">
        <v>334</v>
      </c>
      <c r="R212" t="s">
        <v>50</v>
      </c>
      <c r="S212" t="s">
        <v>47</v>
      </c>
      <c r="T212" t="s">
        <v>47</v>
      </c>
      <c r="U212" t="s">
        <v>47</v>
      </c>
      <c r="V212" t="s">
        <v>47</v>
      </c>
      <c r="W212" t="s">
        <v>421</v>
      </c>
      <c r="X212" t="s">
        <v>336</v>
      </c>
      <c r="Y212" t="s">
        <v>47</v>
      </c>
      <c r="Z212" t="s">
        <v>47</v>
      </c>
      <c r="AA212" t="s">
        <v>47</v>
      </c>
      <c r="AB212" t="s">
        <v>47</v>
      </c>
      <c r="AC212" t="s">
        <v>47</v>
      </c>
      <c r="AD212" t="s">
        <v>47</v>
      </c>
      <c r="AE212"/>
      <c r="AF212" t="s">
        <v>47</v>
      </c>
      <c r="AG212" t="s">
        <v>47</v>
      </c>
      <c r="AH212" t="s">
        <v>47</v>
      </c>
      <c r="AI212" t="s">
        <v>47</v>
      </c>
      <c r="AJ212"/>
      <c r="AK212"/>
      <c r="AL212" t="s">
        <v>47</v>
      </c>
      <c r="AM212"/>
      <c r="AN212"/>
      <c r="AO212" t="s">
        <v>47</v>
      </c>
      <c r="AP212" t="s">
        <v>47</v>
      </c>
      <c r="AQ212" t="s">
        <v>47</v>
      </c>
      <c r="AR212"/>
      <c r="AS212"/>
      <c r="AT212"/>
      <c r="AU212"/>
      <c r="AV212" t="s">
        <v>47</v>
      </c>
      <c r="AW212" t="s">
        <v>47</v>
      </c>
      <c r="AX212">
        <v>50</v>
      </c>
      <c r="AY212">
        <v>50</v>
      </c>
      <c r="AZ212"/>
      <c r="BA212"/>
      <c r="BB212"/>
      <c r="BC212">
        <v>0</v>
      </c>
      <c r="BD212">
        <v>0</v>
      </c>
      <c r="BE212" t="s">
        <v>47</v>
      </c>
      <c r="BF212"/>
      <c r="BG212"/>
      <c r="BH212"/>
      <c r="BI212">
        <v>0</v>
      </c>
      <c r="BJ212">
        <v>0</v>
      </c>
      <c r="BK212"/>
      <c r="BL212"/>
      <c r="BM212" t="s">
        <v>47</v>
      </c>
      <c r="BN212" t="s">
        <v>47</v>
      </c>
      <c r="BO212" t="s">
        <v>47</v>
      </c>
      <c r="BP212" t="s">
        <v>47</v>
      </c>
      <c r="BQ212" t="s">
        <v>47</v>
      </c>
      <c r="BR212"/>
      <c r="BS212" t="s">
        <v>47</v>
      </c>
      <c r="BT212" t="s">
        <v>47</v>
      </c>
      <c r="BU212" t="s">
        <v>47</v>
      </c>
      <c r="BV212"/>
      <c r="BW212" t="s">
        <v>47</v>
      </c>
      <c r="BX212" t="s">
        <v>47</v>
      </c>
      <c r="BY212" t="s">
        <v>47</v>
      </c>
      <c r="BZ212" t="s">
        <v>47</v>
      </c>
      <c r="CA212" t="s">
        <v>47</v>
      </c>
      <c r="CB212" t="s">
        <v>47</v>
      </c>
      <c r="CC212" t="s">
        <v>47</v>
      </c>
      <c r="CD212" t="s">
        <v>47</v>
      </c>
      <c r="CE212" t="s">
        <v>47</v>
      </c>
      <c r="CF212" t="s">
        <v>47</v>
      </c>
      <c r="CG212" t="s">
        <v>47</v>
      </c>
      <c r="CH212" t="s">
        <v>47</v>
      </c>
      <c r="CI212" t="s">
        <v>47</v>
      </c>
      <c r="CJ212" t="s">
        <v>47</v>
      </c>
      <c r="CK212"/>
    </row>
    <row r="213" spans="1:89" s="7" customFormat="1" x14ac:dyDescent="0.25">
      <c r="A213" t="s">
        <v>1472</v>
      </c>
      <c r="B213" t="s">
        <v>1473</v>
      </c>
      <c r="C213" t="s">
        <v>1155</v>
      </c>
      <c r="D213" t="s">
        <v>1921</v>
      </c>
      <c r="E213">
        <v>947</v>
      </c>
      <c r="F213" t="s">
        <v>232</v>
      </c>
      <c r="G213">
        <v>916</v>
      </c>
      <c r="H213" s="9">
        <v>12.5</v>
      </c>
      <c r="I213" t="s">
        <v>232</v>
      </c>
      <c r="J213" t="s">
        <v>775</v>
      </c>
      <c r="K213" t="s">
        <v>2146</v>
      </c>
      <c r="L213" t="s">
        <v>2147</v>
      </c>
      <c r="M213" s="10" t="str">
        <f>HYPERLINK(cna_product_database_catalog_website[[#This Row],[Spec Sheet Link]], cna_product_database_catalog_website[[#Headers],[Spec Sheet Link]])</f>
        <v>Spec Sheet Link</v>
      </c>
      <c r="N213" t="s">
        <v>46</v>
      </c>
      <c r="O213">
        <v>1</v>
      </c>
      <c r="P213">
        <v>1</v>
      </c>
      <c r="Q213" t="s">
        <v>338</v>
      </c>
      <c r="R213" t="s">
        <v>50</v>
      </c>
      <c r="S213" t="s">
        <v>47</v>
      </c>
      <c r="T213" t="s">
        <v>47</v>
      </c>
      <c r="U213" t="s">
        <v>47</v>
      </c>
      <c r="V213" t="s">
        <v>47</v>
      </c>
      <c r="W213" t="s">
        <v>421</v>
      </c>
      <c r="X213" t="s">
        <v>336</v>
      </c>
      <c r="Y213" t="s">
        <v>47</v>
      </c>
      <c r="Z213" t="s">
        <v>47</v>
      </c>
      <c r="AA213" t="s">
        <v>47</v>
      </c>
      <c r="AB213" t="s">
        <v>47</v>
      </c>
      <c r="AC213" t="s">
        <v>47</v>
      </c>
      <c r="AD213" t="s">
        <v>47</v>
      </c>
      <c r="AE213"/>
      <c r="AF213" t="s">
        <v>47</v>
      </c>
      <c r="AG213" t="s">
        <v>47</v>
      </c>
      <c r="AH213" t="s">
        <v>47</v>
      </c>
      <c r="AI213" t="s">
        <v>47</v>
      </c>
      <c r="AJ213"/>
      <c r="AK213"/>
      <c r="AL213" t="s">
        <v>47</v>
      </c>
      <c r="AM213"/>
      <c r="AN213"/>
      <c r="AO213" t="s">
        <v>47</v>
      </c>
      <c r="AP213" t="s">
        <v>47</v>
      </c>
      <c r="AQ213" t="s">
        <v>47</v>
      </c>
      <c r="AR213"/>
      <c r="AS213"/>
      <c r="AT213"/>
      <c r="AU213"/>
      <c r="AV213" t="s">
        <v>47</v>
      </c>
      <c r="AW213" t="s">
        <v>47</v>
      </c>
      <c r="AX213">
        <v>50</v>
      </c>
      <c r="AY213">
        <v>50</v>
      </c>
      <c r="AZ213"/>
      <c r="BA213"/>
      <c r="BB213"/>
      <c r="BC213">
        <v>0</v>
      </c>
      <c r="BD213">
        <v>0</v>
      </c>
      <c r="BE213" t="s">
        <v>47</v>
      </c>
      <c r="BF213"/>
      <c r="BG213"/>
      <c r="BH213"/>
      <c r="BI213">
        <v>0</v>
      </c>
      <c r="BJ213">
        <v>0</v>
      </c>
      <c r="BK213"/>
      <c r="BL213"/>
      <c r="BM213" t="s">
        <v>47</v>
      </c>
      <c r="BN213" t="s">
        <v>47</v>
      </c>
      <c r="BO213" t="s">
        <v>47</v>
      </c>
      <c r="BP213" t="s">
        <v>47</v>
      </c>
      <c r="BQ213" t="s">
        <v>47</v>
      </c>
      <c r="BR213"/>
      <c r="BS213" t="s">
        <v>47</v>
      </c>
      <c r="BT213" t="s">
        <v>47</v>
      </c>
      <c r="BU213" t="s">
        <v>47</v>
      </c>
      <c r="BV213"/>
      <c r="BW213" t="s">
        <v>47</v>
      </c>
      <c r="BX213" t="s">
        <v>47</v>
      </c>
      <c r="BY213" t="s">
        <v>47</v>
      </c>
      <c r="BZ213" t="s">
        <v>47</v>
      </c>
      <c r="CA213" t="s">
        <v>47</v>
      </c>
      <c r="CB213" t="s">
        <v>47</v>
      </c>
      <c r="CC213" t="s">
        <v>47</v>
      </c>
      <c r="CD213" t="s">
        <v>47</v>
      </c>
      <c r="CE213" t="s">
        <v>47</v>
      </c>
      <c r="CF213" t="s">
        <v>47</v>
      </c>
      <c r="CG213" t="s">
        <v>47</v>
      </c>
      <c r="CH213" t="s">
        <v>47</v>
      </c>
      <c r="CI213" t="s">
        <v>47</v>
      </c>
      <c r="CJ213" t="s">
        <v>47</v>
      </c>
      <c r="CK213"/>
    </row>
    <row r="214" spans="1:89" s="7" customFormat="1" x14ac:dyDescent="0.25">
      <c r="A214" t="s">
        <v>1472</v>
      </c>
      <c r="B214" t="s">
        <v>1474</v>
      </c>
      <c r="C214" t="s">
        <v>1156</v>
      </c>
      <c r="D214" t="s">
        <v>1922</v>
      </c>
      <c r="E214">
        <v>950</v>
      </c>
      <c r="F214" t="s">
        <v>760</v>
      </c>
      <c r="G214">
        <v>1215</v>
      </c>
      <c r="H214" s="9">
        <v>15.5</v>
      </c>
      <c r="I214" t="s">
        <v>760</v>
      </c>
      <c r="J214" t="s">
        <v>778</v>
      </c>
      <c r="K214" t="s">
        <v>2148</v>
      </c>
      <c r="L214" t="s">
        <v>2149</v>
      </c>
      <c r="M214" s="10" t="str">
        <f>HYPERLINK(cna_product_database_catalog_website[[#This Row],[Spec Sheet Link]], cna_product_database_catalog_website[[#Headers],[Spec Sheet Link]])</f>
        <v>Spec Sheet Link</v>
      </c>
      <c r="N214" t="s">
        <v>46</v>
      </c>
      <c r="O214">
        <v>1</v>
      </c>
      <c r="P214">
        <v>1</v>
      </c>
      <c r="Q214" t="s">
        <v>379</v>
      </c>
      <c r="R214" t="s">
        <v>50</v>
      </c>
      <c r="S214" t="s">
        <v>47</v>
      </c>
      <c r="T214" t="s">
        <v>47</v>
      </c>
      <c r="U214" t="s">
        <v>47</v>
      </c>
      <c r="V214" t="s">
        <v>47</v>
      </c>
      <c r="W214" t="s">
        <v>421</v>
      </c>
      <c r="X214" t="s">
        <v>336</v>
      </c>
      <c r="Y214" t="s">
        <v>47</v>
      </c>
      <c r="Z214" t="s">
        <v>47</v>
      </c>
      <c r="AA214" t="s">
        <v>47</v>
      </c>
      <c r="AB214" t="s">
        <v>47</v>
      </c>
      <c r="AC214" t="s">
        <v>47</v>
      </c>
      <c r="AD214" t="s">
        <v>47</v>
      </c>
      <c r="AE214"/>
      <c r="AF214" t="s">
        <v>47</v>
      </c>
      <c r="AG214" t="s">
        <v>47</v>
      </c>
      <c r="AH214" t="s">
        <v>47</v>
      </c>
      <c r="AI214" t="s">
        <v>47</v>
      </c>
      <c r="AJ214"/>
      <c r="AK214"/>
      <c r="AL214" t="s">
        <v>47</v>
      </c>
      <c r="AM214"/>
      <c r="AN214"/>
      <c r="AO214" t="s">
        <v>47</v>
      </c>
      <c r="AP214" t="s">
        <v>47</v>
      </c>
      <c r="AQ214" t="s">
        <v>47</v>
      </c>
      <c r="AR214"/>
      <c r="AS214"/>
      <c r="AT214"/>
      <c r="AU214"/>
      <c r="AV214" t="s">
        <v>47</v>
      </c>
      <c r="AW214" t="s">
        <v>47</v>
      </c>
      <c r="AX214">
        <v>50</v>
      </c>
      <c r="AY214">
        <v>50</v>
      </c>
      <c r="AZ214"/>
      <c r="BA214"/>
      <c r="BB214"/>
      <c r="BC214">
        <v>0</v>
      </c>
      <c r="BD214">
        <v>0</v>
      </c>
      <c r="BE214" t="s">
        <v>47</v>
      </c>
      <c r="BF214"/>
      <c r="BG214"/>
      <c r="BH214"/>
      <c r="BI214">
        <v>0</v>
      </c>
      <c r="BJ214">
        <v>0</v>
      </c>
      <c r="BK214"/>
      <c r="BL214"/>
      <c r="BM214" t="s">
        <v>47</v>
      </c>
      <c r="BN214" t="s">
        <v>47</v>
      </c>
      <c r="BO214" t="s">
        <v>47</v>
      </c>
      <c r="BP214" t="s">
        <v>47</v>
      </c>
      <c r="BQ214" t="s">
        <v>47</v>
      </c>
      <c r="BR214"/>
      <c r="BS214" t="s">
        <v>47</v>
      </c>
      <c r="BT214" t="s">
        <v>47</v>
      </c>
      <c r="BU214" t="s">
        <v>47</v>
      </c>
      <c r="BV214"/>
      <c r="BW214" t="s">
        <v>47</v>
      </c>
      <c r="BX214" t="s">
        <v>47</v>
      </c>
      <c r="BY214" t="s">
        <v>47</v>
      </c>
      <c r="BZ214" t="s">
        <v>47</v>
      </c>
      <c r="CA214" t="s">
        <v>47</v>
      </c>
      <c r="CB214" t="s">
        <v>47</v>
      </c>
      <c r="CC214" t="s">
        <v>47</v>
      </c>
      <c r="CD214" t="s">
        <v>47</v>
      </c>
      <c r="CE214" t="s">
        <v>47</v>
      </c>
      <c r="CF214" t="s">
        <v>47</v>
      </c>
      <c r="CG214" t="s">
        <v>47</v>
      </c>
      <c r="CH214" t="s">
        <v>47</v>
      </c>
      <c r="CI214" t="s">
        <v>47</v>
      </c>
      <c r="CJ214" t="s">
        <v>47</v>
      </c>
      <c r="CK214"/>
    </row>
    <row r="215" spans="1:89" s="7" customFormat="1" x14ac:dyDescent="0.25">
      <c r="A215" t="s">
        <v>1472</v>
      </c>
      <c r="B215" t="s">
        <v>1491</v>
      </c>
      <c r="C215" t="s">
        <v>1157</v>
      </c>
      <c r="D215" t="s">
        <v>1923</v>
      </c>
      <c r="E215">
        <v>951</v>
      </c>
      <c r="F215" t="s">
        <v>235</v>
      </c>
      <c r="G215">
        <v>917</v>
      </c>
      <c r="H215" s="9">
        <v>12.5</v>
      </c>
      <c r="I215" t="s">
        <v>235</v>
      </c>
      <c r="J215" t="s">
        <v>779</v>
      </c>
      <c r="K215" t="s">
        <v>2150</v>
      </c>
      <c r="L215" t="s">
        <v>2151</v>
      </c>
      <c r="M215" s="10" t="str">
        <f>HYPERLINK(cna_product_database_catalog_website[[#This Row],[Spec Sheet Link]], cna_product_database_catalog_website[[#Headers],[Spec Sheet Link]])</f>
        <v>Spec Sheet Link</v>
      </c>
      <c r="N215" t="s">
        <v>46</v>
      </c>
      <c r="O215">
        <v>1</v>
      </c>
      <c r="P215">
        <v>1</v>
      </c>
      <c r="Q215" t="s">
        <v>390</v>
      </c>
      <c r="R215" t="s">
        <v>50</v>
      </c>
      <c r="S215" t="s">
        <v>47</v>
      </c>
      <c r="T215" t="s">
        <v>47</v>
      </c>
      <c r="U215" t="s">
        <v>47</v>
      </c>
      <c r="V215" t="s">
        <v>47</v>
      </c>
      <c r="W215" t="s">
        <v>421</v>
      </c>
      <c r="X215" t="s">
        <v>336</v>
      </c>
      <c r="Y215" t="s">
        <v>47</v>
      </c>
      <c r="Z215" t="s">
        <v>47</v>
      </c>
      <c r="AA215" t="s">
        <v>47</v>
      </c>
      <c r="AB215" t="s">
        <v>47</v>
      </c>
      <c r="AC215" t="s">
        <v>47</v>
      </c>
      <c r="AD215" t="s">
        <v>47</v>
      </c>
      <c r="AE215"/>
      <c r="AF215" t="s">
        <v>47</v>
      </c>
      <c r="AG215" t="s">
        <v>47</v>
      </c>
      <c r="AH215" t="s">
        <v>47</v>
      </c>
      <c r="AI215" t="s">
        <v>47</v>
      </c>
      <c r="AJ215"/>
      <c r="AK215"/>
      <c r="AL215" t="s">
        <v>47</v>
      </c>
      <c r="AM215"/>
      <c r="AN215"/>
      <c r="AO215" t="s">
        <v>47</v>
      </c>
      <c r="AP215" t="s">
        <v>47</v>
      </c>
      <c r="AQ215" t="s">
        <v>47</v>
      </c>
      <c r="AR215"/>
      <c r="AS215"/>
      <c r="AT215"/>
      <c r="AU215"/>
      <c r="AV215" t="s">
        <v>47</v>
      </c>
      <c r="AW215" t="s">
        <v>47</v>
      </c>
      <c r="AX215">
        <v>50</v>
      </c>
      <c r="AY215">
        <v>50</v>
      </c>
      <c r="AZ215"/>
      <c r="BA215"/>
      <c r="BB215"/>
      <c r="BC215">
        <v>0</v>
      </c>
      <c r="BD215">
        <v>0</v>
      </c>
      <c r="BE215" t="s">
        <v>47</v>
      </c>
      <c r="BF215"/>
      <c r="BG215"/>
      <c r="BH215"/>
      <c r="BI215">
        <v>0</v>
      </c>
      <c r="BJ215">
        <v>0</v>
      </c>
      <c r="BK215"/>
      <c r="BL215"/>
      <c r="BM215" t="s">
        <v>47</v>
      </c>
      <c r="BN215" t="s">
        <v>47</v>
      </c>
      <c r="BO215" t="s">
        <v>47</v>
      </c>
      <c r="BP215" t="s">
        <v>47</v>
      </c>
      <c r="BQ215" t="s">
        <v>47</v>
      </c>
      <c r="BR215"/>
      <c r="BS215" t="s">
        <v>47</v>
      </c>
      <c r="BT215" t="s">
        <v>47</v>
      </c>
      <c r="BU215" t="s">
        <v>47</v>
      </c>
      <c r="BV215"/>
      <c r="BW215" t="s">
        <v>47</v>
      </c>
      <c r="BX215" t="s">
        <v>47</v>
      </c>
      <c r="BY215" t="s">
        <v>47</v>
      </c>
      <c r="BZ215" t="s">
        <v>47</v>
      </c>
      <c r="CA215" t="s">
        <v>47</v>
      </c>
      <c r="CB215" t="s">
        <v>47</v>
      </c>
      <c r="CC215" t="s">
        <v>47</v>
      </c>
      <c r="CD215" t="s">
        <v>47</v>
      </c>
      <c r="CE215" t="s">
        <v>47</v>
      </c>
      <c r="CF215" t="s">
        <v>47</v>
      </c>
      <c r="CG215" t="s">
        <v>47</v>
      </c>
      <c r="CH215" t="s">
        <v>47</v>
      </c>
      <c r="CI215" t="s">
        <v>47</v>
      </c>
      <c r="CJ215" t="s">
        <v>47</v>
      </c>
      <c r="CK215"/>
    </row>
    <row r="216" spans="1:89" s="7" customFormat="1" x14ac:dyDescent="0.25">
      <c r="A216" t="s">
        <v>1475</v>
      </c>
      <c r="B216" t="s">
        <v>1479</v>
      </c>
      <c r="C216" t="s">
        <v>1161</v>
      </c>
      <c r="D216" t="s">
        <v>1924</v>
      </c>
      <c r="E216">
        <v>970</v>
      </c>
      <c r="F216" t="s">
        <v>1313</v>
      </c>
      <c r="G216">
        <v>1014</v>
      </c>
      <c r="H216" s="9">
        <v>7.5</v>
      </c>
      <c r="I216" t="s">
        <v>1313</v>
      </c>
      <c r="J216" t="s">
        <v>241</v>
      </c>
      <c r="K216" t="s">
        <v>2152</v>
      </c>
      <c r="L216" t="s">
        <v>2153</v>
      </c>
      <c r="M216" s="10" t="str">
        <f>HYPERLINK(cna_product_database_catalog_website[[#This Row],[Spec Sheet Link]], cna_product_database_catalog_website[[#Headers],[Spec Sheet Link]])</f>
        <v>Spec Sheet Link</v>
      </c>
      <c r="N216" t="s">
        <v>46</v>
      </c>
      <c r="O216">
        <v>1</v>
      </c>
      <c r="P216">
        <v>1</v>
      </c>
      <c r="Q216" t="s">
        <v>383</v>
      </c>
      <c r="R216" t="s">
        <v>50</v>
      </c>
      <c r="S216" t="s">
        <v>428</v>
      </c>
      <c r="T216" t="s">
        <v>47</v>
      </c>
      <c r="U216" t="s">
        <v>341</v>
      </c>
      <c r="V216" t="s">
        <v>47</v>
      </c>
      <c r="W216" t="s">
        <v>68</v>
      </c>
      <c r="X216" t="s">
        <v>336</v>
      </c>
      <c r="Y216" t="s">
        <v>47</v>
      </c>
      <c r="Z216" t="s">
        <v>47</v>
      </c>
      <c r="AA216" t="s">
        <v>47</v>
      </c>
      <c r="AB216" t="s">
        <v>47</v>
      </c>
      <c r="AC216" t="s">
        <v>47</v>
      </c>
      <c r="AD216" t="s">
        <v>47</v>
      </c>
      <c r="AE216"/>
      <c r="AF216" t="s">
        <v>47</v>
      </c>
      <c r="AG216" t="s">
        <v>47</v>
      </c>
      <c r="AH216" t="s">
        <v>47</v>
      </c>
      <c r="AI216" t="s">
        <v>47</v>
      </c>
      <c r="AJ216"/>
      <c r="AK216"/>
      <c r="AL216" t="s">
        <v>47</v>
      </c>
      <c r="AM216"/>
      <c r="AN216"/>
      <c r="AO216" t="s">
        <v>47</v>
      </c>
      <c r="AP216" t="s">
        <v>47</v>
      </c>
      <c r="AQ216" t="s">
        <v>47</v>
      </c>
      <c r="AR216"/>
      <c r="AS216"/>
      <c r="AT216"/>
      <c r="AU216"/>
      <c r="AV216" t="s">
        <v>426</v>
      </c>
      <c r="AW216" t="s">
        <v>47</v>
      </c>
      <c r="AX216">
        <v>25</v>
      </c>
      <c r="AY216">
        <v>25</v>
      </c>
      <c r="AZ216"/>
      <c r="BA216"/>
      <c r="BB216"/>
      <c r="BC216">
        <v>0</v>
      </c>
      <c r="BD216">
        <v>0</v>
      </c>
      <c r="BE216" t="s">
        <v>47</v>
      </c>
      <c r="BF216"/>
      <c r="BG216"/>
      <c r="BH216"/>
      <c r="BI216">
        <v>0</v>
      </c>
      <c r="BJ216">
        <v>0</v>
      </c>
      <c r="BK216"/>
      <c r="BL216"/>
      <c r="BM216" t="s">
        <v>47</v>
      </c>
      <c r="BN216" t="s">
        <v>47</v>
      </c>
      <c r="BO216" t="s">
        <v>47</v>
      </c>
      <c r="BP216" t="s">
        <v>47</v>
      </c>
      <c r="BQ216" t="s">
        <v>47</v>
      </c>
      <c r="BR216"/>
      <c r="BS216" t="s">
        <v>47</v>
      </c>
      <c r="BT216" t="s">
        <v>47</v>
      </c>
      <c r="BU216" t="s">
        <v>47</v>
      </c>
      <c r="BV216"/>
      <c r="BW216" t="s">
        <v>47</v>
      </c>
      <c r="BX216" t="s">
        <v>47</v>
      </c>
      <c r="BY216" t="s">
        <v>47</v>
      </c>
      <c r="BZ216" t="s">
        <v>47</v>
      </c>
      <c r="CA216" t="s">
        <v>47</v>
      </c>
      <c r="CB216" t="s">
        <v>47</v>
      </c>
      <c r="CC216" t="s">
        <v>47</v>
      </c>
      <c r="CD216" t="s">
        <v>47</v>
      </c>
      <c r="CE216" t="s">
        <v>47</v>
      </c>
      <c r="CF216" t="s">
        <v>47</v>
      </c>
      <c r="CG216" t="s">
        <v>47</v>
      </c>
      <c r="CH216" t="s">
        <v>47</v>
      </c>
      <c r="CI216" t="s">
        <v>47</v>
      </c>
      <c r="CJ216" t="s">
        <v>47</v>
      </c>
      <c r="CK216"/>
    </row>
    <row r="217" spans="1:89" s="7" customFormat="1" x14ac:dyDescent="0.25">
      <c r="A217" t="s">
        <v>1475</v>
      </c>
      <c r="B217" t="s">
        <v>1479</v>
      </c>
      <c r="C217" t="s">
        <v>1162</v>
      </c>
      <c r="D217" t="s">
        <v>1925</v>
      </c>
      <c r="E217">
        <v>971</v>
      </c>
      <c r="F217" t="s">
        <v>1314</v>
      </c>
      <c r="G217">
        <v>1015</v>
      </c>
      <c r="H217" s="9">
        <v>7.5</v>
      </c>
      <c r="I217" t="s">
        <v>1314</v>
      </c>
      <c r="J217" t="s">
        <v>242</v>
      </c>
      <c r="K217" t="s">
        <v>2152</v>
      </c>
      <c r="L217" t="s">
        <v>2153</v>
      </c>
      <c r="M217" s="10" t="str">
        <f>HYPERLINK(cna_product_database_catalog_website[[#This Row],[Spec Sheet Link]], cna_product_database_catalog_website[[#Headers],[Spec Sheet Link]])</f>
        <v>Spec Sheet Link</v>
      </c>
      <c r="N217" t="s">
        <v>46</v>
      </c>
      <c r="O217">
        <v>1</v>
      </c>
      <c r="P217">
        <v>1</v>
      </c>
      <c r="Q217" t="s">
        <v>334</v>
      </c>
      <c r="R217" t="s">
        <v>50</v>
      </c>
      <c r="S217" t="s">
        <v>199</v>
      </c>
      <c r="T217" t="s">
        <v>47</v>
      </c>
      <c r="U217" t="s">
        <v>341</v>
      </c>
      <c r="V217" t="s">
        <v>47</v>
      </c>
      <c r="W217" t="s">
        <v>68</v>
      </c>
      <c r="X217" t="s">
        <v>336</v>
      </c>
      <c r="Y217" t="s">
        <v>47</v>
      </c>
      <c r="Z217" t="s">
        <v>47</v>
      </c>
      <c r="AA217" t="s">
        <v>47</v>
      </c>
      <c r="AB217" t="s">
        <v>47</v>
      </c>
      <c r="AC217" t="s">
        <v>47</v>
      </c>
      <c r="AD217" t="s">
        <v>47</v>
      </c>
      <c r="AE217"/>
      <c r="AF217" t="s">
        <v>47</v>
      </c>
      <c r="AG217" t="s">
        <v>47</v>
      </c>
      <c r="AH217" t="s">
        <v>47</v>
      </c>
      <c r="AI217" t="s">
        <v>47</v>
      </c>
      <c r="AJ217"/>
      <c r="AK217"/>
      <c r="AL217" t="s">
        <v>47</v>
      </c>
      <c r="AM217"/>
      <c r="AN217"/>
      <c r="AO217" t="s">
        <v>47</v>
      </c>
      <c r="AP217" t="s">
        <v>47</v>
      </c>
      <c r="AQ217" t="s">
        <v>47</v>
      </c>
      <c r="AR217"/>
      <c r="AS217"/>
      <c r="AT217"/>
      <c r="AU217"/>
      <c r="AV217" t="s">
        <v>426</v>
      </c>
      <c r="AW217" t="s">
        <v>47</v>
      </c>
      <c r="AX217">
        <v>25</v>
      </c>
      <c r="AY217">
        <v>25</v>
      </c>
      <c r="AZ217"/>
      <c r="BA217"/>
      <c r="BB217"/>
      <c r="BC217">
        <v>0</v>
      </c>
      <c r="BD217">
        <v>0</v>
      </c>
      <c r="BE217" t="s">
        <v>47</v>
      </c>
      <c r="BF217"/>
      <c r="BG217"/>
      <c r="BH217"/>
      <c r="BI217">
        <v>0</v>
      </c>
      <c r="BJ217">
        <v>0</v>
      </c>
      <c r="BK217"/>
      <c r="BL217"/>
      <c r="BM217" t="s">
        <v>47</v>
      </c>
      <c r="BN217" t="s">
        <v>47</v>
      </c>
      <c r="BO217" t="s">
        <v>47</v>
      </c>
      <c r="BP217" t="s">
        <v>47</v>
      </c>
      <c r="BQ217" t="s">
        <v>47</v>
      </c>
      <c r="BR217"/>
      <c r="BS217" t="s">
        <v>47</v>
      </c>
      <c r="BT217" t="s">
        <v>47</v>
      </c>
      <c r="BU217" t="s">
        <v>47</v>
      </c>
      <c r="BV217"/>
      <c r="BW217" t="s">
        <v>47</v>
      </c>
      <c r="BX217" t="s">
        <v>47</v>
      </c>
      <c r="BY217" t="s">
        <v>47</v>
      </c>
      <c r="BZ217" t="s">
        <v>47</v>
      </c>
      <c r="CA217" t="s">
        <v>47</v>
      </c>
      <c r="CB217" t="s">
        <v>47</v>
      </c>
      <c r="CC217" t="s">
        <v>47</v>
      </c>
      <c r="CD217" t="s">
        <v>47</v>
      </c>
      <c r="CE217" t="s">
        <v>47</v>
      </c>
      <c r="CF217" t="s">
        <v>47</v>
      </c>
      <c r="CG217" t="s">
        <v>47</v>
      </c>
      <c r="CH217" t="s">
        <v>47</v>
      </c>
      <c r="CI217" t="s">
        <v>47</v>
      </c>
      <c r="CJ217" t="s">
        <v>47</v>
      </c>
      <c r="CK217"/>
    </row>
    <row r="218" spans="1:89" s="7" customFormat="1" x14ac:dyDescent="0.25">
      <c r="A218" t="s">
        <v>1475</v>
      </c>
      <c r="B218" t="s">
        <v>1476</v>
      </c>
      <c r="C218" t="s">
        <v>1159</v>
      </c>
      <c r="D218" t="s">
        <v>1926</v>
      </c>
      <c r="E218">
        <v>980</v>
      </c>
      <c r="F218" t="s">
        <v>1310</v>
      </c>
      <c r="G218">
        <v>1209</v>
      </c>
      <c r="H218" s="9">
        <v>3.5</v>
      </c>
      <c r="I218" t="s">
        <v>1310</v>
      </c>
      <c r="J218" t="s">
        <v>240</v>
      </c>
      <c r="K218" t="s">
        <v>2154</v>
      </c>
      <c r="L218" t="s">
        <v>2155</v>
      </c>
      <c r="M218" s="10" t="str">
        <f>HYPERLINK(cna_product_database_catalog_website[[#This Row],[Spec Sheet Link]], cna_product_database_catalog_website[[#Headers],[Spec Sheet Link]])</f>
        <v>Spec Sheet Link</v>
      </c>
      <c r="N218" t="s">
        <v>46</v>
      </c>
      <c r="O218">
        <v>1</v>
      </c>
      <c r="P218">
        <v>1</v>
      </c>
      <c r="Q218" t="s">
        <v>383</v>
      </c>
      <c r="R218" t="s">
        <v>50</v>
      </c>
      <c r="S218" t="s">
        <v>219</v>
      </c>
      <c r="T218" t="s">
        <v>47</v>
      </c>
      <c r="U218" t="s">
        <v>341</v>
      </c>
      <c r="V218" t="s">
        <v>47</v>
      </c>
      <c r="W218" t="s">
        <v>68</v>
      </c>
      <c r="X218" t="s">
        <v>336</v>
      </c>
      <c r="Y218" t="s">
        <v>47</v>
      </c>
      <c r="Z218" t="s">
        <v>47</v>
      </c>
      <c r="AA218" t="s">
        <v>47</v>
      </c>
      <c r="AB218" t="s">
        <v>47</v>
      </c>
      <c r="AC218" t="s">
        <v>47</v>
      </c>
      <c r="AD218" t="s">
        <v>47</v>
      </c>
      <c r="AE218"/>
      <c r="AF218" t="s">
        <v>47</v>
      </c>
      <c r="AG218" t="s">
        <v>47</v>
      </c>
      <c r="AH218" t="s">
        <v>47</v>
      </c>
      <c r="AI218" t="s">
        <v>47</v>
      </c>
      <c r="AJ218"/>
      <c r="AK218"/>
      <c r="AL218" t="s">
        <v>47</v>
      </c>
      <c r="AM218"/>
      <c r="AN218"/>
      <c r="AO218" t="s">
        <v>47</v>
      </c>
      <c r="AP218" t="s">
        <v>47</v>
      </c>
      <c r="AQ218" t="s">
        <v>47</v>
      </c>
      <c r="AR218"/>
      <c r="AS218"/>
      <c r="AT218"/>
      <c r="AU218"/>
      <c r="AV218" t="s">
        <v>426</v>
      </c>
      <c r="AW218" t="s">
        <v>47</v>
      </c>
      <c r="AX218">
        <v>25</v>
      </c>
      <c r="AY218">
        <v>25</v>
      </c>
      <c r="AZ218"/>
      <c r="BA218"/>
      <c r="BB218"/>
      <c r="BC218">
        <v>0</v>
      </c>
      <c r="BD218">
        <v>0</v>
      </c>
      <c r="BE218" t="s">
        <v>47</v>
      </c>
      <c r="BF218"/>
      <c r="BG218"/>
      <c r="BH218"/>
      <c r="BI218">
        <v>0</v>
      </c>
      <c r="BJ218">
        <v>0</v>
      </c>
      <c r="BK218"/>
      <c r="BL218"/>
      <c r="BM218" t="s">
        <v>47</v>
      </c>
      <c r="BN218" t="s">
        <v>47</v>
      </c>
      <c r="BO218" t="s">
        <v>47</v>
      </c>
      <c r="BP218" t="s">
        <v>47</v>
      </c>
      <c r="BQ218" t="s">
        <v>47</v>
      </c>
      <c r="BR218"/>
      <c r="BS218" t="s">
        <v>47</v>
      </c>
      <c r="BT218" t="s">
        <v>47</v>
      </c>
      <c r="BU218" t="s">
        <v>47</v>
      </c>
      <c r="BV218"/>
      <c r="BW218" t="s">
        <v>47</v>
      </c>
      <c r="BX218" t="s">
        <v>47</v>
      </c>
      <c r="BY218" t="s">
        <v>47</v>
      </c>
      <c r="BZ218" t="s">
        <v>47</v>
      </c>
      <c r="CA218" t="s">
        <v>47</v>
      </c>
      <c r="CB218" t="s">
        <v>47</v>
      </c>
      <c r="CC218" t="s">
        <v>47</v>
      </c>
      <c r="CD218" t="s">
        <v>47</v>
      </c>
      <c r="CE218" t="s">
        <v>47</v>
      </c>
      <c r="CF218" t="s">
        <v>47</v>
      </c>
      <c r="CG218" t="s">
        <v>47</v>
      </c>
      <c r="CH218" t="s">
        <v>47</v>
      </c>
      <c r="CI218" t="s">
        <v>47</v>
      </c>
      <c r="CJ218" t="s">
        <v>47</v>
      </c>
      <c r="CK218"/>
    </row>
    <row r="219" spans="1:89" s="7" customFormat="1" x14ac:dyDescent="0.25">
      <c r="A219" t="s">
        <v>1475</v>
      </c>
      <c r="B219" t="s">
        <v>1476</v>
      </c>
      <c r="C219" t="s">
        <v>1158</v>
      </c>
      <c r="D219" t="s">
        <v>1927</v>
      </c>
      <c r="E219">
        <v>981</v>
      </c>
      <c r="F219" t="s">
        <v>1311</v>
      </c>
      <c r="G219">
        <v>1210</v>
      </c>
      <c r="H219" s="9">
        <v>3.5</v>
      </c>
      <c r="I219" t="s">
        <v>1311</v>
      </c>
      <c r="J219" t="s">
        <v>240</v>
      </c>
      <c r="K219" t="s">
        <v>2154</v>
      </c>
      <c r="L219" t="s">
        <v>2155</v>
      </c>
      <c r="M219" s="10" t="str">
        <f>HYPERLINK(cna_product_database_catalog_website[[#This Row],[Spec Sheet Link]], cna_product_database_catalog_website[[#Headers],[Spec Sheet Link]])</f>
        <v>Spec Sheet Link</v>
      </c>
      <c r="N219" t="s">
        <v>46</v>
      </c>
      <c r="O219">
        <v>1</v>
      </c>
      <c r="P219">
        <v>1</v>
      </c>
      <c r="Q219" t="s">
        <v>432</v>
      </c>
      <c r="R219" t="s">
        <v>433</v>
      </c>
      <c r="S219" t="s">
        <v>101</v>
      </c>
      <c r="T219" t="s">
        <v>213</v>
      </c>
      <c r="U219" t="s">
        <v>434</v>
      </c>
      <c r="V219" t="s">
        <v>435</v>
      </c>
      <c r="W219" t="s">
        <v>68</v>
      </c>
      <c r="X219" t="s">
        <v>59</v>
      </c>
      <c r="Y219" t="s">
        <v>47</v>
      </c>
      <c r="Z219" t="s">
        <v>552</v>
      </c>
      <c r="AA219" t="s">
        <v>69</v>
      </c>
      <c r="AB219" t="s">
        <v>47</v>
      </c>
      <c r="AC219" t="s">
        <v>47</v>
      </c>
      <c r="AD219" t="s">
        <v>53</v>
      </c>
      <c r="AE219"/>
      <c r="AF219" t="s">
        <v>47</v>
      </c>
      <c r="AG219" t="s">
        <v>436</v>
      </c>
      <c r="AH219" t="s">
        <v>47</v>
      </c>
      <c r="AI219" t="s">
        <v>47</v>
      </c>
      <c r="AJ219"/>
      <c r="AK219"/>
      <c r="AL219" t="s">
        <v>47</v>
      </c>
      <c r="AM219"/>
      <c r="AN219"/>
      <c r="AO219" t="s">
        <v>437</v>
      </c>
      <c r="AP219" t="s">
        <v>45</v>
      </c>
      <c r="AQ219" t="s">
        <v>47</v>
      </c>
      <c r="AR219"/>
      <c r="AS219"/>
      <c r="AT219"/>
      <c r="AU219"/>
      <c r="AV219" t="s">
        <v>438</v>
      </c>
      <c r="AW219" t="s">
        <v>47</v>
      </c>
      <c r="AX219">
        <v>50</v>
      </c>
      <c r="AY219">
        <v>100</v>
      </c>
      <c r="AZ219"/>
      <c r="BA219"/>
      <c r="BB219"/>
      <c r="BC219">
        <v>0</v>
      </c>
      <c r="BD219">
        <v>0</v>
      </c>
      <c r="BE219" t="s">
        <v>47</v>
      </c>
      <c r="BF219"/>
      <c r="BG219"/>
      <c r="BH219"/>
      <c r="BI219">
        <v>0</v>
      </c>
      <c r="BJ219">
        <v>0</v>
      </c>
      <c r="BK219"/>
      <c r="BL219"/>
      <c r="BM219" t="s">
        <v>47</v>
      </c>
      <c r="BN219" t="s">
        <v>47</v>
      </c>
      <c r="BO219" t="s">
        <v>47</v>
      </c>
      <c r="BP219" t="s">
        <v>47</v>
      </c>
      <c r="BQ219" t="s">
        <v>47</v>
      </c>
      <c r="BR219"/>
      <c r="BS219" t="s">
        <v>47</v>
      </c>
      <c r="BT219" t="s">
        <v>47</v>
      </c>
      <c r="BU219" t="s">
        <v>47</v>
      </c>
      <c r="BV219"/>
      <c r="BW219" t="s">
        <v>47</v>
      </c>
      <c r="BX219" t="s">
        <v>47</v>
      </c>
      <c r="BY219" t="s">
        <v>47</v>
      </c>
      <c r="BZ219" t="s">
        <v>47</v>
      </c>
      <c r="CA219" t="s">
        <v>47</v>
      </c>
      <c r="CB219" t="s">
        <v>47</v>
      </c>
      <c r="CC219" t="s">
        <v>47</v>
      </c>
      <c r="CD219" t="s">
        <v>47</v>
      </c>
      <c r="CE219" t="s">
        <v>47</v>
      </c>
      <c r="CF219" t="s">
        <v>47</v>
      </c>
      <c r="CG219" t="s">
        <v>47</v>
      </c>
      <c r="CH219" t="s">
        <v>47</v>
      </c>
      <c r="CI219" t="s">
        <v>47</v>
      </c>
      <c r="CJ219" t="s">
        <v>47</v>
      </c>
      <c r="CK219"/>
    </row>
    <row r="220" spans="1:89" s="7" customFormat="1" x14ac:dyDescent="0.25">
      <c r="A220" t="s">
        <v>1475</v>
      </c>
      <c r="B220" t="s">
        <v>1476</v>
      </c>
      <c r="C220" t="s">
        <v>1160</v>
      </c>
      <c r="D220" t="s">
        <v>1928</v>
      </c>
      <c r="E220">
        <v>982</v>
      </c>
      <c r="F220" t="s">
        <v>1312</v>
      </c>
      <c r="G220">
        <v>1211</v>
      </c>
      <c r="H220" s="9">
        <v>3.5</v>
      </c>
      <c r="I220" t="s">
        <v>1312</v>
      </c>
      <c r="J220" t="s">
        <v>240</v>
      </c>
      <c r="K220" t="s">
        <v>2154</v>
      </c>
      <c r="L220" t="s">
        <v>2155</v>
      </c>
      <c r="M220" s="10" t="str">
        <f>HYPERLINK(cna_product_database_catalog_website[[#This Row],[Spec Sheet Link]], cna_product_database_catalog_website[[#Headers],[Spec Sheet Link]])</f>
        <v>Spec Sheet Link</v>
      </c>
      <c r="N220" t="s">
        <v>46</v>
      </c>
      <c r="O220">
        <v>1</v>
      </c>
      <c r="P220">
        <v>1</v>
      </c>
      <c r="Q220" t="s">
        <v>432</v>
      </c>
      <c r="R220" t="s">
        <v>433</v>
      </c>
      <c r="S220" t="s">
        <v>101</v>
      </c>
      <c r="T220" t="s">
        <v>440</v>
      </c>
      <c r="U220" t="s">
        <v>434</v>
      </c>
      <c r="V220" t="s">
        <v>435</v>
      </c>
      <c r="W220" t="s">
        <v>68</v>
      </c>
      <c r="X220" t="s">
        <v>441</v>
      </c>
      <c r="Y220" t="s">
        <v>47</v>
      </c>
      <c r="Z220" t="s">
        <v>552</v>
      </c>
      <c r="AA220" t="s">
        <v>69</v>
      </c>
      <c r="AB220" t="s">
        <v>47</v>
      </c>
      <c r="AC220" t="s">
        <v>47</v>
      </c>
      <c r="AD220" t="s">
        <v>53</v>
      </c>
      <c r="AE220"/>
      <c r="AF220" t="s">
        <v>47</v>
      </c>
      <c r="AG220" t="s">
        <v>436</v>
      </c>
      <c r="AH220" t="s">
        <v>47</v>
      </c>
      <c r="AI220" t="s">
        <v>47</v>
      </c>
      <c r="AJ220"/>
      <c r="AK220"/>
      <c r="AL220" t="s">
        <v>47</v>
      </c>
      <c r="AM220"/>
      <c r="AN220"/>
      <c r="AO220" t="s">
        <v>437</v>
      </c>
      <c r="AP220" t="s">
        <v>47</v>
      </c>
      <c r="AQ220" t="s">
        <v>47</v>
      </c>
      <c r="AR220"/>
      <c r="AS220"/>
      <c r="AT220"/>
      <c r="AU220"/>
      <c r="AV220" t="s">
        <v>438</v>
      </c>
      <c r="AW220" t="s">
        <v>47</v>
      </c>
      <c r="AX220">
        <v>50</v>
      </c>
      <c r="AY220">
        <v>100</v>
      </c>
      <c r="AZ220"/>
      <c r="BA220"/>
      <c r="BB220"/>
      <c r="BC220">
        <v>0</v>
      </c>
      <c r="BD220">
        <v>0</v>
      </c>
      <c r="BE220" t="s">
        <v>47</v>
      </c>
      <c r="BF220"/>
      <c r="BG220"/>
      <c r="BH220"/>
      <c r="BI220">
        <v>0</v>
      </c>
      <c r="BJ220">
        <v>0</v>
      </c>
      <c r="BK220"/>
      <c r="BL220"/>
      <c r="BM220" t="s">
        <v>47</v>
      </c>
      <c r="BN220" t="s">
        <v>47</v>
      </c>
      <c r="BO220" t="s">
        <v>47</v>
      </c>
      <c r="BP220" t="s">
        <v>47</v>
      </c>
      <c r="BQ220" t="s">
        <v>47</v>
      </c>
      <c r="BR220"/>
      <c r="BS220" t="s">
        <v>47</v>
      </c>
      <c r="BT220" t="s">
        <v>47</v>
      </c>
      <c r="BU220" t="s">
        <v>47</v>
      </c>
      <c r="BV220"/>
      <c r="BW220" t="s">
        <v>47</v>
      </c>
      <c r="BX220" t="s">
        <v>47</v>
      </c>
      <c r="BY220" t="s">
        <v>47</v>
      </c>
      <c r="BZ220" t="s">
        <v>47</v>
      </c>
      <c r="CA220" t="s">
        <v>47</v>
      </c>
      <c r="CB220" t="s">
        <v>47</v>
      </c>
      <c r="CC220" t="s">
        <v>47</v>
      </c>
      <c r="CD220" t="s">
        <v>47</v>
      </c>
      <c r="CE220" t="s">
        <v>47</v>
      </c>
      <c r="CF220" t="s">
        <v>47</v>
      </c>
      <c r="CG220" t="s">
        <v>47</v>
      </c>
      <c r="CH220" t="s">
        <v>47</v>
      </c>
      <c r="CI220" t="s">
        <v>47</v>
      </c>
      <c r="CJ220" t="s">
        <v>47</v>
      </c>
      <c r="CK220"/>
    </row>
    <row r="221" spans="1:89" s="7" customFormat="1" x14ac:dyDescent="0.25">
      <c r="A221" t="s">
        <v>1475</v>
      </c>
      <c r="B221" t="s">
        <v>1477</v>
      </c>
      <c r="C221" t="s">
        <v>1163</v>
      </c>
      <c r="D221" t="s">
        <v>1929</v>
      </c>
      <c r="E221">
        <v>990</v>
      </c>
      <c r="F221" t="s">
        <v>1315</v>
      </c>
      <c r="G221">
        <v>1073</v>
      </c>
      <c r="H221" s="9">
        <v>9.5</v>
      </c>
      <c r="I221" t="s">
        <v>1315</v>
      </c>
      <c r="J221" t="s">
        <v>668</v>
      </c>
      <c r="K221" t="s">
        <v>2156</v>
      </c>
      <c r="L221" t="s">
        <v>2157</v>
      </c>
      <c r="M221" s="10" t="str">
        <f>HYPERLINK(cna_product_database_catalog_website[[#This Row],[Spec Sheet Link]], cna_product_database_catalog_website[[#Headers],[Spec Sheet Link]])</f>
        <v>Spec Sheet Link</v>
      </c>
      <c r="N221" t="s">
        <v>46</v>
      </c>
      <c r="O221">
        <v>1</v>
      </c>
      <c r="P221">
        <v>1</v>
      </c>
      <c r="Q221" t="s">
        <v>432</v>
      </c>
      <c r="R221" t="s">
        <v>433</v>
      </c>
      <c r="S221" t="s">
        <v>101</v>
      </c>
      <c r="T221" t="s">
        <v>213</v>
      </c>
      <c r="U221" t="s">
        <v>434</v>
      </c>
      <c r="V221" t="s">
        <v>435</v>
      </c>
      <c r="W221" t="s">
        <v>443</v>
      </c>
      <c r="X221" t="s">
        <v>441</v>
      </c>
      <c r="Y221" t="s">
        <v>47</v>
      </c>
      <c r="Z221" t="s">
        <v>552</v>
      </c>
      <c r="AA221" t="s">
        <v>69</v>
      </c>
      <c r="AB221" t="s">
        <v>47</v>
      </c>
      <c r="AC221" t="s">
        <v>47</v>
      </c>
      <c r="AD221" t="s">
        <v>53</v>
      </c>
      <c r="AE221"/>
      <c r="AF221" t="s">
        <v>47</v>
      </c>
      <c r="AG221" t="s">
        <v>444</v>
      </c>
      <c r="AH221" t="s">
        <v>47</v>
      </c>
      <c r="AI221" t="s">
        <v>47</v>
      </c>
      <c r="AJ221"/>
      <c r="AK221"/>
      <c r="AL221" t="s">
        <v>47</v>
      </c>
      <c r="AM221"/>
      <c r="AN221"/>
      <c r="AO221" t="s">
        <v>437</v>
      </c>
      <c r="AP221" t="s">
        <v>47</v>
      </c>
      <c r="AQ221" t="s">
        <v>47</v>
      </c>
      <c r="AR221"/>
      <c r="AS221"/>
      <c r="AT221"/>
      <c r="AU221"/>
      <c r="AV221" t="s">
        <v>438</v>
      </c>
      <c r="AW221" t="s">
        <v>47</v>
      </c>
      <c r="AX221">
        <v>50</v>
      </c>
      <c r="AY221">
        <v>100</v>
      </c>
      <c r="AZ221"/>
      <c r="BA221"/>
      <c r="BB221"/>
      <c r="BC221">
        <v>0</v>
      </c>
      <c r="BD221">
        <v>0</v>
      </c>
      <c r="BE221" t="s">
        <v>47</v>
      </c>
      <c r="BF221"/>
      <c r="BG221"/>
      <c r="BH221"/>
      <c r="BI221">
        <v>0</v>
      </c>
      <c r="BJ221">
        <v>0</v>
      </c>
      <c r="BK221"/>
      <c r="BL221"/>
      <c r="BM221" t="s">
        <v>47</v>
      </c>
      <c r="BN221" t="s">
        <v>47</v>
      </c>
      <c r="BO221" t="s">
        <v>47</v>
      </c>
      <c r="BP221" t="s">
        <v>47</v>
      </c>
      <c r="BQ221" t="s">
        <v>47</v>
      </c>
      <c r="BR221"/>
      <c r="BS221" t="s">
        <v>47</v>
      </c>
      <c r="BT221" t="s">
        <v>47</v>
      </c>
      <c r="BU221" t="s">
        <v>47</v>
      </c>
      <c r="BV221"/>
      <c r="BW221" t="s">
        <v>47</v>
      </c>
      <c r="BX221" t="s">
        <v>47</v>
      </c>
      <c r="BY221" t="s">
        <v>47</v>
      </c>
      <c r="BZ221" t="s">
        <v>47</v>
      </c>
      <c r="CA221" t="s">
        <v>47</v>
      </c>
      <c r="CB221" t="s">
        <v>47</v>
      </c>
      <c r="CC221" t="s">
        <v>47</v>
      </c>
      <c r="CD221" t="s">
        <v>47</v>
      </c>
      <c r="CE221" t="s">
        <v>47</v>
      </c>
      <c r="CF221" t="s">
        <v>47</v>
      </c>
      <c r="CG221" t="s">
        <v>47</v>
      </c>
      <c r="CH221" t="s">
        <v>47</v>
      </c>
      <c r="CI221" t="s">
        <v>47</v>
      </c>
      <c r="CJ221" t="s">
        <v>47</v>
      </c>
      <c r="CK221"/>
    </row>
    <row r="222" spans="1:89" s="7" customFormat="1" x14ac:dyDescent="0.25">
      <c r="A222" t="s">
        <v>1475</v>
      </c>
      <c r="B222" t="s">
        <v>1478</v>
      </c>
      <c r="C222" t="s">
        <v>1164</v>
      </c>
      <c r="D222" t="s">
        <v>1930</v>
      </c>
      <c r="E222">
        <v>1000</v>
      </c>
      <c r="F222" t="s">
        <v>1316</v>
      </c>
      <c r="G222">
        <v>943</v>
      </c>
      <c r="H222" s="9">
        <v>9.5</v>
      </c>
      <c r="I222" t="s">
        <v>1316</v>
      </c>
      <c r="J222" t="s">
        <v>245</v>
      </c>
      <c r="K222" t="s">
        <v>2158</v>
      </c>
      <c r="L222" t="s">
        <v>2159</v>
      </c>
      <c r="M222" s="10" t="str">
        <f>HYPERLINK(cna_product_database_catalog_website[[#This Row],[Spec Sheet Link]], cna_product_database_catalog_website[[#Headers],[Spec Sheet Link]])</f>
        <v>Spec Sheet Link</v>
      </c>
      <c r="N222" t="s">
        <v>46</v>
      </c>
      <c r="O222">
        <v>1</v>
      </c>
      <c r="P222">
        <v>1</v>
      </c>
      <c r="Q222" t="s">
        <v>92</v>
      </c>
      <c r="R222" t="s">
        <v>50</v>
      </c>
      <c r="S222" t="s">
        <v>47</v>
      </c>
      <c r="T222" t="s">
        <v>47</v>
      </c>
      <c r="U222" t="s">
        <v>47</v>
      </c>
      <c r="V222" t="s">
        <v>47</v>
      </c>
      <c r="W222" t="s">
        <v>68</v>
      </c>
      <c r="X222" t="s">
        <v>59</v>
      </c>
      <c r="Y222" t="s">
        <v>47</v>
      </c>
      <c r="Z222"/>
      <c r="AA222" t="s">
        <v>47</v>
      </c>
      <c r="AB222" t="s">
        <v>47</v>
      </c>
      <c r="AC222" t="s">
        <v>47</v>
      </c>
      <c r="AD222" t="s">
        <v>47</v>
      </c>
      <c r="AE222"/>
      <c r="AF222" t="s">
        <v>47</v>
      </c>
      <c r="AG222" t="s">
        <v>47</v>
      </c>
      <c r="AH222" t="s">
        <v>47</v>
      </c>
      <c r="AI222" t="s">
        <v>47</v>
      </c>
      <c r="AJ222"/>
      <c r="AK222"/>
      <c r="AL222" t="s">
        <v>47</v>
      </c>
      <c r="AM222"/>
      <c r="AN222"/>
      <c r="AO222" t="s">
        <v>47</v>
      </c>
      <c r="AP222" t="s">
        <v>47</v>
      </c>
      <c r="AQ222" t="s">
        <v>47</v>
      </c>
      <c r="AR222"/>
      <c r="AS222"/>
      <c r="AT222"/>
      <c r="AU222"/>
      <c r="AV222" t="s">
        <v>447</v>
      </c>
      <c r="AW222" t="s">
        <v>47</v>
      </c>
      <c r="AX222">
        <v>50</v>
      </c>
      <c r="AY222" t="s">
        <v>47</v>
      </c>
      <c r="AZ222"/>
      <c r="BA222"/>
      <c r="BB222"/>
      <c r="BC222">
        <v>0</v>
      </c>
      <c r="BD222">
        <v>0</v>
      </c>
      <c r="BE222" t="s">
        <v>47</v>
      </c>
      <c r="BF222"/>
      <c r="BG222"/>
      <c r="BH222"/>
      <c r="BI222">
        <v>0</v>
      </c>
      <c r="BJ222">
        <v>0</v>
      </c>
      <c r="BK222"/>
      <c r="BL222"/>
      <c r="BM222" t="s">
        <v>47</v>
      </c>
      <c r="BN222" t="s">
        <v>47</v>
      </c>
      <c r="BO222" t="s">
        <v>47</v>
      </c>
      <c r="BP222" t="s">
        <v>47</v>
      </c>
      <c r="BQ222" t="s">
        <v>47</v>
      </c>
      <c r="BR222"/>
      <c r="BS222" t="s">
        <v>47</v>
      </c>
      <c r="BT222" t="s">
        <v>47</v>
      </c>
      <c r="BU222" t="s">
        <v>47</v>
      </c>
      <c r="BV222"/>
      <c r="BW222" t="s">
        <v>47</v>
      </c>
      <c r="BX222" t="s">
        <v>47</v>
      </c>
      <c r="BY222" t="s">
        <v>47</v>
      </c>
      <c r="BZ222" t="s">
        <v>47</v>
      </c>
      <c r="CA222" t="s">
        <v>47</v>
      </c>
      <c r="CB222" t="s">
        <v>47</v>
      </c>
      <c r="CC222" t="s">
        <v>47</v>
      </c>
      <c r="CD222" t="s">
        <v>47</v>
      </c>
      <c r="CE222" t="s">
        <v>47</v>
      </c>
      <c r="CF222" t="s">
        <v>47</v>
      </c>
      <c r="CG222" t="s">
        <v>47</v>
      </c>
      <c r="CH222" t="s">
        <v>47</v>
      </c>
      <c r="CI222" t="s">
        <v>47</v>
      </c>
      <c r="CJ222" t="s">
        <v>47</v>
      </c>
      <c r="CK222"/>
    </row>
    <row r="223" spans="1:89" s="7" customFormat="1" x14ac:dyDescent="0.25">
      <c r="A223" t="s">
        <v>1475</v>
      </c>
      <c r="B223" t="s">
        <v>1478</v>
      </c>
      <c r="C223" t="s">
        <v>1165</v>
      </c>
      <c r="D223" t="s">
        <v>1931</v>
      </c>
      <c r="E223">
        <v>1001</v>
      </c>
      <c r="F223" t="s">
        <v>1317</v>
      </c>
      <c r="G223">
        <v>955</v>
      </c>
      <c r="H223" s="9">
        <v>9.5</v>
      </c>
      <c r="I223" t="s">
        <v>1317</v>
      </c>
      <c r="J223" t="s">
        <v>246</v>
      </c>
      <c r="K223" t="s">
        <v>2158</v>
      </c>
      <c r="L223" t="s">
        <v>2159</v>
      </c>
      <c r="M223" s="10" t="str">
        <f>HYPERLINK(cna_product_database_catalog_website[[#This Row],[Spec Sheet Link]], cna_product_database_catalog_website[[#Headers],[Spec Sheet Link]])</f>
        <v>Spec Sheet Link</v>
      </c>
      <c r="N223" t="s">
        <v>46</v>
      </c>
      <c r="O223">
        <v>1</v>
      </c>
      <c r="P223">
        <v>1</v>
      </c>
      <c r="Q223" t="s">
        <v>129</v>
      </c>
      <c r="R223" t="s">
        <v>50</v>
      </c>
      <c r="S223" t="s">
        <v>47</v>
      </c>
      <c r="T223" t="s">
        <v>47</v>
      </c>
      <c r="U223" t="s">
        <v>47</v>
      </c>
      <c r="V223" t="s">
        <v>47</v>
      </c>
      <c r="W223" t="s">
        <v>68</v>
      </c>
      <c r="X223" t="s">
        <v>59</v>
      </c>
      <c r="Y223" t="s">
        <v>47</v>
      </c>
      <c r="Z223" t="s">
        <v>47</v>
      </c>
      <c r="AA223" t="s">
        <v>47</v>
      </c>
      <c r="AB223" t="s">
        <v>47</v>
      </c>
      <c r="AC223" t="s">
        <v>47</v>
      </c>
      <c r="AD223" t="s">
        <v>47</v>
      </c>
      <c r="AE223"/>
      <c r="AF223" t="s">
        <v>47</v>
      </c>
      <c r="AG223" t="s">
        <v>47</v>
      </c>
      <c r="AH223" t="s">
        <v>47</v>
      </c>
      <c r="AI223" t="s">
        <v>47</v>
      </c>
      <c r="AJ223"/>
      <c r="AK223"/>
      <c r="AL223" t="s">
        <v>47</v>
      </c>
      <c r="AM223"/>
      <c r="AN223"/>
      <c r="AO223" t="s">
        <v>47</v>
      </c>
      <c r="AP223" t="s">
        <v>47</v>
      </c>
      <c r="AQ223" t="s">
        <v>47</v>
      </c>
      <c r="AR223"/>
      <c r="AS223"/>
      <c r="AT223"/>
      <c r="AU223"/>
      <c r="AV223" t="s">
        <v>449</v>
      </c>
      <c r="AW223" t="s">
        <v>47</v>
      </c>
      <c r="AX223">
        <v>20</v>
      </c>
      <c r="AY223" t="s">
        <v>47</v>
      </c>
      <c r="AZ223"/>
      <c r="BA223"/>
      <c r="BB223"/>
      <c r="BC223">
        <v>0</v>
      </c>
      <c r="BD223">
        <v>0</v>
      </c>
      <c r="BE223" t="s">
        <v>47</v>
      </c>
      <c r="BF223"/>
      <c r="BG223"/>
      <c r="BH223"/>
      <c r="BI223">
        <v>0</v>
      </c>
      <c r="BJ223">
        <v>0</v>
      </c>
      <c r="BK223"/>
      <c r="BL223"/>
      <c r="BM223" t="s">
        <v>47</v>
      </c>
      <c r="BN223" t="s">
        <v>47</v>
      </c>
      <c r="BO223" t="s">
        <v>47</v>
      </c>
      <c r="BP223" t="s">
        <v>47</v>
      </c>
      <c r="BQ223" t="s">
        <v>47</v>
      </c>
      <c r="BR223"/>
      <c r="BS223" t="s">
        <v>47</v>
      </c>
      <c r="BT223" t="s">
        <v>47</v>
      </c>
      <c r="BU223" t="s">
        <v>47</v>
      </c>
      <c r="BV223"/>
      <c r="BW223" t="s">
        <v>47</v>
      </c>
      <c r="BX223" t="s">
        <v>47</v>
      </c>
      <c r="BY223" t="s">
        <v>47</v>
      </c>
      <c r="BZ223" t="s">
        <v>47</v>
      </c>
      <c r="CA223" t="s">
        <v>47</v>
      </c>
      <c r="CB223" t="s">
        <v>47</v>
      </c>
      <c r="CC223" t="s">
        <v>47</v>
      </c>
      <c r="CD223" t="s">
        <v>47</v>
      </c>
      <c r="CE223" t="s">
        <v>47</v>
      </c>
      <c r="CF223" t="s">
        <v>47</v>
      </c>
      <c r="CG223" t="s">
        <v>47</v>
      </c>
      <c r="CH223" t="s">
        <v>47</v>
      </c>
      <c r="CI223" t="s">
        <v>47</v>
      </c>
      <c r="CJ223" t="s">
        <v>47</v>
      </c>
      <c r="CK223"/>
    </row>
    <row r="224" spans="1:89" s="7" customFormat="1" x14ac:dyDescent="0.25">
      <c r="A224" t="s">
        <v>689</v>
      </c>
      <c r="B224" t="s">
        <v>1480</v>
      </c>
      <c r="C224" t="s">
        <v>847</v>
      </c>
      <c r="D224" t="s">
        <v>1932</v>
      </c>
      <c r="E224">
        <v>1100</v>
      </c>
      <c r="F224" t="s">
        <v>322</v>
      </c>
      <c r="G224">
        <v>1115</v>
      </c>
      <c r="H224" s="9">
        <v>48</v>
      </c>
      <c r="I224" t="s">
        <v>322</v>
      </c>
      <c r="J224" t="s">
        <v>848</v>
      </c>
      <c r="K224" t="s">
        <v>2160</v>
      </c>
      <c r="L224" t="s">
        <v>2161</v>
      </c>
      <c r="M224" s="10" t="str">
        <f>HYPERLINK(cna_product_database_catalog_website[[#This Row],[Spec Sheet Link]], cna_product_database_catalog_website[[#Headers],[Spec Sheet Link]])</f>
        <v>Spec Sheet Link</v>
      </c>
      <c r="N224" t="s">
        <v>46</v>
      </c>
      <c r="O224">
        <v>1</v>
      </c>
      <c r="P224">
        <v>1</v>
      </c>
      <c r="Q224" t="s">
        <v>74</v>
      </c>
      <c r="R224" t="s">
        <v>451</v>
      </c>
      <c r="S224" t="s">
        <v>47</v>
      </c>
      <c r="T224" t="s">
        <v>47</v>
      </c>
      <c r="U224" t="s">
        <v>47</v>
      </c>
      <c r="V224" t="s">
        <v>47</v>
      </c>
      <c r="W224" t="s">
        <v>47</v>
      </c>
      <c r="X224" t="s">
        <v>47</v>
      </c>
      <c r="Y224" t="s">
        <v>47</v>
      </c>
      <c r="Z224" t="s">
        <v>47</v>
      </c>
      <c r="AA224" t="s">
        <v>47</v>
      </c>
      <c r="AB224" t="s">
        <v>47</v>
      </c>
      <c r="AC224" t="s">
        <v>47</v>
      </c>
      <c r="AD224" t="s">
        <v>47</v>
      </c>
      <c r="AE224"/>
      <c r="AF224" t="s">
        <v>47</v>
      </c>
      <c r="AG224" t="s">
        <v>47</v>
      </c>
      <c r="AH224" t="s">
        <v>47</v>
      </c>
      <c r="AI224" t="s">
        <v>47</v>
      </c>
      <c r="AJ224"/>
      <c r="AK224"/>
      <c r="AL224" t="s">
        <v>47</v>
      </c>
      <c r="AM224"/>
      <c r="AN224"/>
      <c r="AO224" t="s">
        <v>47</v>
      </c>
      <c r="AP224" t="s">
        <v>47</v>
      </c>
      <c r="AQ224" t="s">
        <v>47</v>
      </c>
      <c r="AR224"/>
      <c r="AS224"/>
      <c r="AT224"/>
      <c r="AU224"/>
      <c r="AV224" t="s">
        <v>452</v>
      </c>
      <c r="AW224" t="s">
        <v>47</v>
      </c>
      <c r="AX224">
        <v>50</v>
      </c>
      <c r="AY224" t="s">
        <v>47</v>
      </c>
      <c r="AZ224"/>
      <c r="BA224"/>
      <c r="BB224"/>
      <c r="BC224">
        <v>0</v>
      </c>
      <c r="BD224">
        <v>0</v>
      </c>
      <c r="BE224" t="s">
        <v>47</v>
      </c>
      <c r="BF224"/>
      <c r="BG224"/>
      <c r="BH224"/>
      <c r="BI224">
        <v>0</v>
      </c>
      <c r="BJ224">
        <v>0</v>
      </c>
      <c r="BK224"/>
      <c r="BL224"/>
      <c r="BM224" t="s">
        <v>47</v>
      </c>
      <c r="BN224" t="s">
        <v>47</v>
      </c>
      <c r="BO224" t="s">
        <v>47</v>
      </c>
      <c r="BP224" t="s">
        <v>47</v>
      </c>
      <c r="BQ224" t="s">
        <v>47</v>
      </c>
      <c r="BR224"/>
      <c r="BS224" t="s">
        <v>47</v>
      </c>
      <c r="BT224" t="s">
        <v>47</v>
      </c>
      <c r="BU224" t="s">
        <v>47</v>
      </c>
      <c r="BV224"/>
      <c r="BW224" t="s">
        <v>47</v>
      </c>
      <c r="BX224" t="s">
        <v>47</v>
      </c>
      <c r="BY224" t="s">
        <v>47</v>
      </c>
      <c r="BZ224" t="s">
        <v>47</v>
      </c>
      <c r="CA224" t="s">
        <v>47</v>
      </c>
      <c r="CB224" t="s">
        <v>47</v>
      </c>
      <c r="CC224" t="s">
        <v>47</v>
      </c>
      <c r="CD224" t="s">
        <v>47</v>
      </c>
      <c r="CE224" t="s">
        <v>47</v>
      </c>
      <c r="CF224" t="s">
        <v>47</v>
      </c>
      <c r="CG224" t="s">
        <v>47</v>
      </c>
      <c r="CH224" t="s">
        <v>47</v>
      </c>
      <c r="CI224" t="s">
        <v>47</v>
      </c>
      <c r="CJ224" t="s">
        <v>47</v>
      </c>
      <c r="CK224"/>
    </row>
    <row r="225" spans="1:89" s="7" customFormat="1" x14ac:dyDescent="0.25">
      <c r="A225" t="s">
        <v>689</v>
      </c>
      <c r="B225" t="s">
        <v>1480</v>
      </c>
      <c r="C225" t="s">
        <v>849</v>
      </c>
      <c r="D225" t="s">
        <v>1933</v>
      </c>
      <c r="E225">
        <v>1101</v>
      </c>
      <c r="F225" t="s">
        <v>323</v>
      </c>
      <c r="G225">
        <v>1113</v>
      </c>
      <c r="H225" s="9">
        <v>3.5</v>
      </c>
      <c r="I225" t="s">
        <v>323</v>
      </c>
      <c r="J225" t="s">
        <v>850</v>
      </c>
      <c r="K225" t="s">
        <v>2162</v>
      </c>
      <c r="L225" t="s">
        <v>2161</v>
      </c>
      <c r="M225" s="10" t="str">
        <f>HYPERLINK(cna_product_database_catalog_website[[#This Row],[Spec Sheet Link]], cna_product_database_catalog_website[[#Headers],[Spec Sheet Link]])</f>
        <v>Spec Sheet Link</v>
      </c>
      <c r="N225" t="s">
        <v>46</v>
      </c>
      <c r="O225">
        <v>1</v>
      </c>
      <c r="P225">
        <v>1</v>
      </c>
      <c r="Q225" t="s">
        <v>74</v>
      </c>
      <c r="R225" t="s">
        <v>451</v>
      </c>
      <c r="S225" t="s">
        <v>47</v>
      </c>
      <c r="T225" t="s">
        <v>47</v>
      </c>
      <c r="U225" t="s">
        <v>47</v>
      </c>
      <c r="V225" t="s">
        <v>47</v>
      </c>
      <c r="W225" t="s">
        <v>47</v>
      </c>
      <c r="X225" t="s">
        <v>47</v>
      </c>
      <c r="Y225" t="s">
        <v>47</v>
      </c>
      <c r="Z225" t="s">
        <v>47</v>
      </c>
      <c r="AA225" t="s">
        <v>47</v>
      </c>
      <c r="AB225" t="s">
        <v>47</v>
      </c>
      <c r="AC225" t="s">
        <v>47</v>
      </c>
      <c r="AD225" t="s">
        <v>47</v>
      </c>
      <c r="AE225"/>
      <c r="AF225" t="s">
        <v>47</v>
      </c>
      <c r="AG225" t="s">
        <v>47</v>
      </c>
      <c r="AH225" t="s">
        <v>47</v>
      </c>
      <c r="AI225" t="s">
        <v>47</v>
      </c>
      <c r="AJ225"/>
      <c r="AK225"/>
      <c r="AL225" t="s">
        <v>47</v>
      </c>
      <c r="AM225"/>
      <c r="AN225"/>
      <c r="AO225" t="s">
        <v>47</v>
      </c>
      <c r="AP225" t="s">
        <v>47</v>
      </c>
      <c r="AQ225" t="s">
        <v>47</v>
      </c>
      <c r="AR225"/>
      <c r="AS225"/>
      <c r="AT225"/>
      <c r="AU225"/>
      <c r="AV225" t="s">
        <v>452</v>
      </c>
      <c r="AW225" t="s">
        <v>47</v>
      </c>
      <c r="AX225">
        <v>50</v>
      </c>
      <c r="AY225" t="s">
        <v>47</v>
      </c>
      <c r="AZ225"/>
      <c r="BA225"/>
      <c r="BB225"/>
      <c r="BC225">
        <v>0</v>
      </c>
      <c r="BD225">
        <v>0</v>
      </c>
      <c r="BE225" t="s">
        <v>47</v>
      </c>
      <c r="BF225"/>
      <c r="BG225"/>
      <c r="BH225"/>
      <c r="BI225">
        <v>0</v>
      </c>
      <c r="BJ225">
        <v>0</v>
      </c>
      <c r="BK225"/>
      <c r="BL225"/>
      <c r="BM225" t="s">
        <v>47</v>
      </c>
      <c r="BN225" t="s">
        <v>47</v>
      </c>
      <c r="BO225" t="s">
        <v>47</v>
      </c>
      <c r="BP225" t="s">
        <v>47</v>
      </c>
      <c r="BQ225" t="s">
        <v>47</v>
      </c>
      <c r="BR225"/>
      <c r="BS225" t="s">
        <v>47</v>
      </c>
      <c r="BT225" t="s">
        <v>47</v>
      </c>
      <c r="BU225" t="s">
        <v>47</v>
      </c>
      <c r="BV225"/>
      <c r="BW225" t="s">
        <v>47</v>
      </c>
      <c r="BX225" t="s">
        <v>47</v>
      </c>
      <c r="BY225" t="s">
        <v>47</v>
      </c>
      <c r="BZ225" t="s">
        <v>47</v>
      </c>
      <c r="CA225" t="s">
        <v>47</v>
      </c>
      <c r="CB225" t="s">
        <v>47</v>
      </c>
      <c r="CC225" t="s">
        <v>47</v>
      </c>
      <c r="CD225" t="s">
        <v>47</v>
      </c>
      <c r="CE225" t="s">
        <v>47</v>
      </c>
      <c r="CF225" t="s">
        <v>47</v>
      </c>
      <c r="CG225" t="s">
        <v>47</v>
      </c>
      <c r="CH225" t="s">
        <v>47</v>
      </c>
      <c r="CI225" t="s">
        <v>47</v>
      </c>
      <c r="CJ225" t="s">
        <v>47</v>
      </c>
      <c r="CK225"/>
    </row>
    <row r="226" spans="1:89" s="7" customFormat="1" x14ac:dyDescent="0.25">
      <c r="A226" t="s">
        <v>689</v>
      </c>
      <c r="B226" t="s">
        <v>1481</v>
      </c>
      <c r="C226" t="s">
        <v>1481</v>
      </c>
      <c r="D226" t="s">
        <v>1934</v>
      </c>
      <c r="E226">
        <v>1105</v>
      </c>
      <c r="F226" t="s">
        <v>565</v>
      </c>
      <c r="G226">
        <v>1134</v>
      </c>
      <c r="H226" s="9">
        <v>34</v>
      </c>
      <c r="I226" t="s">
        <v>565</v>
      </c>
      <c r="J226" t="s">
        <v>178</v>
      </c>
      <c r="K226" t="s">
        <v>179</v>
      </c>
      <c r="L226" t="s">
        <v>1732</v>
      </c>
      <c r="M226" s="10" t="str">
        <f>HYPERLINK(cna_product_database_catalog_website[[#This Row],[Spec Sheet Link]], cna_product_database_catalog_website[[#Headers],[Spec Sheet Link]])</f>
        <v>Spec Sheet Link</v>
      </c>
      <c r="N226" t="s">
        <v>46</v>
      </c>
      <c r="O226">
        <v>1</v>
      </c>
      <c r="P226">
        <v>1</v>
      </c>
      <c r="Q226" t="s">
        <v>123</v>
      </c>
      <c r="R226" t="s">
        <v>451</v>
      </c>
      <c r="S226" t="s">
        <v>47</v>
      </c>
      <c r="T226" t="s">
        <v>47</v>
      </c>
      <c r="U226" t="s">
        <v>47</v>
      </c>
      <c r="V226" t="s">
        <v>47</v>
      </c>
      <c r="W226" t="s">
        <v>47</v>
      </c>
      <c r="X226" t="s">
        <v>47</v>
      </c>
      <c r="Y226" t="s">
        <v>47</v>
      </c>
      <c r="Z226" t="s">
        <v>47</v>
      </c>
      <c r="AA226" t="s">
        <v>47</v>
      </c>
      <c r="AB226" t="s">
        <v>47</v>
      </c>
      <c r="AC226" t="s">
        <v>47</v>
      </c>
      <c r="AD226" t="s">
        <v>47</v>
      </c>
      <c r="AE226"/>
      <c r="AF226" t="s">
        <v>47</v>
      </c>
      <c r="AG226" t="s">
        <v>47</v>
      </c>
      <c r="AH226" t="s">
        <v>47</v>
      </c>
      <c r="AI226" t="s">
        <v>47</v>
      </c>
      <c r="AJ226"/>
      <c r="AK226"/>
      <c r="AL226" t="s">
        <v>47</v>
      </c>
      <c r="AM226"/>
      <c r="AN226"/>
      <c r="AO226" t="s">
        <v>47</v>
      </c>
      <c r="AP226" t="s">
        <v>47</v>
      </c>
      <c r="AQ226" t="s">
        <v>47</v>
      </c>
      <c r="AR226"/>
      <c r="AS226"/>
      <c r="AT226"/>
      <c r="AU226"/>
      <c r="AV226" t="s">
        <v>455</v>
      </c>
      <c r="AW226" t="s">
        <v>47</v>
      </c>
      <c r="AX226">
        <v>50</v>
      </c>
      <c r="AY226" t="s">
        <v>47</v>
      </c>
      <c r="AZ226"/>
      <c r="BA226"/>
      <c r="BB226"/>
      <c r="BC226">
        <v>0</v>
      </c>
      <c r="BD226">
        <v>0</v>
      </c>
      <c r="BE226" t="s">
        <v>47</v>
      </c>
      <c r="BF226"/>
      <c r="BG226"/>
      <c r="BH226"/>
      <c r="BI226">
        <v>0</v>
      </c>
      <c r="BJ226">
        <v>0</v>
      </c>
      <c r="BK226"/>
      <c r="BL226"/>
      <c r="BM226" t="s">
        <v>47</v>
      </c>
      <c r="BN226" t="s">
        <v>47</v>
      </c>
      <c r="BO226" t="s">
        <v>47</v>
      </c>
      <c r="BP226" t="s">
        <v>47</v>
      </c>
      <c r="BQ226" t="s">
        <v>47</v>
      </c>
      <c r="BR226"/>
      <c r="BS226" t="s">
        <v>47</v>
      </c>
      <c r="BT226" t="s">
        <v>47</v>
      </c>
      <c r="BU226" t="s">
        <v>47</v>
      </c>
      <c r="BV226"/>
      <c r="BW226" t="s">
        <v>47</v>
      </c>
      <c r="BX226" t="s">
        <v>47</v>
      </c>
      <c r="BY226" t="s">
        <v>47</v>
      </c>
      <c r="BZ226" t="s">
        <v>47</v>
      </c>
      <c r="CA226" t="s">
        <v>47</v>
      </c>
      <c r="CB226" t="s">
        <v>47</v>
      </c>
      <c r="CC226" t="s">
        <v>47</v>
      </c>
      <c r="CD226" t="s">
        <v>47</v>
      </c>
      <c r="CE226" t="s">
        <v>47</v>
      </c>
      <c r="CF226" t="s">
        <v>47</v>
      </c>
      <c r="CG226" t="s">
        <v>47</v>
      </c>
      <c r="CH226" t="s">
        <v>47</v>
      </c>
      <c r="CI226" t="s">
        <v>47</v>
      </c>
      <c r="CJ226" t="s">
        <v>47</v>
      </c>
      <c r="CK226"/>
    </row>
    <row r="227" spans="1:89" s="7" customFormat="1" x14ac:dyDescent="0.25">
      <c r="A227" t="s">
        <v>689</v>
      </c>
      <c r="B227" t="s">
        <v>1481</v>
      </c>
      <c r="C227" t="s">
        <v>851</v>
      </c>
      <c r="D227" t="s">
        <v>1935</v>
      </c>
      <c r="E227">
        <v>1106</v>
      </c>
      <c r="F227" t="s">
        <v>189</v>
      </c>
      <c r="G227">
        <v>1057</v>
      </c>
      <c r="H227" s="9">
        <v>5</v>
      </c>
      <c r="I227" t="s">
        <v>189</v>
      </c>
      <c r="J227" t="s">
        <v>189</v>
      </c>
      <c r="K227" t="s">
        <v>1734</v>
      </c>
      <c r="L227" t="s">
        <v>45</v>
      </c>
      <c r="M227" s="10"/>
      <c r="N227" t="s">
        <v>46</v>
      </c>
      <c r="O227">
        <v>1</v>
      </c>
      <c r="P227">
        <v>1</v>
      </c>
      <c r="Q227" t="s">
        <v>92</v>
      </c>
      <c r="R227" t="s">
        <v>451</v>
      </c>
      <c r="S227" t="s">
        <v>47</v>
      </c>
      <c r="T227" t="s">
        <v>47</v>
      </c>
      <c r="U227" t="s">
        <v>47</v>
      </c>
      <c r="V227" t="s">
        <v>47</v>
      </c>
      <c r="W227" t="s">
        <v>47</v>
      </c>
      <c r="X227" t="s">
        <v>47</v>
      </c>
      <c r="Y227" t="s">
        <v>47</v>
      </c>
      <c r="Z227" t="s">
        <v>47</v>
      </c>
      <c r="AA227" t="s">
        <v>47</v>
      </c>
      <c r="AB227" t="s">
        <v>47</v>
      </c>
      <c r="AC227" t="s">
        <v>47</v>
      </c>
      <c r="AD227" t="s">
        <v>47</v>
      </c>
      <c r="AE227"/>
      <c r="AF227" t="s">
        <v>47</v>
      </c>
      <c r="AG227" t="s">
        <v>47</v>
      </c>
      <c r="AH227" t="s">
        <v>47</v>
      </c>
      <c r="AI227" t="s">
        <v>47</v>
      </c>
      <c r="AJ227"/>
      <c r="AK227"/>
      <c r="AL227" t="s">
        <v>47</v>
      </c>
      <c r="AM227"/>
      <c r="AN227"/>
      <c r="AO227" t="s">
        <v>47</v>
      </c>
      <c r="AP227" t="s">
        <v>47</v>
      </c>
      <c r="AQ227" t="s">
        <v>47</v>
      </c>
      <c r="AR227"/>
      <c r="AS227"/>
      <c r="AT227"/>
      <c r="AU227"/>
      <c r="AV227" t="s">
        <v>457</v>
      </c>
      <c r="AW227" t="s">
        <v>47</v>
      </c>
      <c r="AX227">
        <v>50</v>
      </c>
      <c r="AY227" t="s">
        <v>47</v>
      </c>
      <c r="AZ227"/>
      <c r="BA227"/>
      <c r="BB227"/>
      <c r="BC227">
        <v>0</v>
      </c>
      <c r="BD227">
        <v>0</v>
      </c>
      <c r="BE227" t="s">
        <v>47</v>
      </c>
      <c r="BF227"/>
      <c r="BG227"/>
      <c r="BH227"/>
      <c r="BI227">
        <v>0</v>
      </c>
      <c r="BJ227">
        <v>0</v>
      </c>
      <c r="BK227"/>
      <c r="BL227"/>
      <c r="BM227" t="s">
        <v>47</v>
      </c>
      <c r="BN227" t="s">
        <v>47</v>
      </c>
      <c r="BO227" t="s">
        <v>47</v>
      </c>
      <c r="BP227" t="s">
        <v>47</v>
      </c>
      <c r="BQ227" t="s">
        <v>47</v>
      </c>
      <c r="BR227"/>
      <c r="BS227" t="s">
        <v>47</v>
      </c>
      <c r="BT227" t="s">
        <v>47</v>
      </c>
      <c r="BU227" t="s">
        <v>47</v>
      </c>
      <c r="BV227"/>
      <c r="BW227" t="s">
        <v>47</v>
      </c>
      <c r="BX227" t="s">
        <v>47</v>
      </c>
      <c r="BY227" t="s">
        <v>47</v>
      </c>
      <c r="BZ227" t="s">
        <v>47</v>
      </c>
      <c r="CA227" t="s">
        <v>47</v>
      </c>
      <c r="CB227" t="s">
        <v>47</v>
      </c>
      <c r="CC227" t="s">
        <v>47</v>
      </c>
      <c r="CD227" t="s">
        <v>47</v>
      </c>
      <c r="CE227" t="s">
        <v>47</v>
      </c>
      <c r="CF227" t="s">
        <v>47</v>
      </c>
      <c r="CG227" t="s">
        <v>47</v>
      </c>
      <c r="CH227" t="s">
        <v>47</v>
      </c>
      <c r="CI227" t="s">
        <v>47</v>
      </c>
      <c r="CJ227" t="s">
        <v>47</v>
      </c>
      <c r="CK227"/>
    </row>
    <row r="228" spans="1:89" s="7" customFormat="1" x14ac:dyDescent="0.25">
      <c r="A228" t="s">
        <v>689</v>
      </c>
      <c r="B228" t="s">
        <v>1482</v>
      </c>
      <c r="C228" t="s">
        <v>852</v>
      </c>
      <c r="D228" t="s">
        <v>1936</v>
      </c>
      <c r="E228">
        <v>1200</v>
      </c>
      <c r="F228" t="s">
        <v>1332</v>
      </c>
      <c r="G228">
        <v>988</v>
      </c>
      <c r="H228" s="9">
        <v>25</v>
      </c>
      <c r="I228" t="s">
        <v>1332</v>
      </c>
      <c r="J228" t="s">
        <v>1333</v>
      </c>
      <c r="K228" t="s">
        <v>2163</v>
      </c>
      <c r="L228" t="s">
        <v>2164</v>
      </c>
      <c r="M228" s="10" t="str">
        <f>HYPERLINK(cna_product_database_catalog_website[[#This Row],[Spec Sheet Link]], cna_product_database_catalog_website[[#Headers],[Spec Sheet Link]])</f>
        <v>Spec Sheet Link</v>
      </c>
      <c r="N228" t="s">
        <v>46</v>
      </c>
      <c r="O228">
        <v>1</v>
      </c>
      <c r="P228">
        <v>1</v>
      </c>
      <c r="Q228" t="s">
        <v>92</v>
      </c>
      <c r="R228" t="s">
        <v>451</v>
      </c>
      <c r="S228" t="s">
        <v>47</v>
      </c>
      <c r="T228" t="s">
        <v>47</v>
      </c>
      <c r="U228" t="s">
        <v>47</v>
      </c>
      <c r="V228" t="s">
        <v>47</v>
      </c>
      <c r="W228" t="s">
        <v>47</v>
      </c>
      <c r="X228" t="s">
        <v>47</v>
      </c>
      <c r="Y228" t="s">
        <v>47</v>
      </c>
      <c r="Z228" t="s">
        <v>47</v>
      </c>
      <c r="AA228" t="s">
        <v>47</v>
      </c>
      <c r="AB228" t="s">
        <v>47</v>
      </c>
      <c r="AC228" t="s">
        <v>47</v>
      </c>
      <c r="AD228" t="s">
        <v>47</v>
      </c>
      <c r="AE228"/>
      <c r="AF228" t="s">
        <v>47</v>
      </c>
      <c r="AG228" t="s">
        <v>47</v>
      </c>
      <c r="AH228" t="s">
        <v>47</v>
      </c>
      <c r="AI228" t="s">
        <v>47</v>
      </c>
      <c r="AJ228"/>
      <c r="AK228"/>
      <c r="AL228" t="s">
        <v>47</v>
      </c>
      <c r="AM228"/>
      <c r="AN228"/>
      <c r="AO228" t="s">
        <v>47</v>
      </c>
      <c r="AP228" t="s">
        <v>47</v>
      </c>
      <c r="AQ228" t="s">
        <v>47</v>
      </c>
      <c r="AR228"/>
      <c r="AS228"/>
      <c r="AT228"/>
      <c r="AU228"/>
      <c r="AV228" t="s">
        <v>459</v>
      </c>
      <c r="AW228" t="s">
        <v>47</v>
      </c>
      <c r="AX228">
        <v>50</v>
      </c>
      <c r="AY228">
        <v>200</v>
      </c>
      <c r="AZ228"/>
      <c r="BA228"/>
      <c r="BB228"/>
      <c r="BC228">
        <v>0</v>
      </c>
      <c r="BD228">
        <v>0</v>
      </c>
      <c r="BE228" t="s">
        <v>47</v>
      </c>
      <c r="BF228"/>
      <c r="BG228"/>
      <c r="BH228"/>
      <c r="BI228">
        <v>0</v>
      </c>
      <c r="BJ228">
        <v>0</v>
      </c>
      <c r="BK228"/>
      <c r="BL228"/>
      <c r="BM228" t="s">
        <v>47</v>
      </c>
      <c r="BN228" t="s">
        <v>47</v>
      </c>
      <c r="BO228" t="s">
        <v>47</v>
      </c>
      <c r="BP228" t="s">
        <v>47</v>
      </c>
      <c r="BQ228" t="s">
        <v>47</v>
      </c>
      <c r="BR228"/>
      <c r="BS228" t="s">
        <v>47</v>
      </c>
      <c r="BT228" t="s">
        <v>47</v>
      </c>
      <c r="BU228" t="s">
        <v>47</v>
      </c>
      <c r="BV228"/>
      <c r="BW228" t="s">
        <v>47</v>
      </c>
      <c r="BX228" t="s">
        <v>47</v>
      </c>
      <c r="BY228" t="s">
        <v>47</v>
      </c>
      <c r="BZ228" t="s">
        <v>47</v>
      </c>
      <c r="CA228" t="s">
        <v>47</v>
      </c>
      <c r="CB228" t="s">
        <v>47</v>
      </c>
      <c r="CC228" t="s">
        <v>47</v>
      </c>
      <c r="CD228" t="s">
        <v>47</v>
      </c>
      <c r="CE228" t="s">
        <v>47</v>
      </c>
      <c r="CF228" t="s">
        <v>47</v>
      </c>
      <c r="CG228" t="s">
        <v>47</v>
      </c>
      <c r="CH228" t="s">
        <v>47</v>
      </c>
      <c r="CI228" t="s">
        <v>47</v>
      </c>
      <c r="CJ228" t="s">
        <v>47</v>
      </c>
      <c r="CK228"/>
    </row>
    <row r="229" spans="1:89" s="7" customFormat="1" x14ac:dyDescent="0.25">
      <c r="A229" t="s">
        <v>689</v>
      </c>
      <c r="B229" t="s">
        <v>1483</v>
      </c>
      <c r="C229" t="s">
        <v>853</v>
      </c>
      <c r="D229" t="s">
        <v>1937</v>
      </c>
      <c r="E229">
        <v>1201</v>
      </c>
      <c r="F229" t="s">
        <v>1334</v>
      </c>
      <c r="G229">
        <v>895</v>
      </c>
      <c r="H229" s="9">
        <v>170</v>
      </c>
      <c r="I229" t="s">
        <v>1334</v>
      </c>
      <c r="J229" t="s">
        <v>854</v>
      </c>
      <c r="K229" t="s">
        <v>2165</v>
      </c>
      <c r="L229" t="s">
        <v>2166</v>
      </c>
      <c r="M229" s="10" t="str">
        <f>HYPERLINK(cna_product_database_catalog_website[[#This Row],[Spec Sheet Link]], cna_product_database_catalog_website[[#Headers],[Spec Sheet Link]])</f>
        <v>Spec Sheet Link</v>
      </c>
      <c r="N229" t="s">
        <v>46</v>
      </c>
      <c r="O229">
        <v>1</v>
      </c>
      <c r="P229">
        <v>1</v>
      </c>
      <c r="Q229" t="s">
        <v>92</v>
      </c>
      <c r="R229" t="s">
        <v>451</v>
      </c>
      <c r="S229" t="s">
        <v>47</v>
      </c>
      <c r="T229" t="s">
        <v>47</v>
      </c>
      <c r="U229" t="s">
        <v>47</v>
      </c>
      <c r="V229" t="s">
        <v>47</v>
      </c>
      <c r="W229" t="s">
        <v>47</v>
      </c>
      <c r="X229" t="s">
        <v>47</v>
      </c>
      <c r="Y229" t="s">
        <v>47</v>
      </c>
      <c r="Z229" t="s">
        <v>47</v>
      </c>
      <c r="AA229" t="s">
        <v>47</v>
      </c>
      <c r="AB229" t="s">
        <v>47</v>
      </c>
      <c r="AC229" t="s">
        <v>47</v>
      </c>
      <c r="AD229" t="s">
        <v>47</v>
      </c>
      <c r="AE229"/>
      <c r="AF229" t="s">
        <v>47</v>
      </c>
      <c r="AG229" t="s">
        <v>47</v>
      </c>
      <c r="AH229" t="s">
        <v>47</v>
      </c>
      <c r="AI229" t="s">
        <v>47</v>
      </c>
      <c r="AJ229"/>
      <c r="AK229"/>
      <c r="AL229" t="s">
        <v>47</v>
      </c>
      <c r="AM229"/>
      <c r="AN229"/>
      <c r="AO229" t="s">
        <v>47</v>
      </c>
      <c r="AP229" t="s">
        <v>47</v>
      </c>
      <c r="AQ229" t="s">
        <v>47</v>
      </c>
      <c r="AR229"/>
      <c r="AS229"/>
      <c r="AT229"/>
      <c r="AU229"/>
      <c r="AV229" t="s">
        <v>459</v>
      </c>
      <c r="AW229" t="s">
        <v>47</v>
      </c>
      <c r="AX229">
        <v>50</v>
      </c>
      <c r="AY229">
        <v>200</v>
      </c>
      <c r="AZ229"/>
      <c r="BA229"/>
      <c r="BB229"/>
      <c r="BC229">
        <v>0</v>
      </c>
      <c r="BD229">
        <v>0</v>
      </c>
      <c r="BE229" t="s">
        <v>47</v>
      </c>
      <c r="BF229"/>
      <c r="BG229"/>
      <c r="BH229"/>
      <c r="BI229">
        <v>0</v>
      </c>
      <c r="BJ229">
        <v>0</v>
      </c>
      <c r="BK229"/>
      <c r="BL229"/>
      <c r="BM229" t="s">
        <v>47</v>
      </c>
      <c r="BN229" t="s">
        <v>47</v>
      </c>
      <c r="BO229" t="s">
        <v>47</v>
      </c>
      <c r="BP229" t="s">
        <v>47</v>
      </c>
      <c r="BQ229" t="s">
        <v>47</v>
      </c>
      <c r="BR229"/>
      <c r="BS229" t="s">
        <v>47</v>
      </c>
      <c r="BT229" t="s">
        <v>47</v>
      </c>
      <c r="BU229" t="s">
        <v>47</v>
      </c>
      <c r="BV229"/>
      <c r="BW229" t="s">
        <v>47</v>
      </c>
      <c r="BX229" t="s">
        <v>47</v>
      </c>
      <c r="BY229" t="s">
        <v>47</v>
      </c>
      <c r="BZ229" t="s">
        <v>47</v>
      </c>
      <c r="CA229" t="s">
        <v>47</v>
      </c>
      <c r="CB229" t="s">
        <v>47</v>
      </c>
      <c r="CC229" t="s">
        <v>47</v>
      </c>
      <c r="CD229" t="s">
        <v>47</v>
      </c>
      <c r="CE229" t="s">
        <v>47</v>
      </c>
      <c r="CF229" t="s">
        <v>47</v>
      </c>
      <c r="CG229" t="s">
        <v>47</v>
      </c>
      <c r="CH229" t="s">
        <v>47</v>
      </c>
      <c r="CI229" t="s">
        <v>47</v>
      </c>
      <c r="CJ229" t="s">
        <v>47</v>
      </c>
      <c r="CK229"/>
    </row>
    <row r="230" spans="1:89" s="7" customFormat="1" x14ac:dyDescent="0.25">
      <c r="A230" t="s">
        <v>1486</v>
      </c>
      <c r="B230" t="s">
        <v>1487</v>
      </c>
      <c r="C230" t="s">
        <v>855</v>
      </c>
      <c r="D230" t="s">
        <v>1938</v>
      </c>
      <c r="E230">
        <v>1500</v>
      </c>
      <c r="F230" t="s">
        <v>324</v>
      </c>
      <c r="G230">
        <v>989</v>
      </c>
      <c r="H230" s="9">
        <v>37</v>
      </c>
      <c r="I230" t="s">
        <v>324</v>
      </c>
      <c r="J230" t="s">
        <v>856</v>
      </c>
      <c r="K230" t="s">
        <v>2167</v>
      </c>
      <c r="L230" t="s">
        <v>2168</v>
      </c>
      <c r="M230" s="10" t="str">
        <f>HYPERLINK(cna_product_database_catalog_website[[#This Row],[Spec Sheet Link]], cna_product_database_catalog_website[[#Headers],[Spec Sheet Link]])</f>
        <v>Spec Sheet Link</v>
      </c>
      <c r="N230" t="s">
        <v>46</v>
      </c>
      <c r="O230">
        <v>1</v>
      </c>
      <c r="P230">
        <v>1</v>
      </c>
      <c r="Q230" t="s">
        <v>92</v>
      </c>
      <c r="R230" t="s">
        <v>451</v>
      </c>
      <c r="S230" t="s">
        <v>47</v>
      </c>
      <c r="T230" t="s">
        <v>47</v>
      </c>
      <c r="U230" t="s">
        <v>47</v>
      </c>
      <c r="V230" t="s">
        <v>47</v>
      </c>
      <c r="W230" t="s">
        <v>47</v>
      </c>
      <c r="X230" t="s">
        <v>47</v>
      </c>
      <c r="Y230" t="s">
        <v>47</v>
      </c>
      <c r="Z230" t="s">
        <v>47</v>
      </c>
      <c r="AA230" t="s">
        <v>47</v>
      </c>
      <c r="AB230" t="s">
        <v>47</v>
      </c>
      <c r="AC230" t="s">
        <v>47</v>
      </c>
      <c r="AD230" t="s">
        <v>47</v>
      </c>
      <c r="AE230"/>
      <c r="AF230" t="s">
        <v>47</v>
      </c>
      <c r="AG230" t="s">
        <v>47</v>
      </c>
      <c r="AH230" t="s">
        <v>47</v>
      </c>
      <c r="AI230" t="s">
        <v>47</v>
      </c>
      <c r="AJ230"/>
      <c r="AK230"/>
      <c r="AL230" t="s">
        <v>47</v>
      </c>
      <c r="AM230"/>
      <c r="AN230"/>
      <c r="AO230" t="s">
        <v>47</v>
      </c>
      <c r="AP230" t="s">
        <v>47</v>
      </c>
      <c r="AQ230" t="s">
        <v>47</v>
      </c>
      <c r="AR230"/>
      <c r="AS230"/>
      <c r="AT230"/>
      <c r="AU230"/>
      <c r="AV230" t="s">
        <v>459</v>
      </c>
      <c r="AW230" t="s">
        <v>47</v>
      </c>
      <c r="AX230">
        <v>50</v>
      </c>
      <c r="AY230">
        <v>200</v>
      </c>
      <c r="AZ230"/>
      <c r="BA230"/>
      <c r="BB230"/>
      <c r="BC230">
        <v>0</v>
      </c>
      <c r="BD230">
        <v>0</v>
      </c>
      <c r="BE230" t="s">
        <v>47</v>
      </c>
      <c r="BF230"/>
      <c r="BG230"/>
      <c r="BH230"/>
      <c r="BI230">
        <v>0</v>
      </c>
      <c r="BJ230">
        <v>0</v>
      </c>
      <c r="BK230"/>
      <c r="BL230"/>
      <c r="BM230" t="s">
        <v>47</v>
      </c>
      <c r="BN230" t="s">
        <v>47</v>
      </c>
      <c r="BO230" t="s">
        <v>47</v>
      </c>
      <c r="BP230" t="s">
        <v>47</v>
      </c>
      <c r="BQ230" t="s">
        <v>47</v>
      </c>
      <c r="BR230"/>
      <c r="BS230" t="s">
        <v>47</v>
      </c>
      <c r="BT230" t="s">
        <v>47</v>
      </c>
      <c r="BU230" t="s">
        <v>47</v>
      </c>
      <c r="BV230"/>
      <c r="BW230" t="s">
        <v>47</v>
      </c>
      <c r="BX230" t="s">
        <v>47</v>
      </c>
      <c r="BY230" t="s">
        <v>47</v>
      </c>
      <c r="BZ230" t="s">
        <v>47</v>
      </c>
      <c r="CA230" t="s">
        <v>47</v>
      </c>
      <c r="CB230" t="s">
        <v>47</v>
      </c>
      <c r="CC230" t="s">
        <v>47</v>
      </c>
      <c r="CD230" t="s">
        <v>47</v>
      </c>
      <c r="CE230" t="s">
        <v>47</v>
      </c>
      <c r="CF230" t="s">
        <v>47</v>
      </c>
      <c r="CG230" t="s">
        <v>47</v>
      </c>
      <c r="CH230" t="s">
        <v>47</v>
      </c>
      <c r="CI230" t="s">
        <v>47</v>
      </c>
      <c r="CJ230" t="s">
        <v>47</v>
      </c>
      <c r="CK230"/>
    </row>
    <row r="231" spans="1:89" s="7" customFormat="1" x14ac:dyDescent="0.25">
      <c r="A231" t="s">
        <v>1486</v>
      </c>
      <c r="B231" t="s">
        <v>1487</v>
      </c>
      <c r="C231" t="s">
        <v>857</v>
      </c>
      <c r="D231" t="s">
        <v>1939</v>
      </c>
      <c r="E231">
        <v>1501</v>
      </c>
      <c r="F231" t="s">
        <v>325</v>
      </c>
      <c r="G231">
        <v>990</v>
      </c>
      <c r="H231" s="9">
        <v>48</v>
      </c>
      <c r="I231" t="s">
        <v>325</v>
      </c>
      <c r="J231" t="s">
        <v>858</v>
      </c>
      <c r="K231" t="s">
        <v>2169</v>
      </c>
      <c r="L231" t="s">
        <v>2170</v>
      </c>
      <c r="M231" s="10" t="str">
        <f>HYPERLINK(cna_product_database_catalog_website[[#This Row],[Spec Sheet Link]], cna_product_database_catalog_website[[#Headers],[Spec Sheet Link]])</f>
        <v>Spec Sheet Link</v>
      </c>
      <c r="N231" t="s">
        <v>46</v>
      </c>
      <c r="O231">
        <v>1</v>
      </c>
      <c r="P231">
        <v>1</v>
      </c>
      <c r="Q231" t="s">
        <v>218</v>
      </c>
      <c r="R231" t="s">
        <v>451</v>
      </c>
      <c r="S231" t="s">
        <v>47</v>
      </c>
      <c r="T231" t="s">
        <v>47</v>
      </c>
      <c r="U231" t="s">
        <v>47</v>
      </c>
      <c r="V231" t="s">
        <v>47</v>
      </c>
      <c r="W231" t="s">
        <v>47</v>
      </c>
      <c r="X231" t="s">
        <v>47</v>
      </c>
      <c r="Y231" t="s">
        <v>47</v>
      </c>
      <c r="Z231" t="s">
        <v>47</v>
      </c>
      <c r="AA231" t="s">
        <v>47</v>
      </c>
      <c r="AB231" t="s">
        <v>47</v>
      </c>
      <c r="AC231" t="s">
        <v>47</v>
      </c>
      <c r="AD231" t="s">
        <v>47</v>
      </c>
      <c r="AE231"/>
      <c r="AF231" t="s">
        <v>47</v>
      </c>
      <c r="AG231" t="s">
        <v>47</v>
      </c>
      <c r="AH231" t="s">
        <v>47</v>
      </c>
      <c r="AI231" t="s">
        <v>47</v>
      </c>
      <c r="AJ231"/>
      <c r="AK231"/>
      <c r="AL231" t="s">
        <v>47</v>
      </c>
      <c r="AM231"/>
      <c r="AN231"/>
      <c r="AO231" t="s">
        <v>47</v>
      </c>
      <c r="AP231" t="s">
        <v>47</v>
      </c>
      <c r="AQ231" t="s">
        <v>47</v>
      </c>
      <c r="AR231"/>
      <c r="AS231"/>
      <c r="AT231"/>
      <c r="AU231"/>
      <c r="AV231" t="s">
        <v>463</v>
      </c>
      <c r="AW231" t="s">
        <v>47</v>
      </c>
      <c r="AX231">
        <v>25</v>
      </c>
      <c r="AY231">
        <v>100</v>
      </c>
      <c r="AZ231"/>
      <c r="BA231"/>
      <c r="BB231"/>
      <c r="BC231">
        <v>0</v>
      </c>
      <c r="BD231">
        <v>0</v>
      </c>
      <c r="BE231" t="s">
        <v>47</v>
      </c>
      <c r="BF231"/>
      <c r="BG231"/>
      <c r="BH231"/>
      <c r="BI231">
        <v>0</v>
      </c>
      <c r="BJ231">
        <v>0</v>
      </c>
      <c r="BK231"/>
      <c r="BL231"/>
      <c r="BM231" t="s">
        <v>47</v>
      </c>
      <c r="BN231" t="s">
        <v>47</v>
      </c>
      <c r="BO231" t="s">
        <v>47</v>
      </c>
      <c r="BP231" t="s">
        <v>47</v>
      </c>
      <c r="BQ231" t="s">
        <v>47</v>
      </c>
      <c r="BR231"/>
      <c r="BS231" t="s">
        <v>47</v>
      </c>
      <c r="BT231" t="s">
        <v>47</v>
      </c>
      <c r="BU231" t="s">
        <v>47</v>
      </c>
      <c r="BV231"/>
      <c r="BW231" t="s">
        <v>47</v>
      </c>
      <c r="BX231" t="s">
        <v>47</v>
      </c>
      <c r="BY231" t="s">
        <v>47</v>
      </c>
      <c r="BZ231" t="s">
        <v>47</v>
      </c>
      <c r="CA231" t="s">
        <v>47</v>
      </c>
      <c r="CB231" t="s">
        <v>47</v>
      </c>
      <c r="CC231" t="s">
        <v>47</v>
      </c>
      <c r="CD231" t="s">
        <v>47</v>
      </c>
      <c r="CE231" t="s">
        <v>47</v>
      </c>
      <c r="CF231" t="s">
        <v>47</v>
      </c>
      <c r="CG231" t="s">
        <v>47</v>
      </c>
      <c r="CH231" t="s">
        <v>47</v>
      </c>
      <c r="CI231" t="s">
        <v>47</v>
      </c>
      <c r="CJ231" t="s">
        <v>47</v>
      </c>
      <c r="CK231"/>
    </row>
    <row r="232" spans="1:89" s="7" customFormat="1" x14ac:dyDescent="0.25">
      <c r="A232" t="s">
        <v>1486</v>
      </c>
      <c r="B232" t="s">
        <v>1485</v>
      </c>
      <c r="C232" t="s">
        <v>861</v>
      </c>
      <c r="D232" t="s">
        <v>1940</v>
      </c>
      <c r="E232">
        <v>1510</v>
      </c>
      <c r="F232" t="s">
        <v>326</v>
      </c>
      <c r="G232">
        <v>1067</v>
      </c>
      <c r="H232" s="9">
        <v>55</v>
      </c>
      <c r="I232" t="s">
        <v>326</v>
      </c>
      <c r="J232" t="s">
        <v>859</v>
      </c>
      <c r="K232" t="s">
        <v>2171</v>
      </c>
      <c r="L232" t="s">
        <v>2172</v>
      </c>
      <c r="M232" s="10" t="str">
        <f>HYPERLINK(cna_product_database_catalog_website[[#This Row],[Spec Sheet Link]], cna_product_database_catalog_website[[#Headers],[Spec Sheet Link]])</f>
        <v>Spec Sheet Link</v>
      </c>
      <c r="N232" t="s">
        <v>46</v>
      </c>
      <c r="O232">
        <v>1</v>
      </c>
      <c r="P232">
        <v>1</v>
      </c>
      <c r="Q232" t="s">
        <v>218</v>
      </c>
      <c r="R232" t="s">
        <v>451</v>
      </c>
      <c r="S232" t="s">
        <v>47</v>
      </c>
      <c r="T232" t="s">
        <v>47</v>
      </c>
      <c r="U232" t="s">
        <v>47</v>
      </c>
      <c r="V232" t="s">
        <v>47</v>
      </c>
      <c r="W232" t="s">
        <v>47</v>
      </c>
      <c r="X232" t="s">
        <v>47</v>
      </c>
      <c r="Y232" t="s">
        <v>47</v>
      </c>
      <c r="Z232" t="s">
        <v>47</v>
      </c>
      <c r="AA232" t="s">
        <v>47</v>
      </c>
      <c r="AB232" t="s">
        <v>47</v>
      </c>
      <c r="AC232" t="s">
        <v>47</v>
      </c>
      <c r="AD232" t="s">
        <v>47</v>
      </c>
      <c r="AE232"/>
      <c r="AF232" t="s">
        <v>47</v>
      </c>
      <c r="AG232" t="s">
        <v>47</v>
      </c>
      <c r="AH232" t="s">
        <v>47</v>
      </c>
      <c r="AI232" t="s">
        <v>47</v>
      </c>
      <c r="AJ232"/>
      <c r="AK232"/>
      <c r="AL232" t="s">
        <v>47</v>
      </c>
      <c r="AM232"/>
      <c r="AN232"/>
      <c r="AO232" t="s">
        <v>47</v>
      </c>
      <c r="AP232" t="s">
        <v>47</v>
      </c>
      <c r="AQ232" t="s">
        <v>47</v>
      </c>
      <c r="AR232"/>
      <c r="AS232"/>
      <c r="AT232"/>
      <c r="AU232"/>
      <c r="AV232" t="s">
        <v>463</v>
      </c>
      <c r="AW232" t="s">
        <v>47</v>
      </c>
      <c r="AX232">
        <v>25</v>
      </c>
      <c r="AY232">
        <v>100</v>
      </c>
      <c r="AZ232"/>
      <c r="BA232"/>
      <c r="BB232"/>
      <c r="BC232">
        <v>0</v>
      </c>
      <c r="BD232">
        <v>0</v>
      </c>
      <c r="BE232" t="s">
        <v>47</v>
      </c>
      <c r="BF232"/>
      <c r="BG232"/>
      <c r="BH232"/>
      <c r="BI232">
        <v>0</v>
      </c>
      <c r="BJ232">
        <v>0</v>
      </c>
      <c r="BK232"/>
      <c r="BL232"/>
      <c r="BM232" t="s">
        <v>47</v>
      </c>
      <c r="BN232" t="s">
        <v>47</v>
      </c>
      <c r="BO232" t="s">
        <v>47</v>
      </c>
      <c r="BP232" t="s">
        <v>47</v>
      </c>
      <c r="BQ232" t="s">
        <v>47</v>
      </c>
      <c r="BR232"/>
      <c r="BS232" t="s">
        <v>47</v>
      </c>
      <c r="BT232" t="s">
        <v>47</v>
      </c>
      <c r="BU232" t="s">
        <v>47</v>
      </c>
      <c r="BV232"/>
      <c r="BW232" t="s">
        <v>47</v>
      </c>
      <c r="BX232" t="s">
        <v>47</v>
      </c>
      <c r="BY232" t="s">
        <v>47</v>
      </c>
      <c r="BZ232" t="s">
        <v>47</v>
      </c>
      <c r="CA232" t="s">
        <v>47</v>
      </c>
      <c r="CB232" t="s">
        <v>47</v>
      </c>
      <c r="CC232" t="s">
        <v>47</v>
      </c>
      <c r="CD232" t="s">
        <v>47</v>
      </c>
      <c r="CE232" t="s">
        <v>47</v>
      </c>
      <c r="CF232" t="s">
        <v>47</v>
      </c>
      <c r="CG232" t="s">
        <v>47</v>
      </c>
      <c r="CH232" t="s">
        <v>47</v>
      </c>
      <c r="CI232" t="s">
        <v>47</v>
      </c>
      <c r="CJ232" t="s">
        <v>47</v>
      </c>
      <c r="CK232"/>
    </row>
    <row r="233" spans="1:89" s="7" customFormat="1" x14ac:dyDescent="0.25">
      <c r="A233" t="s">
        <v>1486</v>
      </c>
      <c r="B233" t="s">
        <v>1485</v>
      </c>
      <c r="C233" t="s">
        <v>862</v>
      </c>
      <c r="D233" t="s">
        <v>1941</v>
      </c>
      <c r="E233">
        <v>1511</v>
      </c>
      <c r="F233" t="s">
        <v>327</v>
      </c>
      <c r="G233">
        <v>1068</v>
      </c>
      <c r="H233" s="9">
        <v>75</v>
      </c>
      <c r="I233" t="s">
        <v>327</v>
      </c>
      <c r="J233" t="s">
        <v>860</v>
      </c>
      <c r="K233" t="s">
        <v>2173</v>
      </c>
      <c r="L233" t="s">
        <v>2174</v>
      </c>
      <c r="M233" s="10" t="str">
        <f>HYPERLINK(cna_product_database_catalog_website[[#This Row],[Spec Sheet Link]], cna_product_database_catalog_website[[#Headers],[Spec Sheet Link]])</f>
        <v>Spec Sheet Link</v>
      </c>
      <c r="N233" t="s">
        <v>46</v>
      </c>
      <c r="O233">
        <v>1</v>
      </c>
      <c r="P233">
        <v>1</v>
      </c>
      <c r="Q233" t="s">
        <v>125</v>
      </c>
      <c r="R233" t="s">
        <v>451</v>
      </c>
      <c r="S233" t="s">
        <v>47</v>
      </c>
      <c r="T233" t="s">
        <v>47</v>
      </c>
      <c r="U233" t="s">
        <v>47</v>
      </c>
      <c r="V233" t="s">
        <v>47</v>
      </c>
      <c r="W233" t="s">
        <v>47</v>
      </c>
      <c r="X233" t="s">
        <v>47</v>
      </c>
      <c r="Y233" t="s">
        <v>47</v>
      </c>
      <c r="Z233" t="s">
        <v>47</v>
      </c>
      <c r="AA233" t="s">
        <v>47</v>
      </c>
      <c r="AB233" t="s">
        <v>47</v>
      </c>
      <c r="AC233" t="s">
        <v>47</v>
      </c>
      <c r="AD233" t="s">
        <v>47</v>
      </c>
      <c r="AE233"/>
      <c r="AF233" t="s">
        <v>47</v>
      </c>
      <c r="AG233" t="s">
        <v>47</v>
      </c>
      <c r="AH233" t="s">
        <v>47</v>
      </c>
      <c r="AI233" t="s">
        <v>47</v>
      </c>
      <c r="AJ233"/>
      <c r="AK233"/>
      <c r="AL233" t="s">
        <v>47</v>
      </c>
      <c r="AM233"/>
      <c r="AN233"/>
      <c r="AO233" t="s">
        <v>47</v>
      </c>
      <c r="AP233" t="s">
        <v>47</v>
      </c>
      <c r="AQ233" t="s">
        <v>47</v>
      </c>
      <c r="AR233"/>
      <c r="AS233"/>
      <c r="AT233"/>
      <c r="AU233"/>
      <c r="AV233" t="s">
        <v>466</v>
      </c>
      <c r="AW233" t="s">
        <v>47</v>
      </c>
      <c r="AX233">
        <v>25</v>
      </c>
      <c r="AY233">
        <v>100</v>
      </c>
      <c r="AZ233"/>
      <c r="BA233"/>
      <c r="BB233"/>
      <c r="BC233">
        <v>0</v>
      </c>
      <c r="BD233">
        <v>0</v>
      </c>
      <c r="BE233" t="s">
        <v>47</v>
      </c>
      <c r="BF233"/>
      <c r="BG233"/>
      <c r="BH233"/>
      <c r="BI233">
        <v>0</v>
      </c>
      <c r="BJ233">
        <v>0</v>
      </c>
      <c r="BK233"/>
      <c r="BL233"/>
      <c r="BM233" t="s">
        <v>47</v>
      </c>
      <c r="BN233" t="s">
        <v>47</v>
      </c>
      <c r="BO233" t="s">
        <v>47</v>
      </c>
      <c r="BP233" t="s">
        <v>47</v>
      </c>
      <c r="BQ233" t="s">
        <v>47</v>
      </c>
      <c r="BR233"/>
      <c r="BS233" t="s">
        <v>47</v>
      </c>
      <c r="BT233" t="s">
        <v>47</v>
      </c>
      <c r="BU233" t="s">
        <v>47</v>
      </c>
      <c r="BV233"/>
      <c r="BW233" t="s">
        <v>47</v>
      </c>
      <c r="BX233" t="s">
        <v>47</v>
      </c>
      <c r="BY233" t="s">
        <v>47</v>
      </c>
      <c r="BZ233" t="s">
        <v>47</v>
      </c>
      <c r="CA233" t="s">
        <v>47</v>
      </c>
      <c r="CB233" t="s">
        <v>47</v>
      </c>
      <c r="CC233" t="s">
        <v>47</v>
      </c>
      <c r="CD233" t="s">
        <v>47</v>
      </c>
      <c r="CE233" t="s">
        <v>47</v>
      </c>
      <c r="CF233" t="s">
        <v>47</v>
      </c>
      <c r="CG233" t="s">
        <v>47</v>
      </c>
      <c r="CH233" t="s">
        <v>47</v>
      </c>
      <c r="CI233" t="s">
        <v>47</v>
      </c>
      <c r="CJ233" t="s">
        <v>47</v>
      </c>
      <c r="CK233"/>
    </row>
    <row r="234" spans="1:89" s="7" customFormat="1" x14ac:dyDescent="0.25">
      <c r="A234" t="s">
        <v>1486</v>
      </c>
      <c r="B234" t="s">
        <v>1485</v>
      </c>
      <c r="C234" t="s">
        <v>863</v>
      </c>
      <c r="D234" t="s">
        <v>1942</v>
      </c>
      <c r="E234">
        <v>1520</v>
      </c>
      <c r="F234" t="s">
        <v>328</v>
      </c>
      <c r="G234">
        <v>1069</v>
      </c>
      <c r="H234" s="9">
        <v>8.5</v>
      </c>
      <c r="I234" t="s">
        <v>328</v>
      </c>
      <c r="J234" t="s">
        <v>865</v>
      </c>
      <c r="K234" t="s">
        <v>2175</v>
      </c>
      <c r="L234" t="s">
        <v>2176</v>
      </c>
      <c r="M234" s="10" t="str">
        <f>HYPERLINK(cna_product_database_catalog_website[[#This Row],[Spec Sheet Link]], cna_product_database_catalog_website[[#Headers],[Spec Sheet Link]])</f>
        <v>Spec Sheet Link</v>
      </c>
      <c r="N234" t="s">
        <v>46</v>
      </c>
      <c r="O234">
        <v>1</v>
      </c>
      <c r="P234">
        <v>1</v>
      </c>
      <c r="Q234" t="s">
        <v>218</v>
      </c>
      <c r="R234" t="s">
        <v>451</v>
      </c>
      <c r="S234" t="s">
        <v>47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  <c r="Y234" t="s">
        <v>47</v>
      </c>
      <c r="Z234" t="s">
        <v>47</v>
      </c>
      <c r="AA234" t="s">
        <v>47</v>
      </c>
      <c r="AB234" t="s">
        <v>47</v>
      </c>
      <c r="AC234" t="s">
        <v>47</v>
      </c>
      <c r="AD234" t="s">
        <v>47</v>
      </c>
      <c r="AE234"/>
      <c r="AF234" t="s">
        <v>47</v>
      </c>
      <c r="AG234" t="s">
        <v>47</v>
      </c>
      <c r="AH234" t="s">
        <v>47</v>
      </c>
      <c r="AI234" t="s">
        <v>47</v>
      </c>
      <c r="AJ234"/>
      <c r="AK234"/>
      <c r="AL234" t="s">
        <v>47</v>
      </c>
      <c r="AM234"/>
      <c r="AN234"/>
      <c r="AO234" t="s">
        <v>47</v>
      </c>
      <c r="AP234" t="s">
        <v>47</v>
      </c>
      <c r="AQ234" t="s">
        <v>47</v>
      </c>
      <c r="AR234"/>
      <c r="AS234"/>
      <c r="AT234"/>
      <c r="AU234"/>
      <c r="AV234" t="s">
        <v>468</v>
      </c>
      <c r="AW234" t="s">
        <v>47</v>
      </c>
      <c r="AX234">
        <v>25</v>
      </c>
      <c r="AY234">
        <v>100</v>
      </c>
      <c r="AZ234"/>
      <c r="BA234"/>
      <c r="BB234"/>
      <c r="BC234">
        <v>0</v>
      </c>
      <c r="BD234">
        <v>0</v>
      </c>
      <c r="BE234" t="s">
        <v>47</v>
      </c>
      <c r="BF234"/>
      <c r="BG234"/>
      <c r="BH234"/>
      <c r="BI234">
        <v>0</v>
      </c>
      <c r="BJ234">
        <v>0</v>
      </c>
      <c r="BK234"/>
      <c r="BL234"/>
      <c r="BM234" t="s">
        <v>47</v>
      </c>
      <c r="BN234" t="s">
        <v>47</v>
      </c>
      <c r="BO234" t="s">
        <v>47</v>
      </c>
      <c r="BP234" t="s">
        <v>47</v>
      </c>
      <c r="BQ234" t="s">
        <v>47</v>
      </c>
      <c r="BR234"/>
      <c r="BS234" t="s">
        <v>47</v>
      </c>
      <c r="BT234" t="s">
        <v>47</v>
      </c>
      <c r="BU234" t="s">
        <v>47</v>
      </c>
      <c r="BV234"/>
      <c r="BW234" t="s">
        <v>47</v>
      </c>
      <c r="BX234" t="s">
        <v>47</v>
      </c>
      <c r="BY234" t="s">
        <v>47</v>
      </c>
      <c r="BZ234" t="s">
        <v>47</v>
      </c>
      <c r="CA234" t="s">
        <v>47</v>
      </c>
      <c r="CB234" t="s">
        <v>47</v>
      </c>
      <c r="CC234" t="s">
        <v>47</v>
      </c>
      <c r="CD234" t="s">
        <v>47</v>
      </c>
      <c r="CE234" t="s">
        <v>47</v>
      </c>
      <c r="CF234" t="s">
        <v>47</v>
      </c>
      <c r="CG234" t="s">
        <v>47</v>
      </c>
      <c r="CH234" t="s">
        <v>47</v>
      </c>
      <c r="CI234" t="s">
        <v>47</v>
      </c>
      <c r="CJ234" t="s">
        <v>47</v>
      </c>
      <c r="CK234"/>
    </row>
    <row r="235" spans="1:89" s="7" customFormat="1" x14ac:dyDescent="0.25">
      <c r="A235" t="s">
        <v>1486</v>
      </c>
      <c r="B235" t="s">
        <v>1485</v>
      </c>
      <c r="C235" t="s">
        <v>864</v>
      </c>
      <c r="D235" t="s">
        <v>1943</v>
      </c>
      <c r="E235">
        <v>1521</v>
      </c>
      <c r="F235" t="s">
        <v>330</v>
      </c>
      <c r="G235">
        <v>1070</v>
      </c>
      <c r="H235" s="9">
        <v>13.5</v>
      </c>
      <c r="I235" t="s">
        <v>330</v>
      </c>
      <c r="J235" t="s">
        <v>866</v>
      </c>
      <c r="K235" t="s">
        <v>2177</v>
      </c>
      <c r="L235" t="s">
        <v>2178</v>
      </c>
      <c r="M235" s="10" t="str">
        <f>HYPERLINK(cna_product_database_catalog_website[[#This Row],[Spec Sheet Link]], cna_product_database_catalog_website[[#Headers],[Spec Sheet Link]])</f>
        <v>Spec Sheet Link</v>
      </c>
      <c r="N235" t="s">
        <v>46</v>
      </c>
      <c r="O235">
        <v>1</v>
      </c>
      <c r="P235">
        <v>1</v>
      </c>
      <c r="Q235" t="s">
        <v>218</v>
      </c>
      <c r="R235" t="s">
        <v>451</v>
      </c>
      <c r="S235" t="s">
        <v>47</v>
      </c>
      <c r="T235" t="s">
        <v>47</v>
      </c>
      <c r="U235" t="s">
        <v>47</v>
      </c>
      <c r="V235" t="s">
        <v>47</v>
      </c>
      <c r="W235" t="s">
        <v>47</v>
      </c>
      <c r="X235" t="s">
        <v>47</v>
      </c>
      <c r="Y235" t="s">
        <v>47</v>
      </c>
      <c r="Z235" t="s">
        <v>47</v>
      </c>
      <c r="AA235" t="s">
        <v>47</v>
      </c>
      <c r="AB235" t="s">
        <v>47</v>
      </c>
      <c r="AC235" t="s">
        <v>47</v>
      </c>
      <c r="AD235" t="s">
        <v>47</v>
      </c>
      <c r="AE235"/>
      <c r="AF235" t="s">
        <v>47</v>
      </c>
      <c r="AG235" t="s">
        <v>47</v>
      </c>
      <c r="AH235" t="s">
        <v>47</v>
      </c>
      <c r="AI235" t="s">
        <v>47</v>
      </c>
      <c r="AJ235"/>
      <c r="AK235"/>
      <c r="AL235" t="s">
        <v>47</v>
      </c>
      <c r="AM235"/>
      <c r="AN235"/>
      <c r="AO235" t="s">
        <v>47</v>
      </c>
      <c r="AP235" t="s">
        <v>47</v>
      </c>
      <c r="AQ235" t="s">
        <v>47</v>
      </c>
      <c r="AR235"/>
      <c r="AS235"/>
      <c r="AT235"/>
      <c r="AU235"/>
      <c r="AV235" t="s">
        <v>468</v>
      </c>
      <c r="AW235" t="s">
        <v>47</v>
      </c>
      <c r="AX235">
        <v>25</v>
      </c>
      <c r="AY235">
        <v>100</v>
      </c>
      <c r="AZ235"/>
      <c r="BA235"/>
      <c r="BB235"/>
      <c r="BC235">
        <v>0</v>
      </c>
      <c r="BD235">
        <v>0</v>
      </c>
      <c r="BE235" t="s">
        <v>47</v>
      </c>
      <c r="BF235"/>
      <c r="BG235"/>
      <c r="BH235"/>
      <c r="BI235">
        <v>0</v>
      </c>
      <c r="BJ235">
        <v>0</v>
      </c>
      <c r="BK235"/>
      <c r="BL235"/>
      <c r="BM235" t="s">
        <v>47</v>
      </c>
      <c r="BN235" t="s">
        <v>47</v>
      </c>
      <c r="BO235" t="s">
        <v>47</v>
      </c>
      <c r="BP235" t="s">
        <v>47</v>
      </c>
      <c r="BQ235" t="s">
        <v>47</v>
      </c>
      <c r="BR235"/>
      <c r="BS235" t="s">
        <v>47</v>
      </c>
      <c r="BT235" t="s">
        <v>47</v>
      </c>
      <c r="BU235" t="s">
        <v>47</v>
      </c>
      <c r="BV235"/>
      <c r="BW235" t="s">
        <v>47</v>
      </c>
      <c r="BX235" t="s">
        <v>47</v>
      </c>
      <c r="BY235" t="s">
        <v>47</v>
      </c>
      <c r="BZ235" t="s">
        <v>47</v>
      </c>
      <c r="CA235" t="s">
        <v>47</v>
      </c>
      <c r="CB235" t="s">
        <v>47</v>
      </c>
      <c r="CC235" t="s">
        <v>47</v>
      </c>
      <c r="CD235" t="s">
        <v>47</v>
      </c>
      <c r="CE235" t="s">
        <v>47</v>
      </c>
      <c r="CF235" t="s">
        <v>47</v>
      </c>
      <c r="CG235" t="s">
        <v>47</v>
      </c>
      <c r="CH235" t="s">
        <v>47</v>
      </c>
      <c r="CI235" t="s">
        <v>47</v>
      </c>
      <c r="CJ235" t="s">
        <v>47</v>
      </c>
      <c r="CK235"/>
    </row>
    <row r="236" spans="1:89" s="7" customFormat="1" x14ac:dyDescent="0.25">
      <c r="A236" t="s">
        <v>1484</v>
      </c>
      <c r="B236" t="s">
        <v>692</v>
      </c>
      <c r="C236" t="s">
        <v>867</v>
      </c>
      <c r="D236" t="s">
        <v>1944</v>
      </c>
      <c r="E236">
        <v>2000</v>
      </c>
      <c r="F236" t="s">
        <v>332</v>
      </c>
      <c r="G236">
        <v>419</v>
      </c>
      <c r="H236" s="9">
        <v>1.5</v>
      </c>
      <c r="I236" t="s">
        <v>332</v>
      </c>
      <c r="J236" t="s">
        <v>333</v>
      </c>
      <c r="K236" t="s">
        <v>2179</v>
      </c>
      <c r="L236" t="s">
        <v>2180</v>
      </c>
      <c r="M236" s="10" t="str">
        <f>HYPERLINK(cna_product_database_catalog_website[[#This Row],[Spec Sheet Link]], cna_product_database_catalog_website[[#Headers],[Spec Sheet Link]])</f>
        <v>Spec Sheet Link</v>
      </c>
      <c r="N236" t="s">
        <v>46</v>
      </c>
      <c r="O236">
        <v>1</v>
      </c>
      <c r="P236">
        <v>1</v>
      </c>
      <c r="Q236" t="s">
        <v>218</v>
      </c>
      <c r="R236" t="s">
        <v>451</v>
      </c>
      <c r="S236" t="s">
        <v>47</v>
      </c>
      <c r="T236" t="s">
        <v>47</v>
      </c>
      <c r="U236" t="s">
        <v>47</v>
      </c>
      <c r="V236" t="s">
        <v>47</v>
      </c>
      <c r="W236" t="s">
        <v>47</v>
      </c>
      <c r="X236" t="s">
        <v>47</v>
      </c>
      <c r="Y236" t="s">
        <v>47</v>
      </c>
      <c r="Z236" t="s">
        <v>47</v>
      </c>
      <c r="AA236" t="s">
        <v>47</v>
      </c>
      <c r="AB236" t="s">
        <v>47</v>
      </c>
      <c r="AC236" t="s">
        <v>47</v>
      </c>
      <c r="AD236" t="s">
        <v>47</v>
      </c>
      <c r="AE236"/>
      <c r="AF236" t="s">
        <v>47</v>
      </c>
      <c r="AG236" t="s">
        <v>47</v>
      </c>
      <c r="AH236" t="s">
        <v>47</v>
      </c>
      <c r="AI236" t="s">
        <v>47</v>
      </c>
      <c r="AJ236"/>
      <c r="AK236"/>
      <c r="AL236" t="s">
        <v>47</v>
      </c>
      <c r="AM236"/>
      <c r="AN236"/>
      <c r="AO236" t="s">
        <v>47</v>
      </c>
      <c r="AP236" t="s">
        <v>47</v>
      </c>
      <c r="AQ236" t="s">
        <v>47</v>
      </c>
      <c r="AR236"/>
      <c r="AS236"/>
      <c r="AT236"/>
      <c r="AU236"/>
      <c r="AV236" t="s">
        <v>468</v>
      </c>
      <c r="AW236" t="s">
        <v>47</v>
      </c>
      <c r="AX236">
        <v>25</v>
      </c>
      <c r="AY236">
        <v>100</v>
      </c>
      <c r="AZ236"/>
      <c r="BA236"/>
      <c r="BB236"/>
      <c r="BC236">
        <v>0</v>
      </c>
      <c r="BD236">
        <v>0</v>
      </c>
      <c r="BE236" t="s">
        <v>47</v>
      </c>
      <c r="BF236"/>
      <c r="BG236"/>
      <c r="BH236"/>
      <c r="BI236">
        <v>0</v>
      </c>
      <c r="BJ236">
        <v>0</v>
      </c>
      <c r="BK236"/>
      <c r="BL236"/>
      <c r="BM236" t="s">
        <v>47</v>
      </c>
      <c r="BN236" t="s">
        <v>47</v>
      </c>
      <c r="BO236" t="s">
        <v>47</v>
      </c>
      <c r="BP236" t="s">
        <v>47</v>
      </c>
      <c r="BQ236" t="s">
        <v>47</v>
      </c>
      <c r="BR236"/>
      <c r="BS236" t="s">
        <v>47</v>
      </c>
      <c r="BT236" t="s">
        <v>47</v>
      </c>
      <c r="BU236" t="s">
        <v>47</v>
      </c>
      <c r="BV236"/>
      <c r="BW236" t="s">
        <v>47</v>
      </c>
      <c r="BX236" t="s">
        <v>47</v>
      </c>
      <c r="BY236" t="s">
        <v>47</v>
      </c>
      <c r="BZ236" t="s">
        <v>47</v>
      </c>
      <c r="CA236" t="s">
        <v>47</v>
      </c>
      <c r="CB236" t="s">
        <v>47</v>
      </c>
      <c r="CC236" t="s">
        <v>47</v>
      </c>
      <c r="CD236" t="s">
        <v>47</v>
      </c>
      <c r="CE236" t="s">
        <v>47</v>
      </c>
      <c r="CF236" t="s">
        <v>47</v>
      </c>
      <c r="CG236" t="s">
        <v>47</v>
      </c>
      <c r="CH236" t="s">
        <v>47</v>
      </c>
      <c r="CI236" t="s">
        <v>47</v>
      </c>
      <c r="CJ236" t="s">
        <v>47</v>
      </c>
      <c r="CK236"/>
    </row>
    <row r="237" spans="1:89" s="7" customFormat="1" x14ac:dyDescent="0.25">
      <c r="A237" t="s">
        <v>1484</v>
      </c>
      <c r="B237" t="s">
        <v>692</v>
      </c>
      <c r="C237" t="s">
        <v>868</v>
      </c>
      <c r="D237" t="s">
        <v>1945</v>
      </c>
      <c r="E237">
        <v>2010</v>
      </c>
      <c r="F237" t="s">
        <v>337</v>
      </c>
      <c r="G237">
        <v>420</v>
      </c>
      <c r="H237" s="9">
        <v>1.5</v>
      </c>
      <c r="I237" t="s">
        <v>337</v>
      </c>
      <c r="J237" t="s">
        <v>333</v>
      </c>
      <c r="K237" t="s">
        <v>2179</v>
      </c>
      <c r="L237" t="s">
        <v>2180</v>
      </c>
      <c r="M237" s="10" t="str">
        <f>HYPERLINK(cna_product_database_catalog_website[[#This Row],[Spec Sheet Link]], cna_product_database_catalog_website[[#Headers],[Spec Sheet Link]])</f>
        <v>Spec Sheet Link</v>
      </c>
      <c r="N237" t="s">
        <v>46</v>
      </c>
      <c r="O237">
        <v>1</v>
      </c>
      <c r="P237">
        <v>1</v>
      </c>
      <c r="Q237" t="s">
        <v>472</v>
      </c>
      <c r="R237" t="s">
        <v>451</v>
      </c>
      <c r="S237" t="s">
        <v>47</v>
      </c>
      <c r="T237" t="s">
        <v>47</v>
      </c>
      <c r="U237" t="s">
        <v>47</v>
      </c>
      <c r="V237" t="s">
        <v>47</v>
      </c>
      <c r="W237" t="s">
        <v>47</v>
      </c>
      <c r="X237" t="s">
        <v>47</v>
      </c>
      <c r="Y237" t="s">
        <v>47</v>
      </c>
      <c r="Z237" t="s">
        <v>47</v>
      </c>
      <c r="AA237" t="s">
        <v>47</v>
      </c>
      <c r="AB237" t="s">
        <v>47</v>
      </c>
      <c r="AC237" t="s">
        <v>47</v>
      </c>
      <c r="AD237" t="s">
        <v>47</v>
      </c>
      <c r="AE237"/>
      <c r="AF237" t="s">
        <v>47</v>
      </c>
      <c r="AG237" t="s">
        <v>47</v>
      </c>
      <c r="AH237" t="s">
        <v>47</v>
      </c>
      <c r="AI237" t="s">
        <v>47</v>
      </c>
      <c r="AJ237"/>
      <c r="AK237"/>
      <c r="AL237" t="s">
        <v>47</v>
      </c>
      <c r="AM237"/>
      <c r="AN237"/>
      <c r="AO237" t="s">
        <v>47</v>
      </c>
      <c r="AP237" t="s">
        <v>47</v>
      </c>
      <c r="AQ237" t="s">
        <v>47</v>
      </c>
      <c r="AR237"/>
      <c r="AS237"/>
      <c r="AT237"/>
      <c r="AU237"/>
      <c r="AV237" t="s">
        <v>473</v>
      </c>
      <c r="AW237" t="s">
        <v>47</v>
      </c>
      <c r="AX237">
        <v>25</v>
      </c>
      <c r="AY237">
        <v>100</v>
      </c>
      <c r="AZ237"/>
      <c r="BA237"/>
      <c r="BB237"/>
      <c r="BC237">
        <v>0</v>
      </c>
      <c r="BD237">
        <v>0</v>
      </c>
      <c r="BE237" t="s">
        <v>47</v>
      </c>
      <c r="BF237"/>
      <c r="BG237"/>
      <c r="BH237"/>
      <c r="BI237">
        <v>0</v>
      </c>
      <c r="BJ237">
        <v>0</v>
      </c>
      <c r="BK237"/>
      <c r="BL237"/>
      <c r="BM237" t="s">
        <v>47</v>
      </c>
      <c r="BN237" t="s">
        <v>47</v>
      </c>
      <c r="BO237" t="s">
        <v>47</v>
      </c>
      <c r="BP237" t="s">
        <v>47</v>
      </c>
      <c r="BQ237" t="s">
        <v>47</v>
      </c>
      <c r="BR237"/>
      <c r="BS237" t="s">
        <v>47</v>
      </c>
      <c r="BT237" t="s">
        <v>47</v>
      </c>
      <c r="BU237" t="s">
        <v>47</v>
      </c>
      <c r="BV237"/>
      <c r="BW237" t="s">
        <v>47</v>
      </c>
      <c r="BX237" t="s">
        <v>47</v>
      </c>
      <c r="BY237" t="s">
        <v>47</v>
      </c>
      <c r="BZ237" t="s">
        <v>47</v>
      </c>
      <c r="CA237" t="s">
        <v>47</v>
      </c>
      <c r="CB237" t="s">
        <v>47</v>
      </c>
      <c r="CC237" t="s">
        <v>47</v>
      </c>
      <c r="CD237" t="s">
        <v>47</v>
      </c>
      <c r="CE237" t="s">
        <v>47</v>
      </c>
      <c r="CF237" t="s">
        <v>47</v>
      </c>
      <c r="CG237" t="s">
        <v>47</v>
      </c>
      <c r="CH237" t="s">
        <v>47</v>
      </c>
      <c r="CI237" t="s">
        <v>47</v>
      </c>
      <c r="CJ237" t="s">
        <v>47</v>
      </c>
      <c r="CK237"/>
    </row>
    <row r="238" spans="1:89" s="7" customFormat="1" x14ac:dyDescent="0.25">
      <c r="A238" t="s">
        <v>1484</v>
      </c>
      <c r="B238" t="s">
        <v>692</v>
      </c>
      <c r="C238" t="s">
        <v>869</v>
      </c>
      <c r="D238" t="s">
        <v>1946</v>
      </c>
      <c r="E238">
        <v>2020</v>
      </c>
      <c r="F238" t="s">
        <v>340</v>
      </c>
      <c r="G238">
        <v>313</v>
      </c>
      <c r="H238" s="9">
        <v>1.5</v>
      </c>
      <c r="I238" t="s">
        <v>340</v>
      </c>
      <c r="J238" t="s">
        <v>112</v>
      </c>
      <c r="K238" t="s">
        <v>2181</v>
      </c>
      <c r="L238" t="s">
        <v>2180</v>
      </c>
      <c r="M238" s="10" t="str">
        <f>HYPERLINK(cna_product_database_catalog_website[[#This Row],[Spec Sheet Link]], cna_product_database_catalog_website[[#Headers],[Spec Sheet Link]])</f>
        <v>Spec Sheet Link</v>
      </c>
      <c r="N238" t="s">
        <v>46</v>
      </c>
      <c r="O238">
        <v>1</v>
      </c>
      <c r="P238">
        <v>1</v>
      </c>
      <c r="Q238" t="s">
        <v>472</v>
      </c>
      <c r="R238" t="s">
        <v>451</v>
      </c>
      <c r="S238" t="s">
        <v>47</v>
      </c>
      <c r="T238" t="s">
        <v>47</v>
      </c>
      <c r="U238" t="s">
        <v>47</v>
      </c>
      <c r="V238" t="s">
        <v>47</v>
      </c>
      <c r="W238" t="s">
        <v>47</v>
      </c>
      <c r="X238" t="s">
        <v>47</v>
      </c>
      <c r="Y238" t="s">
        <v>47</v>
      </c>
      <c r="Z238" t="s">
        <v>47</v>
      </c>
      <c r="AA238" t="s">
        <v>47</v>
      </c>
      <c r="AB238" t="s">
        <v>47</v>
      </c>
      <c r="AC238" t="s">
        <v>47</v>
      </c>
      <c r="AD238" t="s">
        <v>47</v>
      </c>
      <c r="AE238"/>
      <c r="AF238" t="s">
        <v>47</v>
      </c>
      <c r="AG238" t="s">
        <v>47</v>
      </c>
      <c r="AH238" t="s">
        <v>47</v>
      </c>
      <c r="AI238" t="s">
        <v>47</v>
      </c>
      <c r="AJ238"/>
      <c r="AK238"/>
      <c r="AL238" t="s">
        <v>47</v>
      </c>
      <c r="AM238"/>
      <c r="AN238"/>
      <c r="AO238" t="s">
        <v>47</v>
      </c>
      <c r="AP238" t="s">
        <v>47</v>
      </c>
      <c r="AQ238" t="s">
        <v>47</v>
      </c>
      <c r="AR238"/>
      <c r="AS238"/>
      <c r="AT238"/>
      <c r="AU238"/>
      <c r="AV238" t="s">
        <v>473</v>
      </c>
      <c r="AW238" t="s">
        <v>47</v>
      </c>
      <c r="AX238">
        <v>25</v>
      </c>
      <c r="AY238">
        <v>100</v>
      </c>
      <c r="AZ238"/>
      <c r="BA238"/>
      <c r="BB238"/>
      <c r="BC238">
        <v>0</v>
      </c>
      <c r="BD238">
        <v>0</v>
      </c>
      <c r="BE238" t="s">
        <v>47</v>
      </c>
      <c r="BF238"/>
      <c r="BG238"/>
      <c r="BH238"/>
      <c r="BI238">
        <v>0</v>
      </c>
      <c r="BJ238">
        <v>0</v>
      </c>
      <c r="BK238"/>
      <c r="BL238"/>
      <c r="BM238" t="s">
        <v>47</v>
      </c>
      <c r="BN238" t="s">
        <v>47</v>
      </c>
      <c r="BO238" t="s">
        <v>47</v>
      </c>
      <c r="BP238" t="s">
        <v>47</v>
      </c>
      <c r="BQ238" t="s">
        <v>47</v>
      </c>
      <c r="BR238"/>
      <c r="BS238" t="s">
        <v>47</v>
      </c>
      <c r="BT238" t="s">
        <v>47</v>
      </c>
      <c r="BU238" t="s">
        <v>47</v>
      </c>
      <c r="BV238"/>
      <c r="BW238" t="s">
        <v>47</v>
      </c>
      <c r="BX238" t="s">
        <v>47</v>
      </c>
      <c r="BY238" t="s">
        <v>47</v>
      </c>
      <c r="BZ238" t="s">
        <v>47</v>
      </c>
      <c r="CA238" t="s">
        <v>47</v>
      </c>
      <c r="CB238" t="s">
        <v>47</v>
      </c>
      <c r="CC238" t="s">
        <v>47</v>
      </c>
      <c r="CD238" t="s">
        <v>47</v>
      </c>
      <c r="CE238" t="s">
        <v>47</v>
      </c>
      <c r="CF238" t="s">
        <v>47</v>
      </c>
      <c r="CG238" t="s">
        <v>47</v>
      </c>
      <c r="CH238" t="s">
        <v>47</v>
      </c>
      <c r="CI238" t="s">
        <v>47</v>
      </c>
      <c r="CJ238" t="s">
        <v>47</v>
      </c>
      <c r="CK238"/>
    </row>
    <row r="239" spans="1:89" s="7" customFormat="1" x14ac:dyDescent="0.25">
      <c r="A239" t="s">
        <v>1484</v>
      </c>
      <c r="B239" t="s">
        <v>692</v>
      </c>
      <c r="C239" t="s">
        <v>870</v>
      </c>
      <c r="D239" t="s">
        <v>1947</v>
      </c>
      <c r="E239">
        <v>2030</v>
      </c>
      <c r="F239" t="s">
        <v>342</v>
      </c>
      <c r="G239">
        <v>197</v>
      </c>
      <c r="H239" s="9">
        <v>1.5</v>
      </c>
      <c r="I239" t="s">
        <v>342</v>
      </c>
      <c r="J239" t="s">
        <v>112</v>
      </c>
      <c r="K239" t="s">
        <v>2181</v>
      </c>
      <c r="L239" t="s">
        <v>2180</v>
      </c>
      <c r="M239" s="10" t="str">
        <f>HYPERLINK(cna_product_database_catalog_website[[#This Row],[Spec Sheet Link]], cna_product_database_catalog_website[[#Headers],[Spec Sheet Link]])</f>
        <v>Spec Sheet Link</v>
      </c>
      <c r="N239" t="s">
        <v>46</v>
      </c>
      <c r="O239">
        <v>1</v>
      </c>
      <c r="P239">
        <v>1</v>
      </c>
      <c r="Q239" t="s">
        <v>361</v>
      </c>
      <c r="R239" t="s">
        <v>451</v>
      </c>
      <c r="S239" t="s">
        <v>47</v>
      </c>
      <c r="T239" t="s">
        <v>47</v>
      </c>
      <c r="U239" t="s">
        <v>47</v>
      </c>
      <c r="V239" t="s">
        <v>47</v>
      </c>
      <c r="W239" t="s">
        <v>47</v>
      </c>
      <c r="X239" t="s">
        <v>47</v>
      </c>
      <c r="Y239" t="s">
        <v>47</v>
      </c>
      <c r="Z239" t="s">
        <v>47</v>
      </c>
      <c r="AA239" t="s">
        <v>47</v>
      </c>
      <c r="AB239" t="s">
        <v>47</v>
      </c>
      <c r="AC239" t="s">
        <v>47</v>
      </c>
      <c r="AD239" t="s">
        <v>47</v>
      </c>
      <c r="AE239"/>
      <c r="AF239" t="s">
        <v>47</v>
      </c>
      <c r="AG239" t="s">
        <v>47</v>
      </c>
      <c r="AH239" t="s">
        <v>47</v>
      </c>
      <c r="AI239" t="s">
        <v>47</v>
      </c>
      <c r="AJ239"/>
      <c r="AK239"/>
      <c r="AL239" t="s">
        <v>47</v>
      </c>
      <c r="AM239"/>
      <c r="AN239"/>
      <c r="AO239" t="s">
        <v>47</v>
      </c>
      <c r="AP239" t="s">
        <v>47</v>
      </c>
      <c r="AQ239" t="s">
        <v>47</v>
      </c>
      <c r="AR239"/>
      <c r="AS239"/>
      <c r="AT239"/>
      <c r="AU239"/>
      <c r="AV239" t="s">
        <v>476</v>
      </c>
      <c r="AW239" t="s">
        <v>47</v>
      </c>
      <c r="AX239">
        <v>25</v>
      </c>
      <c r="AY239">
        <v>100</v>
      </c>
      <c r="AZ239"/>
      <c r="BA239"/>
      <c r="BB239"/>
      <c r="BC239">
        <v>0</v>
      </c>
      <c r="BD239">
        <v>0</v>
      </c>
      <c r="BE239" t="s">
        <v>47</v>
      </c>
      <c r="BF239"/>
      <c r="BG239"/>
      <c r="BH239"/>
      <c r="BI239">
        <v>0</v>
      </c>
      <c r="BJ239">
        <v>0</v>
      </c>
      <c r="BK239"/>
      <c r="BL239"/>
      <c r="BM239" t="s">
        <v>47</v>
      </c>
      <c r="BN239" t="s">
        <v>47</v>
      </c>
      <c r="BO239" t="s">
        <v>47</v>
      </c>
      <c r="BP239" t="s">
        <v>47</v>
      </c>
      <c r="BQ239" t="s">
        <v>47</v>
      </c>
      <c r="BR239"/>
      <c r="BS239" t="s">
        <v>47</v>
      </c>
      <c r="BT239" t="s">
        <v>47</v>
      </c>
      <c r="BU239" t="s">
        <v>47</v>
      </c>
      <c r="BV239"/>
      <c r="BW239" t="s">
        <v>47</v>
      </c>
      <c r="BX239" t="s">
        <v>47</v>
      </c>
      <c r="BY239" t="s">
        <v>47</v>
      </c>
      <c r="BZ239" t="s">
        <v>47</v>
      </c>
      <c r="CA239" t="s">
        <v>47</v>
      </c>
      <c r="CB239" t="s">
        <v>47</v>
      </c>
      <c r="CC239" t="s">
        <v>47</v>
      </c>
      <c r="CD239" t="s">
        <v>47</v>
      </c>
      <c r="CE239" t="s">
        <v>47</v>
      </c>
      <c r="CF239" t="s">
        <v>47</v>
      </c>
      <c r="CG239" t="s">
        <v>47</v>
      </c>
      <c r="CH239" t="s">
        <v>47</v>
      </c>
      <c r="CI239" t="s">
        <v>47</v>
      </c>
      <c r="CJ239" t="s">
        <v>47</v>
      </c>
      <c r="CK239"/>
    </row>
    <row r="240" spans="1:89" s="7" customFormat="1" x14ac:dyDescent="0.25">
      <c r="A240" t="s">
        <v>1484</v>
      </c>
      <c r="B240" t="s">
        <v>692</v>
      </c>
      <c r="C240" t="s">
        <v>871</v>
      </c>
      <c r="D240" t="s">
        <v>1948</v>
      </c>
      <c r="E240">
        <v>2040</v>
      </c>
      <c r="F240" t="s">
        <v>344</v>
      </c>
      <c r="G240">
        <v>68</v>
      </c>
      <c r="H240" s="9">
        <v>2.75</v>
      </c>
      <c r="I240" t="s">
        <v>344</v>
      </c>
      <c r="J240" t="s">
        <v>344</v>
      </c>
      <c r="K240" t="s">
        <v>2182</v>
      </c>
      <c r="L240" t="s">
        <v>2180</v>
      </c>
      <c r="M240" s="10" t="str">
        <f>HYPERLINK(cna_product_database_catalog_website[[#This Row],[Spec Sheet Link]], cna_product_database_catalog_website[[#Headers],[Spec Sheet Link]])</f>
        <v>Spec Sheet Link</v>
      </c>
      <c r="N240" t="s">
        <v>46</v>
      </c>
      <c r="O240">
        <v>1</v>
      </c>
      <c r="P240">
        <v>1</v>
      </c>
      <c r="Q240" t="s">
        <v>478</v>
      </c>
      <c r="R240" t="s">
        <v>451</v>
      </c>
      <c r="S240" t="s">
        <v>479</v>
      </c>
      <c r="T240" t="s">
        <v>47</v>
      </c>
      <c r="U240" t="s">
        <v>480</v>
      </c>
      <c r="V240" t="s">
        <v>47</v>
      </c>
      <c r="W240" t="s">
        <v>481</v>
      </c>
      <c r="X240" t="s">
        <v>441</v>
      </c>
      <c r="Y240" t="s">
        <v>47</v>
      </c>
      <c r="Z240" t="s">
        <v>552</v>
      </c>
      <c r="AA240" t="s">
        <v>47</v>
      </c>
      <c r="AB240" t="s">
        <v>47</v>
      </c>
      <c r="AC240" t="s">
        <v>47</v>
      </c>
      <c r="AD240" t="s">
        <v>47</v>
      </c>
      <c r="AE240"/>
      <c r="AF240" t="s">
        <v>482</v>
      </c>
      <c r="AG240" t="s">
        <v>47</v>
      </c>
      <c r="AH240" t="s">
        <v>47</v>
      </c>
      <c r="AI240" t="s">
        <v>47</v>
      </c>
      <c r="AJ240"/>
      <c r="AK240"/>
      <c r="AL240" t="s">
        <v>47</v>
      </c>
      <c r="AM240"/>
      <c r="AN240"/>
      <c r="AO240" t="s">
        <v>47</v>
      </c>
      <c r="AP240" t="s">
        <v>47</v>
      </c>
      <c r="AQ240" t="s">
        <v>47</v>
      </c>
      <c r="AR240"/>
      <c r="AS240"/>
      <c r="AT240"/>
      <c r="AU240"/>
      <c r="AV240" t="s">
        <v>483</v>
      </c>
      <c r="AW240" t="s">
        <v>47</v>
      </c>
      <c r="AX240">
        <v>50</v>
      </c>
      <c r="AY240">
        <v>50</v>
      </c>
      <c r="AZ240"/>
      <c r="BA240"/>
      <c r="BB240"/>
      <c r="BC240">
        <v>0</v>
      </c>
      <c r="BD240">
        <v>0</v>
      </c>
      <c r="BE240" t="s">
        <v>47</v>
      </c>
      <c r="BF240"/>
      <c r="BG240"/>
      <c r="BH240"/>
      <c r="BI240">
        <v>0</v>
      </c>
      <c r="BJ240">
        <v>0</v>
      </c>
      <c r="BK240"/>
      <c r="BL240"/>
      <c r="BM240" t="s">
        <v>47</v>
      </c>
      <c r="BN240" t="s">
        <v>47</v>
      </c>
      <c r="BO240" t="s">
        <v>47</v>
      </c>
      <c r="BP240" t="s">
        <v>47</v>
      </c>
      <c r="BQ240" t="s">
        <v>47</v>
      </c>
      <c r="BR240"/>
      <c r="BS240" t="s">
        <v>47</v>
      </c>
      <c r="BT240" t="s">
        <v>47</v>
      </c>
      <c r="BU240" t="s">
        <v>47</v>
      </c>
      <c r="BV240"/>
      <c r="BW240" t="s">
        <v>47</v>
      </c>
      <c r="BX240" t="s">
        <v>47</v>
      </c>
      <c r="BY240" t="s">
        <v>47</v>
      </c>
      <c r="BZ240" t="s">
        <v>47</v>
      </c>
      <c r="CA240" t="s">
        <v>47</v>
      </c>
      <c r="CB240" t="s">
        <v>47</v>
      </c>
      <c r="CC240" t="s">
        <v>47</v>
      </c>
      <c r="CD240" t="s">
        <v>47</v>
      </c>
      <c r="CE240" t="s">
        <v>47</v>
      </c>
      <c r="CF240" t="s">
        <v>47</v>
      </c>
      <c r="CG240" t="s">
        <v>47</v>
      </c>
      <c r="CH240" t="s">
        <v>47</v>
      </c>
      <c r="CI240" t="s">
        <v>47</v>
      </c>
      <c r="CJ240" t="s">
        <v>47</v>
      </c>
      <c r="CK240"/>
    </row>
    <row r="241" spans="1:89" s="7" customFormat="1" x14ac:dyDescent="0.25">
      <c r="A241" t="s">
        <v>1484</v>
      </c>
      <c r="B241" t="s">
        <v>692</v>
      </c>
      <c r="C241" t="s">
        <v>872</v>
      </c>
      <c r="D241" t="s">
        <v>1949</v>
      </c>
      <c r="E241">
        <v>2050</v>
      </c>
      <c r="F241" t="s">
        <v>346</v>
      </c>
      <c r="G241">
        <v>89</v>
      </c>
      <c r="H241" s="9">
        <v>2.75</v>
      </c>
      <c r="I241" t="s">
        <v>346</v>
      </c>
      <c r="J241" t="s">
        <v>346</v>
      </c>
      <c r="K241" t="s">
        <v>2182</v>
      </c>
      <c r="L241" t="s">
        <v>2180</v>
      </c>
      <c r="M241" s="10" t="str">
        <f>HYPERLINK(cna_product_database_catalog_website[[#This Row],[Spec Sheet Link]], cna_product_database_catalog_website[[#Headers],[Spec Sheet Link]])</f>
        <v>Spec Sheet Link</v>
      </c>
      <c r="N241" t="s">
        <v>46</v>
      </c>
      <c r="O241">
        <v>1</v>
      </c>
      <c r="P241">
        <v>1</v>
      </c>
      <c r="Q241" t="s">
        <v>485</v>
      </c>
      <c r="R241" t="s">
        <v>451</v>
      </c>
      <c r="S241" t="s">
        <v>486</v>
      </c>
      <c r="T241" t="s">
        <v>47</v>
      </c>
      <c r="U241" t="s">
        <v>480</v>
      </c>
      <c r="V241" t="s">
        <v>47</v>
      </c>
      <c r="W241" t="s">
        <v>481</v>
      </c>
      <c r="X241" t="s">
        <v>441</v>
      </c>
      <c r="Y241" t="s">
        <v>47</v>
      </c>
      <c r="Z241" t="s">
        <v>552</v>
      </c>
      <c r="AA241" t="s">
        <v>47</v>
      </c>
      <c r="AB241" t="s">
        <v>47</v>
      </c>
      <c r="AC241" t="s">
        <v>47</v>
      </c>
      <c r="AD241" t="s">
        <v>47</v>
      </c>
      <c r="AE241"/>
      <c r="AF241" t="s">
        <v>487</v>
      </c>
      <c r="AG241" t="s">
        <v>47</v>
      </c>
      <c r="AH241" t="s">
        <v>47</v>
      </c>
      <c r="AI241" t="s">
        <v>47</v>
      </c>
      <c r="AJ241"/>
      <c r="AK241"/>
      <c r="AL241" t="s">
        <v>47</v>
      </c>
      <c r="AM241"/>
      <c r="AN241"/>
      <c r="AO241" t="s">
        <v>47</v>
      </c>
      <c r="AP241" t="s">
        <v>47</v>
      </c>
      <c r="AQ241" t="s">
        <v>47</v>
      </c>
      <c r="AR241"/>
      <c r="AS241"/>
      <c r="AT241"/>
      <c r="AU241"/>
      <c r="AV241" t="s">
        <v>488</v>
      </c>
      <c r="AW241" t="s">
        <v>47</v>
      </c>
      <c r="AX241">
        <v>50</v>
      </c>
      <c r="AY241">
        <v>50</v>
      </c>
      <c r="AZ241"/>
      <c r="BA241"/>
      <c r="BB241"/>
      <c r="BC241">
        <v>0</v>
      </c>
      <c r="BD241">
        <v>0</v>
      </c>
      <c r="BE241" t="s">
        <v>47</v>
      </c>
      <c r="BF241"/>
      <c r="BG241"/>
      <c r="BH241"/>
      <c r="BI241">
        <v>0</v>
      </c>
      <c r="BJ241">
        <v>0</v>
      </c>
      <c r="BK241"/>
      <c r="BL241"/>
      <c r="BM241" t="s">
        <v>47</v>
      </c>
      <c r="BN241" t="s">
        <v>47</v>
      </c>
      <c r="BO241" t="s">
        <v>47</v>
      </c>
      <c r="BP241" t="s">
        <v>47</v>
      </c>
      <c r="BQ241" t="s">
        <v>47</v>
      </c>
      <c r="BR241"/>
      <c r="BS241" t="s">
        <v>47</v>
      </c>
      <c r="BT241" t="s">
        <v>47</v>
      </c>
      <c r="BU241" t="s">
        <v>47</v>
      </c>
      <c r="BV241"/>
      <c r="BW241" t="s">
        <v>47</v>
      </c>
      <c r="BX241" t="s">
        <v>47</v>
      </c>
      <c r="BY241" t="s">
        <v>47</v>
      </c>
      <c r="BZ241" t="s">
        <v>47</v>
      </c>
      <c r="CA241" t="s">
        <v>47</v>
      </c>
      <c r="CB241" t="s">
        <v>47</v>
      </c>
      <c r="CC241" t="s">
        <v>47</v>
      </c>
      <c r="CD241" t="s">
        <v>47</v>
      </c>
      <c r="CE241" t="s">
        <v>47</v>
      </c>
      <c r="CF241" t="s">
        <v>47</v>
      </c>
      <c r="CG241" t="s">
        <v>47</v>
      </c>
      <c r="CH241" t="s">
        <v>47</v>
      </c>
      <c r="CI241" t="s">
        <v>47</v>
      </c>
      <c r="CJ241" t="s">
        <v>47</v>
      </c>
      <c r="CK241"/>
    </row>
    <row r="242" spans="1:89" s="7" customFormat="1" x14ac:dyDescent="0.25">
      <c r="A242" t="s">
        <v>1484</v>
      </c>
      <c r="B242" t="s">
        <v>692</v>
      </c>
      <c r="C242" t="s">
        <v>873</v>
      </c>
      <c r="D242" t="s">
        <v>1950</v>
      </c>
      <c r="E242">
        <v>2060</v>
      </c>
      <c r="F242" t="s">
        <v>347</v>
      </c>
      <c r="G242">
        <v>49</v>
      </c>
      <c r="H242" s="9">
        <v>2.75</v>
      </c>
      <c r="I242" t="s">
        <v>347</v>
      </c>
      <c r="J242" t="s">
        <v>348</v>
      </c>
      <c r="K242" t="s">
        <v>2182</v>
      </c>
      <c r="L242" t="s">
        <v>2180</v>
      </c>
      <c r="M242" s="10" t="str">
        <f>HYPERLINK(cna_product_database_catalog_website[[#This Row],[Spec Sheet Link]], cna_product_database_catalog_website[[#Headers],[Spec Sheet Link]])</f>
        <v>Spec Sheet Link</v>
      </c>
      <c r="N242" t="s">
        <v>46</v>
      </c>
      <c r="O242">
        <v>1</v>
      </c>
      <c r="P242">
        <v>1</v>
      </c>
      <c r="Q242" t="s">
        <v>485</v>
      </c>
      <c r="R242" t="s">
        <v>451</v>
      </c>
      <c r="S242" t="s">
        <v>490</v>
      </c>
      <c r="T242" t="s">
        <v>47</v>
      </c>
      <c r="U242" t="s">
        <v>491</v>
      </c>
      <c r="V242" t="s">
        <v>47</v>
      </c>
      <c r="W242" t="s">
        <v>492</v>
      </c>
      <c r="X242" t="s">
        <v>370</v>
      </c>
      <c r="Y242" t="s">
        <v>47</v>
      </c>
      <c r="Z242" t="s">
        <v>552</v>
      </c>
      <c r="AA242" t="s">
        <v>47</v>
      </c>
      <c r="AB242" t="s">
        <v>47</v>
      </c>
      <c r="AC242" t="s">
        <v>47</v>
      </c>
      <c r="AD242" t="s">
        <v>47</v>
      </c>
      <c r="AE242"/>
      <c r="AF242" t="s">
        <v>487</v>
      </c>
      <c r="AG242" t="s">
        <v>47</v>
      </c>
      <c r="AH242" t="s">
        <v>47</v>
      </c>
      <c r="AI242" t="s">
        <v>47</v>
      </c>
      <c r="AJ242"/>
      <c r="AK242"/>
      <c r="AL242" t="s">
        <v>47</v>
      </c>
      <c r="AM242"/>
      <c r="AN242"/>
      <c r="AO242" t="s">
        <v>47</v>
      </c>
      <c r="AP242" t="s">
        <v>47</v>
      </c>
      <c r="AQ242" t="s">
        <v>47</v>
      </c>
      <c r="AR242"/>
      <c r="AS242"/>
      <c r="AT242"/>
      <c r="AU242"/>
      <c r="AV242" t="s">
        <v>494</v>
      </c>
      <c r="AW242" t="s">
        <v>47</v>
      </c>
      <c r="AX242">
        <v>36</v>
      </c>
      <c r="AY242">
        <v>36</v>
      </c>
      <c r="AZ242"/>
      <c r="BA242"/>
      <c r="BB242"/>
      <c r="BC242">
        <v>0</v>
      </c>
      <c r="BD242">
        <v>0</v>
      </c>
      <c r="BE242" t="s">
        <v>47</v>
      </c>
      <c r="BF242"/>
      <c r="BG242"/>
      <c r="BH242"/>
      <c r="BI242">
        <v>0</v>
      </c>
      <c r="BJ242">
        <v>0</v>
      </c>
      <c r="BK242"/>
      <c r="BL242"/>
      <c r="BM242" t="s">
        <v>47</v>
      </c>
      <c r="BN242" t="s">
        <v>47</v>
      </c>
      <c r="BO242" t="s">
        <v>47</v>
      </c>
      <c r="BP242" t="s">
        <v>47</v>
      </c>
      <c r="BQ242" t="s">
        <v>47</v>
      </c>
      <c r="BR242"/>
      <c r="BS242" t="s">
        <v>47</v>
      </c>
      <c r="BT242" t="s">
        <v>47</v>
      </c>
      <c r="BU242" t="s">
        <v>47</v>
      </c>
      <c r="BV242"/>
      <c r="BW242" t="s">
        <v>47</v>
      </c>
      <c r="BX242" t="s">
        <v>47</v>
      </c>
      <c r="BY242" t="s">
        <v>47</v>
      </c>
      <c r="BZ242" t="s">
        <v>47</v>
      </c>
      <c r="CA242" t="s">
        <v>47</v>
      </c>
      <c r="CB242" t="s">
        <v>47</v>
      </c>
      <c r="CC242" t="s">
        <v>47</v>
      </c>
      <c r="CD242" t="s">
        <v>47</v>
      </c>
      <c r="CE242" t="s">
        <v>47</v>
      </c>
      <c r="CF242" t="s">
        <v>47</v>
      </c>
      <c r="CG242" t="s">
        <v>47</v>
      </c>
      <c r="CH242" t="s">
        <v>47</v>
      </c>
      <c r="CI242" t="s">
        <v>47</v>
      </c>
      <c r="CJ242" t="s">
        <v>47</v>
      </c>
      <c r="CK242"/>
    </row>
    <row r="243" spans="1:89" s="7" customFormat="1" x14ac:dyDescent="0.25">
      <c r="A243" t="s">
        <v>1484</v>
      </c>
      <c r="B243" t="s">
        <v>136</v>
      </c>
      <c r="C243" t="s">
        <v>874</v>
      </c>
      <c r="D243" t="s">
        <v>1951</v>
      </c>
      <c r="E243">
        <v>2100</v>
      </c>
      <c r="F243" t="s">
        <v>350</v>
      </c>
      <c r="G243">
        <v>405</v>
      </c>
      <c r="H243" s="9">
        <v>1.2</v>
      </c>
      <c r="I243" t="s">
        <v>350</v>
      </c>
      <c r="J243" t="s">
        <v>350</v>
      </c>
      <c r="K243" t="s">
        <v>2183</v>
      </c>
      <c r="L243" t="s">
        <v>45</v>
      </c>
      <c r="M243" s="10"/>
      <c r="N243" t="s">
        <v>46</v>
      </c>
      <c r="O243">
        <v>1</v>
      </c>
      <c r="P243">
        <v>1</v>
      </c>
      <c r="Q243" t="s">
        <v>343</v>
      </c>
      <c r="R243" t="s">
        <v>451</v>
      </c>
      <c r="S243" t="s">
        <v>496</v>
      </c>
      <c r="T243" t="s">
        <v>47</v>
      </c>
      <c r="U243" t="s">
        <v>434</v>
      </c>
      <c r="V243" t="s">
        <v>47</v>
      </c>
      <c r="W243" t="s">
        <v>68</v>
      </c>
      <c r="X243" t="s">
        <v>497</v>
      </c>
      <c r="Y243" t="s">
        <v>47</v>
      </c>
      <c r="Z243">
        <v>65</v>
      </c>
      <c r="AA243" t="s">
        <v>47</v>
      </c>
      <c r="AB243" t="s">
        <v>47</v>
      </c>
      <c r="AC243" t="s">
        <v>47</v>
      </c>
      <c r="AD243" t="s">
        <v>47</v>
      </c>
      <c r="AE243"/>
      <c r="AF243" t="s">
        <v>47</v>
      </c>
      <c r="AG243" t="s">
        <v>47</v>
      </c>
      <c r="AH243" t="s">
        <v>47</v>
      </c>
      <c r="AI243" t="s">
        <v>47</v>
      </c>
      <c r="AJ243"/>
      <c r="AK243"/>
      <c r="AL243" t="s">
        <v>47</v>
      </c>
      <c r="AM243"/>
      <c r="AN243"/>
      <c r="AO243" t="s">
        <v>47</v>
      </c>
      <c r="AP243" t="s">
        <v>47</v>
      </c>
      <c r="AQ243" t="s">
        <v>47</v>
      </c>
      <c r="AR243"/>
      <c r="AS243"/>
      <c r="AT243"/>
      <c r="AU243"/>
      <c r="AV243" t="s">
        <v>499</v>
      </c>
      <c r="AW243" t="s">
        <v>47</v>
      </c>
      <c r="AX243">
        <v>12</v>
      </c>
      <c r="AY243">
        <v>12</v>
      </c>
      <c r="AZ243"/>
      <c r="BA243"/>
      <c r="BB243"/>
      <c r="BC243">
        <v>0</v>
      </c>
      <c r="BD243">
        <v>0</v>
      </c>
      <c r="BE243" t="s">
        <v>47</v>
      </c>
      <c r="BF243"/>
      <c r="BG243"/>
      <c r="BH243"/>
      <c r="BI243">
        <v>0</v>
      </c>
      <c r="BJ243">
        <v>0</v>
      </c>
      <c r="BK243"/>
      <c r="BL243"/>
      <c r="BM243" t="s">
        <v>47</v>
      </c>
      <c r="BN243" t="s">
        <v>47</v>
      </c>
      <c r="BO243" t="s">
        <v>47</v>
      </c>
      <c r="BP243" t="s">
        <v>47</v>
      </c>
      <c r="BQ243" t="s">
        <v>47</v>
      </c>
      <c r="BR243"/>
      <c r="BS243" t="s">
        <v>47</v>
      </c>
      <c r="BT243" t="s">
        <v>47</v>
      </c>
      <c r="BU243" t="s">
        <v>47</v>
      </c>
      <c r="BV243"/>
      <c r="BW243" t="s">
        <v>47</v>
      </c>
      <c r="BX243" t="s">
        <v>47</v>
      </c>
      <c r="BY243" t="s">
        <v>47</v>
      </c>
      <c r="BZ243" t="s">
        <v>47</v>
      </c>
      <c r="CA243" t="s">
        <v>47</v>
      </c>
      <c r="CB243" t="s">
        <v>47</v>
      </c>
      <c r="CC243" t="s">
        <v>47</v>
      </c>
      <c r="CD243" t="s">
        <v>47</v>
      </c>
      <c r="CE243" t="s">
        <v>47</v>
      </c>
      <c r="CF243" t="s">
        <v>47</v>
      </c>
      <c r="CG243" t="s">
        <v>47</v>
      </c>
      <c r="CH243" t="s">
        <v>47</v>
      </c>
      <c r="CI243" t="s">
        <v>47</v>
      </c>
      <c r="CJ243" t="s">
        <v>47</v>
      </c>
      <c r="CK243"/>
    </row>
    <row r="244" spans="1:89" s="7" customFormat="1" x14ac:dyDescent="0.25">
      <c r="A244" t="s">
        <v>1484</v>
      </c>
      <c r="B244" t="s">
        <v>136</v>
      </c>
      <c r="C244" t="s">
        <v>875</v>
      </c>
      <c r="D244" t="s">
        <v>1952</v>
      </c>
      <c r="E244">
        <v>2105</v>
      </c>
      <c r="F244" t="s">
        <v>351</v>
      </c>
      <c r="G244">
        <v>189</v>
      </c>
      <c r="H244" s="9">
        <v>1.2</v>
      </c>
      <c r="I244" t="s">
        <v>351</v>
      </c>
      <c r="J244" t="s">
        <v>351</v>
      </c>
      <c r="K244" t="s">
        <v>2183</v>
      </c>
      <c r="L244" t="s">
        <v>45</v>
      </c>
      <c r="M244" s="10"/>
      <c r="N244" t="s">
        <v>46</v>
      </c>
      <c r="O244">
        <v>1</v>
      </c>
      <c r="P244">
        <v>1</v>
      </c>
      <c r="Q244" t="s">
        <v>379</v>
      </c>
      <c r="R244" t="s">
        <v>451</v>
      </c>
      <c r="S244" t="s">
        <v>502</v>
      </c>
      <c r="T244" t="s">
        <v>47</v>
      </c>
      <c r="U244" t="s">
        <v>434</v>
      </c>
      <c r="V244" t="s">
        <v>47</v>
      </c>
      <c r="W244" t="s">
        <v>68</v>
      </c>
      <c r="X244" t="s">
        <v>497</v>
      </c>
      <c r="Y244" t="s">
        <v>47</v>
      </c>
      <c r="Z244">
        <v>65</v>
      </c>
      <c r="AA244" t="s">
        <v>47</v>
      </c>
      <c r="AB244" t="s">
        <v>47</v>
      </c>
      <c r="AC244" t="s">
        <v>47</v>
      </c>
      <c r="AD244" t="s">
        <v>47</v>
      </c>
      <c r="AE244"/>
      <c r="AF244" t="s">
        <v>47</v>
      </c>
      <c r="AG244" t="s">
        <v>47</v>
      </c>
      <c r="AH244" t="s">
        <v>47</v>
      </c>
      <c r="AI244" t="s">
        <v>47</v>
      </c>
      <c r="AJ244"/>
      <c r="AK244"/>
      <c r="AL244" t="s">
        <v>47</v>
      </c>
      <c r="AM244"/>
      <c r="AN244"/>
      <c r="AO244" t="s">
        <v>47</v>
      </c>
      <c r="AP244" t="s">
        <v>47</v>
      </c>
      <c r="AQ244" t="s">
        <v>47</v>
      </c>
      <c r="AR244"/>
      <c r="AS244"/>
      <c r="AT244"/>
      <c r="AU244"/>
      <c r="AV244" t="s">
        <v>499</v>
      </c>
      <c r="AW244" t="s">
        <v>47</v>
      </c>
      <c r="AX244">
        <v>12</v>
      </c>
      <c r="AY244">
        <v>12</v>
      </c>
      <c r="AZ244"/>
      <c r="BA244"/>
      <c r="BB244"/>
      <c r="BC244">
        <v>0</v>
      </c>
      <c r="BD244">
        <v>0</v>
      </c>
      <c r="BE244" t="s">
        <v>47</v>
      </c>
      <c r="BF244"/>
      <c r="BG244"/>
      <c r="BH244"/>
      <c r="BI244">
        <v>0</v>
      </c>
      <c r="BJ244">
        <v>0</v>
      </c>
      <c r="BK244"/>
      <c r="BL244"/>
      <c r="BM244" t="s">
        <v>47</v>
      </c>
      <c r="BN244" t="s">
        <v>47</v>
      </c>
      <c r="BO244" t="s">
        <v>47</v>
      </c>
      <c r="BP244" t="s">
        <v>47</v>
      </c>
      <c r="BQ244" t="s">
        <v>47</v>
      </c>
      <c r="BR244"/>
      <c r="BS244" t="s">
        <v>47</v>
      </c>
      <c r="BT244" t="s">
        <v>47</v>
      </c>
      <c r="BU244" t="s">
        <v>47</v>
      </c>
      <c r="BV244"/>
      <c r="BW244" t="s">
        <v>47</v>
      </c>
      <c r="BX244" t="s">
        <v>47</v>
      </c>
      <c r="BY244" t="s">
        <v>47</v>
      </c>
      <c r="BZ244" t="s">
        <v>47</v>
      </c>
      <c r="CA244" t="s">
        <v>47</v>
      </c>
      <c r="CB244" t="s">
        <v>47</v>
      </c>
      <c r="CC244" t="s">
        <v>47</v>
      </c>
      <c r="CD244" t="s">
        <v>47</v>
      </c>
      <c r="CE244" t="s">
        <v>47</v>
      </c>
      <c r="CF244" t="s">
        <v>47</v>
      </c>
      <c r="CG244" t="s">
        <v>47</v>
      </c>
      <c r="CH244" t="s">
        <v>47</v>
      </c>
      <c r="CI244" t="s">
        <v>47</v>
      </c>
      <c r="CJ244" t="s">
        <v>47</v>
      </c>
      <c r="CK244"/>
    </row>
    <row r="245" spans="1:89" s="7" customFormat="1" x14ac:dyDescent="0.25">
      <c r="A245" t="s">
        <v>1484</v>
      </c>
      <c r="B245" t="s">
        <v>693</v>
      </c>
      <c r="C245" t="s">
        <v>876</v>
      </c>
      <c r="D245" t="s">
        <v>1953</v>
      </c>
      <c r="E245">
        <v>2200</v>
      </c>
      <c r="F245" t="s">
        <v>353</v>
      </c>
      <c r="G245">
        <v>46</v>
      </c>
      <c r="H245" s="9">
        <v>2.75</v>
      </c>
      <c r="I245" t="s">
        <v>353</v>
      </c>
      <c r="J245" t="s">
        <v>353</v>
      </c>
      <c r="K245" t="s">
        <v>2184</v>
      </c>
      <c r="L245" t="s">
        <v>45</v>
      </c>
      <c r="M245" s="10"/>
      <c r="N245" t="s">
        <v>46</v>
      </c>
      <c r="O245">
        <v>1</v>
      </c>
      <c r="P245">
        <v>1</v>
      </c>
      <c r="Q245" t="s">
        <v>504</v>
      </c>
      <c r="R245" t="s">
        <v>451</v>
      </c>
      <c r="S245" t="s">
        <v>505</v>
      </c>
      <c r="T245" t="s">
        <v>47</v>
      </c>
      <c r="U245" t="s">
        <v>434</v>
      </c>
      <c r="V245" t="s">
        <v>47</v>
      </c>
      <c r="W245" t="s">
        <v>68</v>
      </c>
      <c r="X245" t="s">
        <v>497</v>
      </c>
      <c r="Y245" t="s">
        <v>47</v>
      </c>
      <c r="Z245">
        <v>65</v>
      </c>
      <c r="AA245" t="s">
        <v>47</v>
      </c>
      <c r="AB245" t="s">
        <v>47</v>
      </c>
      <c r="AC245" t="s">
        <v>47</v>
      </c>
      <c r="AD245" t="s">
        <v>47</v>
      </c>
      <c r="AE245"/>
      <c r="AF245" t="s">
        <v>47</v>
      </c>
      <c r="AG245" t="s">
        <v>47</v>
      </c>
      <c r="AH245" t="s">
        <v>47</v>
      </c>
      <c r="AI245" t="s">
        <v>47</v>
      </c>
      <c r="AJ245"/>
      <c r="AK245"/>
      <c r="AL245" t="s">
        <v>47</v>
      </c>
      <c r="AM245"/>
      <c r="AN245"/>
      <c r="AO245" t="s">
        <v>47</v>
      </c>
      <c r="AP245" t="s">
        <v>47</v>
      </c>
      <c r="AQ245" t="s">
        <v>47</v>
      </c>
      <c r="AR245"/>
      <c r="AS245"/>
      <c r="AT245"/>
      <c r="AU245"/>
      <c r="AV245" t="s">
        <v>499</v>
      </c>
      <c r="AW245" t="s">
        <v>47</v>
      </c>
      <c r="AX245">
        <v>12</v>
      </c>
      <c r="AY245">
        <v>12</v>
      </c>
      <c r="AZ245"/>
      <c r="BA245"/>
      <c r="BB245"/>
      <c r="BC245">
        <v>0</v>
      </c>
      <c r="BD245">
        <v>0</v>
      </c>
      <c r="BE245" t="s">
        <v>47</v>
      </c>
      <c r="BF245"/>
      <c r="BG245"/>
      <c r="BH245"/>
      <c r="BI245">
        <v>0</v>
      </c>
      <c r="BJ245">
        <v>0</v>
      </c>
      <c r="BK245"/>
      <c r="BL245"/>
      <c r="BM245" t="s">
        <v>47</v>
      </c>
      <c r="BN245" t="s">
        <v>47</v>
      </c>
      <c r="BO245" t="s">
        <v>47</v>
      </c>
      <c r="BP245" t="s">
        <v>47</v>
      </c>
      <c r="BQ245" t="s">
        <v>47</v>
      </c>
      <c r="BR245"/>
      <c r="BS245" t="s">
        <v>47</v>
      </c>
      <c r="BT245" t="s">
        <v>47</v>
      </c>
      <c r="BU245" t="s">
        <v>47</v>
      </c>
      <c r="BV245"/>
      <c r="BW245" t="s">
        <v>47</v>
      </c>
      <c r="BX245" t="s">
        <v>47</v>
      </c>
      <c r="BY245" t="s">
        <v>47</v>
      </c>
      <c r="BZ245" t="s">
        <v>47</v>
      </c>
      <c r="CA245" t="s">
        <v>47</v>
      </c>
      <c r="CB245" t="s">
        <v>47</v>
      </c>
      <c r="CC245" t="s">
        <v>47</v>
      </c>
      <c r="CD245" t="s">
        <v>47</v>
      </c>
      <c r="CE245" t="s">
        <v>47</v>
      </c>
      <c r="CF245" t="s">
        <v>47</v>
      </c>
      <c r="CG245" t="s">
        <v>47</v>
      </c>
      <c r="CH245" t="s">
        <v>47</v>
      </c>
      <c r="CI245" t="s">
        <v>47</v>
      </c>
      <c r="CJ245" t="s">
        <v>47</v>
      </c>
      <c r="CK245"/>
    </row>
    <row r="246" spans="1:89" s="7" customFormat="1" x14ac:dyDescent="0.25">
      <c r="A246" t="s">
        <v>1484</v>
      </c>
      <c r="B246" t="s">
        <v>693</v>
      </c>
      <c r="C246" t="s">
        <v>877</v>
      </c>
      <c r="D246" t="s">
        <v>1954</v>
      </c>
      <c r="E246">
        <v>2205</v>
      </c>
      <c r="F246" t="s">
        <v>354</v>
      </c>
      <c r="G246">
        <v>47</v>
      </c>
      <c r="H246" s="9">
        <v>2.75</v>
      </c>
      <c r="I246" t="s">
        <v>354</v>
      </c>
      <c r="J246" t="s">
        <v>354</v>
      </c>
      <c r="K246" t="s">
        <v>2184</v>
      </c>
      <c r="L246" t="s">
        <v>45</v>
      </c>
      <c r="M246" s="10"/>
      <c r="N246" t="s">
        <v>46</v>
      </c>
      <c r="O246">
        <v>1</v>
      </c>
      <c r="P246">
        <v>1</v>
      </c>
      <c r="Q246" t="s">
        <v>504</v>
      </c>
      <c r="R246" t="s">
        <v>451</v>
      </c>
      <c r="S246" t="s">
        <v>505</v>
      </c>
      <c r="T246" t="s">
        <v>47</v>
      </c>
      <c r="U246" t="s">
        <v>434</v>
      </c>
      <c r="V246" t="s">
        <v>47</v>
      </c>
      <c r="W246" t="s">
        <v>68</v>
      </c>
      <c r="X246" t="s">
        <v>497</v>
      </c>
      <c r="Y246" t="s">
        <v>47</v>
      </c>
      <c r="Z246">
        <v>65</v>
      </c>
      <c r="AA246" t="s">
        <v>47</v>
      </c>
      <c r="AB246" t="s">
        <v>47</v>
      </c>
      <c r="AC246" t="s">
        <v>47</v>
      </c>
      <c r="AD246" t="s">
        <v>47</v>
      </c>
      <c r="AE246"/>
      <c r="AF246" t="s">
        <v>47</v>
      </c>
      <c r="AG246" t="s">
        <v>47</v>
      </c>
      <c r="AH246" t="s">
        <v>47</v>
      </c>
      <c r="AI246" t="s">
        <v>47</v>
      </c>
      <c r="AJ246"/>
      <c r="AK246"/>
      <c r="AL246" t="s">
        <v>47</v>
      </c>
      <c r="AM246"/>
      <c r="AN246"/>
      <c r="AO246" t="s">
        <v>47</v>
      </c>
      <c r="AP246" t="s">
        <v>47</v>
      </c>
      <c r="AQ246" t="s">
        <v>47</v>
      </c>
      <c r="AR246"/>
      <c r="AS246"/>
      <c r="AT246"/>
      <c r="AU246"/>
      <c r="AV246" t="s">
        <v>499</v>
      </c>
      <c r="AW246" t="s">
        <v>47</v>
      </c>
      <c r="AX246">
        <v>12</v>
      </c>
      <c r="AY246">
        <v>12</v>
      </c>
      <c r="AZ246"/>
      <c r="BA246"/>
      <c r="BB246"/>
      <c r="BC246">
        <v>0</v>
      </c>
      <c r="BD246">
        <v>0</v>
      </c>
      <c r="BE246" t="s">
        <v>47</v>
      </c>
      <c r="BF246"/>
      <c r="BG246"/>
      <c r="BH246"/>
      <c r="BI246">
        <v>0</v>
      </c>
      <c r="BJ246">
        <v>0</v>
      </c>
      <c r="BK246"/>
      <c r="BL246"/>
      <c r="BM246" t="s">
        <v>47</v>
      </c>
      <c r="BN246" t="s">
        <v>47</v>
      </c>
      <c r="BO246" t="s">
        <v>47</v>
      </c>
      <c r="BP246" t="s">
        <v>47</v>
      </c>
      <c r="BQ246" t="s">
        <v>47</v>
      </c>
      <c r="BR246"/>
      <c r="BS246" t="s">
        <v>47</v>
      </c>
      <c r="BT246" t="s">
        <v>47</v>
      </c>
      <c r="BU246" t="s">
        <v>47</v>
      </c>
      <c r="BV246"/>
      <c r="BW246" t="s">
        <v>47</v>
      </c>
      <c r="BX246" t="s">
        <v>47</v>
      </c>
      <c r="BY246" t="s">
        <v>47</v>
      </c>
      <c r="BZ246" t="s">
        <v>47</v>
      </c>
      <c r="CA246" t="s">
        <v>47</v>
      </c>
      <c r="CB246" t="s">
        <v>47</v>
      </c>
      <c r="CC246" t="s">
        <v>47</v>
      </c>
      <c r="CD246" t="s">
        <v>47</v>
      </c>
      <c r="CE246" t="s">
        <v>47</v>
      </c>
      <c r="CF246" t="s">
        <v>47</v>
      </c>
      <c r="CG246" t="s">
        <v>47</v>
      </c>
      <c r="CH246" t="s">
        <v>47</v>
      </c>
      <c r="CI246" t="s">
        <v>47</v>
      </c>
      <c r="CJ246" t="s">
        <v>47</v>
      </c>
      <c r="CK246"/>
    </row>
    <row r="247" spans="1:89" s="7" customFormat="1" x14ac:dyDescent="0.25">
      <c r="A247" t="s">
        <v>1484</v>
      </c>
      <c r="B247" t="s">
        <v>693</v>
      </c>
      <c r="C247" t="s">
        <v>878</v>
      </c>
      <c r="D247" t="s">
        <v>1955</v>
      </c>
      <c r="E247">
        <v>2210</v>
      </c>
      <c r="F247" t="s">
        <v>355</v>
      </c>
      <c r="G247">
        <v>48</v>
      </c>
      <c r="H247" s="9">
        <v>2.75</v>
      </c>
      <c r="I247" t="s">
        <v>355</v>
      </c>
      <c r="J247" t="s">
        <v>355</v>
      </c>
      <c r="K247" t="s">
        <v>2184</v>
      </c>
      <c r="L247" t="s">
        <v>45</v>
      </c>
      <c r="M247" s="10"/>
      <c r="N247" t="s">
        <v>46</v>
      </c>
      <c r="O247">
        <v>1</v>
      </c>
      <c r="P247">
        <v>1</v>
      </c>
      <c r="Q247" t="s">
        <v>512</v>
      </c>
      <c r="R247" t="s">
        <v>451</v>
      </c>
      <c r="S247" t="s">
        <v>513</v>
      </c>
      <c r="T247" t="s">
        <v>47</v>
      </c>
      <c r="U247" t="s">
        <v>510</v>
      </c>
      <c r="V247" t="s">
        <v>47</v>
      </c>
      <c r="W247" t="s">
        <v>507</v>
      </c>
      <c r="X247" t="s">
        <v>497</v>
      </c>
      <c r="Y247" t="s">
        <v>47</v>
      </c>
      <c r="Z247">
        <v>65</v>
      </c>
      <c r="AA247" t="s">
        <v>47</v>
      </c>
      <c r="AB247" t="s">
        <v>47</v>
      </c>
      <c r="AC247" t="s">
        <v>47</v>
      </c>
      <c r="AD247" t="s">
        <v>47</v>
      </c>
      <c r="AE247"/>
      <c r="AF247" t="s">
        <v>47</v>
      </c>
      <c r="AG247" t="s">
        <v>47</v>
      </c>
      <c r="AH247" t="s">
        <v>47</v>
      </c>
      <c r="AI247" t="s">
        <v>47</v>
      </c>
      <c r="AJ247"/>
      <c r="AK247"/>
      <c r="AL247" t="s">
        <v>47</v>
      </c>
      <c r="AM247"/>
      <c r="AN247"/>
      <c r="AO247" t="s">
        <v>47</v>
      </c>
      <c r="AP247" t="s">
        <v>47</v>
      </c>
      <c r="AQ247" t="s">
        <v>47</v>
      </c>
      <c r="AR247"/>
      <c r="AS247"/>
      <c r="AT247"/>
      <c r="AU247"/>
      <c r="AV247" t="s">
        <v>514</v>
      </c>
      <c r="AW247" t="s">
        <v>47</v>
      </c>
      <c r="AX247">
        <v>1</v>
      </c>
      <c r="AY247">
        <v>1</v>
      </c>
      <c r="AZ247"/>
      <c r="BA247"/>
      <c r="BB247"/>
      <c r="BC247">
        <v>0</v>
      </c>
      <c r="BD247">
        <v>0</v>
      </c>
      <c r="BE247" t="s">
        <v>47</v>
      </c>
      <c r="BF247"/>
      <c r="BG247"/>
      <c r="BH247"/>
      <c r="BI247">
        <v>0</v>
      </c>
      <c r="BJ247">
        <v>0</v>
      </c>
      <c r="BK247"/>
      <c r="BL247"/>
      <c r="BM247" t="s">
        <v>47</v>
      </c>
      <c r="BN247" t="s">
        <v>47</v>
      </c>
      <c r="BO247" t="s">
        <v>47</v>
      </c>
      <c r="BP247" t="s">
        <v>47</v>
      </c>
      <c r="BQ247" t="s">
        <v>47</v>
      </c>
      <c r="BR247"/>
      <c r="BS247" t="s">
        <v>47</v>
      </c>
      <c r="BT247" t="s">
        <v>47</v>
      </c>
      <c r="BU247" t="s">
        <v>47</v>
      </c>
      <c r="BV247"/>
      <c r="BW247" t="s">
        <v>47</v>
      </c>
      <c r="BX247" t="s">
        <v>47</v>
      </c>
      <c r="BY247" t="s">
        <v>47</v>
      </c>
      <c r="BZ247" t="s">
        <v>47</v>
      </c>
      <c r="CA247" t="s">
        <v>47</v>
      </c>
      <c r="CB247" t="s">
        <v>47</v>
      </c>
      <c r="CC247" t="s">
        <v>47</v>
      </c>
      <c r="CD247" t="s">
        <v>47</v>
      </c>
      <c r="CE247" t="s">
        <v>47</v>
      </c>
      <c r="CF247" t="s">
        <v>47</v>
      </c>
      <c r="CG247" t="s">
        <v>47</v>
      </c>
      <c r="CH247" t="s">
        <v>47</v>
      </c>
      <c r="CI247" t="s">
        <v>47</v>
      </c>
      <c r="CJ247" t="s">
        <v>47</v>
      </c>
      <c r="CK247"/>
    </row>
    <row r="248" spans="1:89" s="7" customFormat="1" x14ac:dyDescent="0.25">
      <c r="A248" t="s">
        <v>1484</v>
      </c>
      <c r="B248" t="s">
        <v>694</v>
      </c>
      <c r="C248" t="s">
        <v>879</v>
      </c>
      <c r="D248" t="s">
        <v>1956</v>
      </c>
      <c r="E248">
        <v>2300</v>
      </c>
      <c r="F248" t="s">
        <v>356</v>
      </c>
      <c r="G248">
        <v>105</v>
      </c>
      <c r="H248" s="9">
        <v>2.2000000000000002</v>
      </c>
      <c r="I248" t="s">
        <v>356</v>
      </c>
      <c r="J248" t="s">
        <v>356</v>
      </c>
      <c r="K248" t="s">
        <v>2185</v>
      </c>
      <c r="L248" t="s">
        <v>45</v>
      </c>
      <c r="M248" s="10"/>
      <c r="N248" t="s">
        <v>46</v>
      </c>
      <c r="O248">
        <v>1</v>
      </c>
      <c r="P248">
        <v>1</v>
      </c>
      <c r="Q248" t="s">
        <v>504</v>
      </c>
      <c r="R248" t="s">
        <v>451</v>
      </c>
      <c r="S248" t="s">
        <v>516</v>
      </c>
      <c r="T248" t="s">
        <v>47</v>
      </c>
      <c r="U248" t="s">
        <v>510</v>
      </c>
      <c r="V248" t="s">
        <v>47</v>
      </c>
      <c r="W248" t="s">
        <v>507</v>
      </c>
      <c r="X248" t="s">
        <v>497</v>
      </c>
      <c r="Y248" t="s">
        <v>47</v>
      </c>
      <c r="Z248">
        <v>65</v>
      </c>
      <c r="AA248" t="s">
        <v>47</v>
      </c>
      <c r="AB248" t="s">
        <v>47</v>
      </c>
      <c r="AC248" t="s">
        <v>47</v>
      </c>
      <c r="AD248" t="s">
        <v>47</v>
      </c>
      <c r="AE248"/>
      <c r="AF248" t="s">
        <v>47</v>
      </c>
      <c r="AG248" t="s">
        <v>47</v>
      </c>
      <c r="AH248" t="s">
        <v>47</v>
      </c>
      <c r="AI248" t="s">
        <v>47</v>
      </c>
      <c r="AJ248"/>
      <c r="AK248"/>
      <c r="AL248" t="s">
        <v>47</v>
      </c>
      <c r="AM248"/>
      <c r="AN248"/>
      <c r="AO248" t="s">
        <v>47</v>
      </c>
      <c r="AP248" t="s">
        <v>47</v>
      </c>
      <c r="AQ248" t="s">
        <v>47</v>
      </c>
      <c r="AR248"/>
      <c r="AS248"/>
      <c r="AT248"/>
      <c r="AU248"/>
      <c r="AV248" t="s">
        <v>508</v>
      </c>
      <c r="AW248" t="s">
        <v>47</v>
      </c>
      <c r="AX248">
        <v>1</v>
      </c>
      <c r="AY248">
        <v>1</v>
      </c>
      <c r="AZ248"/>
      <c r="BA248"/>
      <c r="BB248"/>
      <c r="BC248">
        <v>0</v>
      </c>
      <c r="BD248">
        <v>0</v>
      </c>
      <c r="BE248" t="s">
        <v>47</v>
      </c>
      <c r="BF248"/>
      <c r="BG248"/>
      <c r="BH248"/>
      <c r="BI248">
        <v>0</v>
      </c>
      <c r="BJ248">
        <v>0</v>
      </c>
      <c r="BK248"/>
      <c r="BL248"/>
      <c r="BM248" t="s">
        <v>47</v>
      </c>
      <c r="BN248" t="s">
        <v>47</v>
      </c>
      <c r="BO248" t="s">
        <v>47</v>
      </c>
      <c r="BP248" t="s">
        <v>47</v>
      </c>
      <c r="BQ248" t="s">
        <v>47</v>
      </c>
      <c r="BR248"/>
      <c r="BS248" t="s">
        <v>47</v>
      </c>
      <c r="BT248" t="s">
        <v>47</v>
      </c>
      <c r="BU248" t="s">
        <v>47</v>
      </c>
      <c r="BV248"/>
      <c r="BW248" t="s">
        <v>47</v>
      </c>
      <c r="BX248" t="s">
        <v>47</v>
      </c>
      <c r="BY248" t="s">
        <v>47</v>
      </c>
      <c r="BZ248" t="s">
        <v>47</v>
      </c>
      <c r="CA248" t="s">
        <v>47</v>
      </c>
      <c r="CB248" t="s">
        <v>47</v>
      </c>
      <c r="CC248" t="s">
        <v>47</v>
      </c>
      <c r="CD248" t="s">
        <v>47</v>
      </c>
      <c r="CE248" t="s">
        <v>47</v>
      </c>
      <c r="CF248" t="s">
        <v>47</v>
      </c>
      <c r="CG248" t="s">
        <v>47</v>
      </c>
      <c r="CH248" t="s">
        <v>47</v>
      </c>
      <c r="CI248" t="s">
        <v>47</v>
      </c>
      <c r="CJ248" t="s">
        <v>47</v>
      </c>
      <c r="CK248"/>
    </row>
    <row r="249" spans="1:89" s="7" customFormat="1" x14ac:dyDescent="0.25">
      <c r="A249" t="s">
        <v>1484</v>
      </c>
      <c r="B249" t="s">
        <v>133</v>
      </c>
      <c r="C249" t="s">
        <v>881</v>
      </c>
      <c r="D249" t="s">
        <v>1957</v>
      </c>
      <c r="E249">
        <v>2400</v>
      </c>
      <c r="F249" t="s">
        <v>357</v>
      </c>
      <c r="G249">
        <v>116</v>
      </c>
      <c r="H249" s="9">
        <v>1</v>
      </c>
      <c r="I249" t="s">
        <v>357</v>
      </c>
      <c r="J249" t="s">
        <v>357</v>
      </c>
      <c r="K249" t="s">
        <v>2186</v>
      </c>
      <c r="L249" t="s">
        <v>45</v>
      </c>
      <c r="M249" s="10"/>
      <c r="N249" t="s">
        <v>46</v>
      </c>
      <c r="O249">
        <v>1</v>
      </c>
      <c r="P249">
        <v>1</v>
      </c>
      <c r="Q249" t="s">
        <v>383</v>
      </c>
      <c r="R249" t="s">
        <v>451</v>
      </c>
      <c r="S249" t="s">
        <v>518</v>
      </c>
      <c r="T249" t="s">
        <v>47</v>
      </c>
      <c r="U249" t="s">
        <v>51</v>
      </c>
      <c r="V249" t="s">
        <v>47</v>
      </c>
      <c r="W249" t="s">
        <v>507</v>
      </c>
      <c r="X249" t="s">
        <v>497</v>
      </c>
      <c r="Y249" t="s">
        <v>47</v>
      </c>
      <c r="Z249">
        <v>65</v>
      </c>
      <c r="AA249" t="s">
        <v>47</v>
      </c>
      <c r="AB249" t="s">
        <v>47</v>
      </c>
      <c r="AC249" t="s">
        <v>47</v>
      </c>
      <c r="AD249" t="s">
        <v>47</v>
      </c>
      <c r="AE249"/>
      <c r="AF249" t="s">
        <v>47</v>
      </c>
      <c r="AG249" t="s">
        <v>47</v>
      </c>
      <c r="AH249" t="s">
        <v>47</v>
      </c>
      <c r="AI249" t="s">
        <v>47</v>
      </c>
      <c r="AJ249"/>
      <c r="AK249"/>
      <c r="AL249" t="s">
        <v>47</v>
      </c>
      <c r="AM249"/>
      <c r="AN249"/>
      <c r="AO249" t="s">
        <v>47</v>
      </c>
      <c r="AP249" t="s">
        <v>47</v>
      </c>
      <c r="AQ249" t="s">
        <v>47</v>
      </c>
      <c r="AR249"/>
      <c r="AS249"/>
      <c r="AT249"/>
      <c r="AU249"/>
      <c r="AV249" t="s">
        <v>508</v>
      </c>
      <c r="AW249" t="s">
        <v>47</v>
      </c>
      <c r="AX249">
        <v>1</v>
      </c>
      <c r="AY249">
        <v>1</v>
      </c>
      <c r="AZ249"/>
      <c r="BA249"/>
      <c r="BB249"/>
      <c r="BC249">
        <v>0</v>
      </c>
      <c r="BD249">
        <v>0</v>
      </c>
      <c r="BE249" t="s">
        <v>47</v>
      </c>
      <c r="BF249"/>
      <c r="BG249"/>
      <c r="BH249"/>
      <c r="BI249">
        <v>0</v>
      </c>
      <c r="BJ249">
        <v>0</v>
      </c>
      <c r="BK249"/>
      <c r="BL249"/>
      <c r="BM249" t="s">
        <v>47</v>
      </c>
      <c r="BN249" t="s">
        <v>47</v>
      </c>
      <c r="BO249" t="s">
        <v>47</v>
      </c>
      <c r="BP249" t="s">
        <v>47</v>
      </c>
      <c r="BQ249" t="s">
        <v>47</v>
      </c>
      <c r="BR249"/>
      <c r="BS249" t="s">
        <v>47</v>
      </c>
      <c r="BT249" t="s">
        <v>47</v>
      </c>
      <c r="BU249" t="s">
        <v>47</v>
      </c>
      <c r="BV249"/>
      <c r="BW249" t="s">
        <v>47</v>
      </c>
      <c r="BX249" t="s">
        <v>47</v>
      </c>
      <c r="BY249" t="s">
        <v>47</v>
      </c>
      <c r="BZ249" t="s">
        <v>47</v>
      </c>
      <c r="CA249" t="s">
        <v>47</v>
      </c>
      <c r="CB249" t="s">
        <v>47</v>
      </c>
      <c r="CC249" t="s">
        <v>47</v>
      </c>
      <c r="CD249" t="s">
        <v>47</v>
      </c>
      <c r="CE249" t="s">
        <v>47</v>
      </c>
      <c r="CF249" t="s">
        <v>47</v>
      </c>
      <c r="CG249" t="s">
        <v>47</v>
      </c>
      <c r="CH249" t="s">
        <v>47</v>
      </c>
      <c r="CI249" t="s">
        <v>47</v>
      </c>
      <c r="CJ249" t="s">
        <v>47</v>
      </c>
      <c r="CK249"/>
    </row>
    <row r="250" spans="1:89" s="7" customFormat="1" x14ac:dyDescent="0.25">
      <c r="A250" t="s">
        <v>1484</v>
      </c>
      <c r="B250" t="s">
        <v>133</v>
      </c>
      <c r="C250" t="s">
        <v>880</v>
      </c>
      <c r="D250" t="s">
        <v>1958</v>
      </c>
      <c r="E250">
        <v>2405</v>
      </c>
      <c r="F250" t="s">
        <v>359</v>
      </c>
      <c r="G250">
        <v>150</v>
      </c>
      <c r="H250" s="9">
        <v>1</v>
      </c>
      <c r="I250" t="s">
        <v>359</v>
      </c>
      <c r="J250" t="s">
        <v>359</v>
      </c>
      <c r="K250" t="s">
        <v>2186</v>
      </c>
      <c r="L250" t="s">
        <v>45</v>
      </c>
      <c r="M250" s="10"/>
      <c r="N250" t="s">
        <v>46</v>
      </c>
      <c r="O250">
        <v>1</v>
      </c>
      <c r="P250">
        <v>1</v>
      </c>
      <c r="Q250" t="s">
        <v>520</v>
      </c>
      <c r="R250" t="s">
        <v>451</v>
      </c>
      <c r="S250" t="s">
        <v>521</v>
      </c>
      <c r="T250" t="s">
        <v>47</v>
      </c>
      <c r="U250" t="s">
        <v>522</v>
      </c>
      <c r="V250" t="s">
        <v>47</v>
      </c>
      <c r="W250" t="s">
        <v>507</v>
      </c>
      <c r="X250" t="s">
        <v>497</v>
      </c>
      <c r="Y250" t="s">
        <v>47</v>
      </c>
      <c r="Z250">
        <v>65</v>
      </c>
      <c r="AA250" t="s">
        <v>47</v>
      </c>
      <c r="AB250" t="s">
        <v>47</v>
      </c>
      <c r="AC250" t="s">
        <v>47</v>
      </c>
      <c r="AD250" t="s">
        <v>47</v>
      </c>
      <c r="AE250"/>
      <c r="AF250" t="s">
        <v>47</v>
      </c>
      <c r="AG250" t="s">
        <v>47</v>
      </c>
      <c r="AH250" t="s">
        <v>47</v>
      </c>
      <c r="AI250" t="s">
        <v>47</v>
      </c>
      <c r="AJ250"/>
      <c r="AK250"/>
      <c r="AL250" t="s">
        <v>47</v>
      </c>
      <c r="AM250"/>
      <c r="AN250"/>
      <c r="AO250" t="s">
        <v>47</v>
      </c>
      <c r="AP250" t="s">
        <v>47</v>
      </c>
      <c r="AQ250" t="s">
        <v>47</v>
      </c>
      <c r="AR250"/>
      <c r="AS250"/>
      <c r="AT250"/>
      <c r="AU250"/>
      <c r="AV250" t="s">
        <v>514</v>
      </c>
      <c r="AW250" t="s">
        <v>47</v>
      </c>
      <c r="AX250">
        <v>1</v>
      </c>
      <c r="AY250">
        <v>1</v>
      </c>
      <c r="AZ250"/>
      <c r="BA250"/>
      <c r="BB250"/>
      <c r="BC250">
        <v>0</v>
      </c>
      <c r="BD250">
        <v>0</v>
      </c>
      <c r="BE250" t="s">
        <v>47</v>
      </c>
      <c r="BF250"/>
      <c r="BG250"/>
      <c r="BH250"/>
      <c r="BI250">
        <v>0</v>
      </c>
      <c r="BJ250">
        <v>0</v>
      </c>
      <c r="BK250"/>
      <c r="BL250"/>
      <c r="BM250" t="s">
        <v>47</v>
      </c>
      <c r="BN250" t="s">
        <v>47</v>
      </c>
      <c r="BO250" t="s">
        <v>47</v>
      </c>
      <c r="BP250" t="s">
        <v>47</v>
      </c>
      <c r="BQ250" t="s">
        <v>47</v>
      </c>
      <c r="BR250"/>
      <c r="BS250" t="s">
        <v>47</v>
      </c>
      <c r="BT250" t="s">
        <v>47</v>
      </c>
      <c r="BU250" t="s">
        <v>47</v>
      </c>
      <c r="BV250"/>
      <c r="BW250" t="s">
        <v>47</v>
      </c>
      <c r="BX250" t="s">
        <v>47</v>
      </c>
      <c r="BY250" t="s">
        <v>47</v>
      </c>
      <c r="BZ250" t="s">
        <v>47</v>
      </c>
      <c r="CA250" t="s">
        <v>47</v>
      </c>
      <c r="CB250" t="s">
        <v>47</v>
      </c>
      <c r="CC250" t="s">
        <v>47</v>
      </c>
      <c r="CD250" t="s">
        <v>47</v>
      </c>
      <c r="CE250" t="s">
        <v>47</v>
      </c>
      <c r="CF250" t="s">
        <v>47</v>
      </c>
      <c r="CG250" t="s">
        <v>47</v>
      </c>
      <c r="CH250" t="s">
        <v>47</v>
      </c>
      <c r="CI250" t="s">
        <v>47</v>
      </c>
      <c r="CJ250" t="s">
        <v>47</v>
      </c>
      <c r="CK250"/>
    </row>
    <row r="251" spans="1:89" s="7" customFormat="1" x14ac:dyDescent="0.25">
      <c r="A251" t="s">
        <v>1484</v>
      </c>
      <c r="B251" t="s">
        <v>133</v>
      </c>
      <c r="C251" t="s">
        <v>882</v>
      </c>
      <c r="D251" t="s">
        <v>1959</v>
      </c>
      <c r="E251">
        <v>2410</v>
      </c>
      <c r="F251" t="s">
        <v>360</v>
      </c>
      <c r="G251">
        <v>218</v>
      </c>
      <c r="H251" s="9">
        <v>1</v>
      </c>
      <c r="I251" t="s">
        <v>360</v>
      </c>
      <c r="J251" t="s">
        <v>360</v>
      </c>
      <c r="K251" t="s">
        <v>2186</v>
      </c>
      <c r="L251" t="s">
        <v>45</v>
      </c>
      <c r="M251" s="10"/>
      <c r="N251" t="s">
        <v>46</v>
      </c>
      <c r="O251">
        <v>1</v>
      </c>
      <c r="P251">
        <v>1</v>
      </c>
      <c r="Q251" t="s">
        <v>390</v>
      </c>
      <c r="R251" t="s">
        <v>451</v>
      </c>
      <c r="S251" t="s">
        <v>509</v>
      </c>
      <c r="T251" t="s">
        <v>47</v>
      </c>
      <c r="U251" t="s">
        <v>434</v>
      </c>
      <c r="V251" t="s">
        <v>47</v>
      </c>
      <c r="W251" t="s">
        <v>507</v>
      </c>
      <c r="X251" t="s">
        <v>497</v>
      </c>
      <c r="Y251" t="s">
        <v>47</v>
      </c>
      <c r="Z251">
        <v>65</v>
      </c>
      <c r="AA251" t="s">
        <v>47</v>
      </c>
      <c r="AB251" t="s">
        <v>47</v>
      </c>
      <c r="AC251" t="s">
        <v>47</v>
      </c>
      <c r="AD251" t="s">
        <v>47</v>
      </c>
      <c r="AE251"/>
      <c r="AF251" t="s">
        <v>47</v>
      </c>
      <c r="AG251" t="s">
        <v>47</v>
      </c>
      <c r="AH251" t="s">
        <v>47</v>
      </c>
      <c r="AI251" t="s">
        <v>47</v>
      </c>
      <c r="AJ251"/>
      <c r="AK251"/>
      <c r="AL251" t="s">
        <v>47</v>
      </c>
      <c r="AM251"/>
      <c r="AN251"/>
      <c r="AO251" t="s">
        <v>47</v>
      </c>
      <c r="AP251" t="s">
        <v>47</v>
      </c>
      <c r="AQ251" t="s">
        <v>47</v>
      </c>
      <c r="AR251"/>
      <c r="AS251"/>
      <c r="AT251"/>
      <c r="AU251"/>
      <c r="AV251" t="s">
        <v>508</v>
      </c>
      <c r="AW251" t="s">
        <v>47</v>
      </c>
      <c r="AX251">
        <v>1</v>
      </c>
      <c r="AY251">
        <v>1</v>
      </c>
      <c r="AZ251"/>
      <c r="BA251"/>
      <c r="BB251"/>
      <c r="BC251">
        <v>0</v>
      </c>
      <c r="BD251">
        <v>0</v>
      </c>
      <c r="BE251" t="s">
        <v>47</v>
      </c>
      <c r="BF251"/>
      <c r="BG251"/>
      <c r="BH251"/>
      <c r="BI251">
        <v>0</v>
      </c>
      <c r="BJ251">
        <v>0</v>
      </c>
      <c r="BK251"/>
      <c r="BL251"/>
      <c r="BM251" t="s">
        <v>47</v>
      </c>
      <c r="BN251" t="s">
        <v>47</v>
      </c>
      <c r="BO251" t="s">
        <v>47</v>
      </c>
      <c r="BP251" t="s">
        <v>47</v>
      </c>
      <c r="BQ251" t="s">
        <v>47</v>
      </c>
      <c r="BR251"/>
      <c r="BS251" t="s">
        <v>47</v>
      </c>
      <c r="BT251" t="s">
        <v>47</v>
      </c>
      <c r="BU251" t="s">
        <v>47</v>
      </c>
      <c r="BV251"/>
      <c r="BW251" t="s">
        <v>47</v>
      </c>
      <c r="BX251" t="s">
        <v>47</v>
      </c>
      <c r="BY251" t="s">
        <v>47</v>
      </c>
      <c r="BZ251" t="s">
        <v>47</v>
      </c>
      <c r="CA251" t="s">
        <v>47</v>
      </c>
      <c r="CB251" t="s">
        <v>47</v>
      </c>
      <c r="CC251" t="s">
        <v>47</v>
      </c>
      <c r="CD251" t="s">
        <v>47</v>
      </c>
      <c r="CE251" t="s">
        <v>47</v>
      </c>
      <c r="CF251" t="s">
        <v>47</v>
      </c>
      <c r="CG251" t="s">
        <v>47</v>
      </c>
      <c r="CH251" t="s">
        <v>47</v>
      </c>
      <c r="CI251" t="s">
        <v>47</v>
      </c>
      <c r="CJ251" t="s">
        <v>47</v>
      </c>
      <c r="CK251"/>
    </row>
    <row r="252" spans="1:89" s="7" customFormat="1" x14ac:dyDescent="0.25">
      <c r="A252" t="s">
        <v>1484</v>
      </c>
      <c r="B252" t="s">
        <v>133</v>
      </c>
      <c r="C252" t="s">
        <v>883</v>
      </c>
      <c r="D252" t="s">
        <v>1960</v>
      </c>
      <c r="E252">
        <v>2415</v>
      </c>
      <c r="F252" t="s">
        <v>362</v>
      </c>
      <c r="G252">
        <v>113</v>
      </c>
      <c r="H252" s="9">
        <v>1</v>
      </c>
      <c r="I252" t="s">
        <v>362</v>
      </c>
      <c r="J252" t="s">
        <v>362</v>
      </c>
      <c r="K252" t="s">
        <v>2186</v>
      </c>
      <c r="L252" t="s">
        <v>45</v>
      </c>
      <c r="M252" s="10"/>
      <c r="N252" t="s">
        <v>46</v>
      </c>
      <c r="O252">
        <v>1</v>
      </c>
      <c r="P252">
        <v>1</v>
      </c>
      <c r="Q252" t="s">
        <v>512</v>
      </c>
      <c r="R252" t="s">
        <v>451</v>
      </c>
      <c r="S252" t="s">
        <v>513</v>
      </c>
      <c r="T252" t="s">
        <v>47</v>
      </c>
      <c r="U252" t="s">
        <v>434</v>
      </c>
      <c r="V252" t="s">
        <v>47</v>
      </c>
      <c r="W252" t="s">
        <v>507</v>
      </c>
      <c r="X252" t="s">
        <v>497</v>
      </c>
      <c r="Y252" t="s">
        <v>47</v>
      </c>
      <c r="Z252">
        <v>65</v>
      </c>
      <c r="AA252" t="s">
        <v>47</v>
      </c>
      <c r="AB252" t="s">
        <v>47</v>
      </c>
      <c r="AC252" t="s">
        <v>47</v>
      </c>
      <c r="AD252" t="s">
        <v>47</v>
      </c>
      <c r="AE252"/>
      <c r="AF252" t="s">
        <v>47</v>
      </c>
      <c r="AG252" t="s">
        <v>47</v>
      </c>
      <c r="AH252" t="s">
        <v>47</v>
      </c>
      <c r="AI252" t="s">
        <v>47</v>
      </c>
      <c r="AJ252"/>
      <c r="AK252"/>
      <c r="AL252" t="s">
        <v>47</v>
      </c>
      <c r="AM252"/>
      <c r="AN252"/>
      <c r="AO252" t="s">
        <v>47</v>
      </c>
      <c r="AP252" t="s">
        <v>47</v>
      </c>
      <c r="AQ252" t="s">
        <v>47</v>
      </c>
      <c r="AR252"/>
      <c r="AS252"/>
      <c r="AT252"/>
      <c r="AU252"/>
      <c r="AV252" t="s">
        <v>514</v>
      </c>
      <c r="AW252" t="s">
        <v>47</v>
      </c>
      <c r="AX252">
        <v>1</v>
      </c>
      <c r="AY252">
        <v>1</v>
      </c>
      <c r="AZ252"/>
      <c r="BA252"/>
      <c r="BB252"/>
      <c r="BC252">
        <v>0</v>
      </c>
      <c r="BD252">
        <v>0</v>
      </c>
      <c r="BE252" t="s">
        <v>47</v>
      </c>
      <c r="BF252"/>
      <c r="BG252"/>
      <c r="BH252"/>
      <c r="BI252">
        <v>0</v>
      </c>
      <c r="BJ252">
        <v>0</v>
      </c>
      <c r="BK252"/>
      <c r="BL252"/>
      <c r="BM252" t="s">
        <v>47</v>
      </c>
      <c r="BN252" t="s">
        <v>47</v>
      </c>
      <c r="BO252" t="s">
        <v>47</v>
      </c>
      <c r="BP252" t="s">
        <v>47</v>
      </c>
      <c r="BQ252" t="s">
        <v>47</v>
      </c>
      <c r="BR252"/>
      <c r="BS252" t="s">
        <v>47</v>
      </c>
      <c r="BT252" t="s">
        <v>47</v>
      </c>
      <c r="BU252" t="s">
        <v>47</v>
      </c>
      <c r="BV252"/>
      <c r="BW252" t="s">
        <v>47</v>
      </c>
      <c r="BX252" t="s">
        <v>47</v>
      </c>
      <c r="BY252" t="s">
        <v>47</v>
      </c>
      <c r="BZ252" t="s">
        <v>47</v>
      </c>
      <c r="CA252" t="s">
        <v>47</v>
      </c>
      <c r="CB252" t="s">
        <v>47</v>
      </c>
      <c r="CC252" t="s">
        <v>47</v>
      </c>
      <c r="CD252" t="s">
        <v>47</v>
      </c>
      <c r="CE252" t="s">
        <v>47</v>
      </c>
      <c r="CF252" t="s">
        <v>47</v>
      </c>
      <c r="CG252" t="s">
        <v>47</v>
      </c>
      <c r="CH252" t="s">
        <v>47</v>
      </c>
      <c r="CI252" t="s">
        <v>47</v>
      </c>
      <c r="CJ252" t="s">
        <v>47</v>
      </c>
      <c r="CK252"/>
    </row>
    <row r="253" spans="1:89" s="7" customFormat="1" x14ac:dyDescent="0.25">
      <c r="A253" t="s">
        <v>1484</v>
      </c>
      <c r="B253" t="s">
        <v>133</v>
      </c>
      <c r="C253" t="s">
        <v>884</v>
      </c>
      <c r="D253" t="s">
        <v>1961</v>
      </c>
      <c r="E253">
        <v>2420</v>
      </c>
      <c r="F253" t="s">
        <v>363</v>
      </c>
      <c r="G253">
        <v>199</v>
      </c>
      <c r="H253" s="9">
        <v>1.25</v>
      </c>
      <c r="I253" t="s">
        <v>363</v>
      </c>
      <c r="J253" t="s">
        <v>363</v>
      </c>
      <c r="K253" t="s">
        <v>2186</v>
      </c>
      <c r="L253" t="s">
        <v>45</v>
      </c>
      <c r="M253" s="10"/>
      <c r="N253" t="s">
        <v>46</v>
      </c>
      <c r="O253">
        <v>1</v>
      </c>
      <c r="P253">
        <v>1</v>
      </c>
      <c r="Q253" t="s">
        <v>526</v>
      </c>
      <c r="R253" t="s">
        <v>451</v>
      </c>
      <c r="S253" t="s">
        <v>527</v>
      </c>
      <c r="T253" t="s">
        <v>47</v>
      </c>
      <c r="U253" t="s">
        <v>434</v>
      </c>
      <c r="V253" t="s">
        <v>47</v>
      </c>
      <c r="W253" t="s">
        <v>507</v>
      </c>
      <c r="X253" t="s">
        <v>497</v>
      </c>
      <c r="Y253" t="s">
        <v>47</v>
      </c>
      <c r="Z253">
        <v>65</v>
      </c>
      <c r="AA253" t="s">
        <v>47</v>
      </c>
      <c r="AB253" t="s">
        <v>47</v>
      </c>
      <c r="AC253" t="s">
        <v>47</v>
      </c>
      <c r="AD253" t="s">
        <v>47</v>
      </c>
      <c r="AE253"/>
      <c r="AF253" t="s">
        <v>47</v>
      </c>
      <c r="AG253" t="s">
        <v>47</v>
      </c>
      <c r="AH253" t="s">
        <v>47</v>
      </c>
      <c r="AI253" t="s">
        <v>47</v>
      </c>
      <c r="AJ253"/>
      <c r="AK253"/>
      <c r="AL253" t="s">
        <v>47</v>
      </c>
      <c r="AM253"/>
      <c r="AN253"/>
      <c r="AO253" t="s">
        <v>47</v>
      </c>
      <c r="AP253" t="s">
        <v>47</v>
      </c>
      <c r="AQ253" t="s">
        <v>47</v>
      </c>
      <c r="AR253"/>
      <c r="AS253"/>
      <c r="AT253"/>
      <c r="AU253"/>
      <c r="AV253" t="s">
        <v>528</v>
      </c>
      <c r="AW253" t="s">
        <v>47</v>
      </c>
      <c r="AX253">
        <v>1</v>
      </c>
      <c r="AY253">
        <v>1</v>
      </c>
      <c r="AZ253"/>
      <c r="BA253"/>
      <c r="BB253"/>
      <c r="BC253">
        <v>0</v>
      </c>
      <c r="BD253">
        <v>0</v>
      </c>
      <c r="BE253" t="s">
        <v>47</v>
      </c>
      <c r="BF253"/>
      <c r="BG253"/>
      <c r="BH253"/>
      <c r="BI253">
        <v>0</v>
      </c>
      <c r="BJ253">
        <v>0</v>
      </c>
      <c r="BK253"/>
      <c r="BL253"/>
      <c r="BM253" t="s">
        <v>47</v>
      </c>
      <c r="BN253" t="s">
        <v>47</v>
      </c>
      <c r="BO253" t="s">
        <v>47</v>
      </c>
      <c r="BP253" t="s">
        <v>47</v>
      </c>
      <c r="BQ253" t="s">
        <v>47</v>
      </c>
      <c r="BR253"/>
      <c r="BS253" t="s">
        <v>47</v>
      </c>
      <c r="BT253" t="s">
        <v>47</v>
      </c>
      <c r="BU253" t="s">
        <v>47</v>
      </c>
      <c r="BV253"/>
      <c r="BW253" t="s">
        <v>47</v>
      </c>
      <c r="BX253" t="s">
        <v>47</v>
      </c>
      <c r="BY253" t="s">
        <v>47</v>
      </c>
      <c r="BZ253" t="s">
        <v>47</v>
      </c>
      <c r="CA253" t="s">
        <v>47</v>
      </c>
      <c r="CB253" t="s">
        <v>47</v>
      </c>
      <c r="CC253" t="s">
        <v>47</v>
      </c>
      <c r="CD253" t="s">
        <v>47</v>
      </c>
      <c r="CE253" t="s">
        <v>47</v>
      </c>
      <c r="CF253" t="s">
        <v>47</v>
      </c>
      <c r="CG253" t="s">
        <v>47</v>
      </c>
      <c r="CH253" t="s">
        <v>47</v>
      </c>
      <c r="CI253" t="s">
        <v>47</v>
      </c>
      <c r="CJ253" t="s">
        <v>47</v>
      </c>
      <c r="CK253"/>
    </row>
    <row r="254" spans="1:89" s="7" customFormat="1" x14ac:dyDescent="0.25">
      <c r="A254" t="s">
        <v>1484</v>
      </c>
      <c r="B254" t="s">
        <v>133</v>
      </c>
      <c r="C254" t="s">
        <v>885</v>
      </c>
      <c r="D254" t="s">
        <v>1962</v>
      </c>
      <c r="E254">
        <v>2425</v>
      </c>
      <c r="F254" t="s">
        <v>364</v>
      </c>
      <c r="G254">
        <v>6</v>
      </c>
      <c r="H254" s="9">
        <v>1.25</v>
      </c>
      <c r="I254" t="s">
        <v>364</v>
      </c>
      <c r="J254" t="s">
        <v>364</v>
      </c>
      <c r="K254" t="s">
        <v>2186</v>
      </c>
      <c r="L254" t="s">
        <v>45</v>
      </c>
      <c r="M254" s="10"/>
      <c r="N254" t="s">
        <v>46</v>
      </c>
      <c r="O254">
        <v>1</v>
      </c>
      <c r="P254">
        <v>1</v>
      </c>
      <c r="Q254" t="s">
        <v>352</v>
      </c>
      <c r="R254" t="s">
        <v>451</v>
      </c>
      <c r="S254" t="s">
        <v>530</v>
      </c>
      <c r="T254" t="s">
        <v>47</v>
      </c>
      <c r="U254" t="s">
        <v>531</v>
      </c>
      <c r="V254" t="s">
        <v>45</v>
      </c>
      <c r="W254" t="s">
        <v>68</v>
      </c>
      <c r="X254" t="s">
        <v>532</v>
      </c>
      <c r="Y254" t="s">
        <v>47</v>
      </c>
      <c r="Z254">
        <v>22</v>
      </c>
      <c r="AA254" t="s">
        <v>47</v>
      </c>
      <c r="AB254" t="s">
        <v>47</v>
      </c>
      <c r="AC254" t="s">
        <v>47</v>
      </c>
      <c r="AD254" t="s">
        <v>47</v>
      </c>
      <c r="AE254"/>
      <c r="AF254" t="s">
        <v>47</v>
      </c>
      <c r="AG254" t="s">
        <v>47</v>
      </c>
      <c r="AH254" t="s">
        <v>47</v>
      </c>
      <c r="AI254" t="s">
        <v>47</v>
      </c>
      <c r="AJ254"/>
      <c r="AK254"/>
      <c r="AL254" t="s">
        <v>47</v>
      </c>
      <c r="AM254"/>
      <c r="AN254"/>
      <c r="AO254" t="s">
        <v>47</v>
      </c>
      <c r="AP254" t="s">
        <v>47</v>
      </c>
      <c r="AQ254" t="s">
        <v>47</v>
      </c>
      <c r="AR254"/>
      <c r="AS254"/>
      <c r="AT254"/>
      <c r="AU254"/>
      <c r="AV254" t="s">
        <v>534</v>
      </c>
      <c r="AW254" t="s">
        <v>47</v>
      </c>
      <c r="AX254">
        <v>12</v>
      </c>
      <c r="AY254">
        <v>12</v>
      </c>
      <c r="AZ254"/>
      <c r="BA254"/>
      <c r="BB254"/>
      <c r="BC254">
        <v>0</v>
      </c>
      <c r="BD254">
        <v>0</v>
      </c>
      <c r="BE254" t="s">
        <v>47</v>
      </c>
      <c r="BF254"/>
      <c r="BG254"/>
      <c r="BH254"/>
      <c r="BI254">
        <v>0</v>
      </c>
      <c r="BJ254">
        <v>0</v>
      </c>
      <c r="BK254"/>
      <c r="BL254"/>
      <c r="BM254" t="s">
        <v>47</v>
      </c>
      <c r="BN254" t="s">
        <v>47</v>
      </c>
      <c r="BO254" t="s">
        <v>47</v>
      </c>
      <c r="BP254" t="s">
        <v>47</v>
      </c>
      <c r="BQ254" t="s">
        <v>47</v>
      </c>
      <c r="BR254"/>
      <c r="BS254" t="s">
        <v>47</v>
      </c>
      <c r="BT254" t="s">
        <v>47</v>
      </c>
      <c r="BU254" t="s">
        <v>47</v>
      </c>
      <c r="BV254"/>
      <c r="BW254" t="s">
        <v>47</v>
      </c>
      <c r="BX254" t="s">
        <v>47</v>
      </c>
      <c r="BY254" t="s">
        <v>47</v>
      </c>
      <c r="BZ254" t="s">
        <v>47</v>
      </c>
      <c r="CA254" t="s">
        <v>47</v>
      </c>
      <c r="CB254" t="s">
        <v>47</v>
      </c>
      <c r="CC254" t="s">
        <v>47</v>
      </c>
      <c r="CD254" t="s">
        <v>47</v>
      </c>
      <c r="CE254" t="s">
        <v>47</v>
      </c>
      <c r="CF254" t="s">
        <v>47</v>
      </c>
      <c r="CG254" t="s">
        <v>47</v>
      </c>
      <c r="CH254" t="s">
        <v>47</v>
      </c>
      <c r="CI254" t="s">
        <v>47</v>
      </c>
      <c r="CJ254" t="s">
        <v>47</v>
      </c>
      <c r="CK254"/>
    </row>
    <row r="255" spans="1:89" s="7" customFormat="1" x14ac:dyDescent="0.25">
      <c r="A255" t="s">
        <v>1484</v>
      </c>
      <c r="B255" t="s">
        <v>133</v>
      </c>
      <c r="C255" t="s">
        <v>886</v>
      </c>
      <c r="D255" t="s">
        <v>1963</v>
      </c>
      <c r="E255">
        <v>2430</v>
      </c>
      <c r="F255" t="s">
        <v>365</v>
      </c>
      <c r="G255">
        <v>1</v>
      </c>
      <c r="H255" s="9">
        <v>1.4</v>
      </c>
      <c r="I255" t="s">
        <v>365</v>
      </c>
      <c r="J255" t="s">
        <v>365</v>
      </c>
      <c r="K255" t="s">
        <v>2186</v>
      </c>
      <c r="L255" t="s">
        <v>45</v>
      </c>
      <c r="M255" s="10"/>
      <c r="N255" t="s">
        <v>46</v>
      </c>
      <c r="O255">
        <v>1</v>
      </c>
      <c r="P255">
        <v>1</v>
      </c>
      <c r="Q255" t="s">
        <v>343</v>
      </c>
      <c r="R255" t="s">
        <v>451</v>
      </c>
      <c r="S255" t="s">
        <v>204</v>
      </c>
      <c r="T255" t="s">
        <v>47</v>
      </c>
      <c r="U255" t="s">
        <v>531</v>
      </c>
      <c r="V255" t="s">
        <v>47</v>
      </c>
      <c r="W255" t="s">
        <v>68</v>
      </c>
      <c r="X255" t="s">
        <v>532</v>
      </c>
      <c r="Y255" t="s">
        <v>47</v>
      </c>
      <c r="Z255">
        <v>22</v>
      </c>
      <c r="AA255" t="s">
        <v>47</v>
      </c>
      <c r="AB255" t="s">
        <v>47</v>
      </c>
      <c r="AC255" t="s">
        <v>47</v>
      </c>
      <c r="AD255" t="s">
        <v>47</v>
      </c>
      <c r="AE255"/>
      <c r="AF255" t="s">
        <v>47</v>
      </c>
      <c r="AG255" t="s">
        <v>47</v>
      </c>
      <c r="AH255" t="s">
        <v>47</v>
      </c>
      <c r="AI255" t="s">
        <v>47</v>
      </c>
      <c r="AJ255"/>
      <c r="AK255"/>
      <c r="AL255" t="s">
        <v>47</v>
      </c>
      <c r="AM255"/>
      <c r="AN255"/>
      <c r="AO255" t="s">
        <v>47</v>
      </c>
      <c r="AP255" t="s">
        <v>47</v>
      </c>
      <c r="AQ255" t="s">
        <v>47</v>
      </c>
      <c r="AR255"/>
      <c r="AS255"/>
      <c r="AT255"/>
      <c r="AU255"/>
      <c r="AV255" t="s">
        <v>534</v>
      </c>
      <c r="AW255" t="s">
        <v>47</v>
      </c>
      <c r="AX255">
        <v>12</v>
      </c>
      <c r="AY255">
        <v>12</v>
      </c>
      <c r="AZ255"/>
      <c r="BA255"/>
      <c r="BB255"/>
      <c r="BC255">
        <v>0</v>
      </c>
      <c r="BD255">
        <v>0</v>
      </c>
      <c r="BE255" t="s">
        <v>47</v>
      </c>
      <c r="BF255"/>
      <c r="BG255"/>
      <c r="BH255"/>
      <c r="BI255">
        <v>0</v>
      </c>
      <c r="BJ255">
        <v>0</v>
      </c>
      <c r="BK255"/>
      <c r="BL255"/>
      <c r="BM255" t="s">
        <v>47</v>
      </c>
      <c r="BN255" t="s">
        <v>47</v>
      </c>
      <c r="BO255" t="s">
        <v>47</v>
      </c>
      <c r="BP255" t="s">
        <v>47</v>
      </c>
      <c r="BQ255" t="s">
        <v>47</v>
      </c>
      <c r="BR255"/>
      <c r="BS255" t="s">
        <v>47</v>
      </c>
      <c r="BT255" t="s">
        <v>47</v>
      </c>
      <c r="BU255" t="s">
        <v>47</v>
      </c>
      <c r="BV255"/>
      <c r="BW255" t="s">
        <v>47</v>
      </c>
      <c r="BX255" t="s">
        <v>47</v>
      </c>
      <c r="BY255" t="s">
        <v>47</v>
      </c>
      <c r="BZ255" t="s">
        <v>47</v>
      </c>
      <c r="CA255" t="s">
        <v>47</v>
      </c>
      <c r="CB255" t="s">
        <v>47</v>
      </c>
      <c r="CC255" t="s">
        <v>47</v>
      </c>
      <c r="CD255" t="s">
        <v>47</v>
      </c>
      <c r="CE255" t="s">
        <v>47</v>
      </c>
      <c r="CF255" t="s">
        <v>47</v>
      </c>
      <c r="CG255" t="s">
        <v>47</v>
      </c>
      <c r="CH255" t="s">
        <v>47</v>
      </c>
      <c r="CI255" t="s">
        <v>47</v>
      </c>
      <c r="CJ255" t="s">
        <v>47</v>
      </c>
      <c r="CK255"/>
    </row>
    <row r="256" spans="1:89" s="7" customFormat="1" x14ac:dyDescent="0.25">
      <c r="A256" t="s">
        <v>1484</v>
      </c>
      <c r="B256" t="s">
        <v>133</v>
      </c>
      <c r="C256" t="s">
        <v>887</v>
      </c>
      <c r="D256" t="s">
        <v>1964</v>
      </c>
      <c r="E256">
        <v>2435</v>
      </c>
      <c r="F256" t="s">
        <v>366</v>
      </c>
      <c r="G256">
        <v>314</v>
      </c>
      <c r="H256" s="9">
        <v>1.5</v>
      </c>
      <c r="I256" t="s">
        <v>366</v>
      </c>
      <c r="J256" t="s">
        <v>366</v>
      </c>
      <c r="K256" t="s">
        <v>2186</v>
      </c>
      <c r="L256" t="s">
        <v>45</v>
      </c>
      <c r="M256" s="10"/>
      <c r="N256" t="s">
        <v>46</v>
      </c>
      <c r="O256">
        <v>1</v>
      </c>
      <c r="P256">
        <v>1</v>
      </c>
      <c r="Q256" t="s">
        <v>338</v>
      </c>
      <c r="R256" t="s">
        <v>451</v>
      </c>
      <c r="S256" t="s">
        <v>537</v>
      </c>
      <c r="T256" t="s">
        <v>47</v>
      </c>
      <c r="U256" t="s">
        <v>531</v>
      </c>
      <c r="V256" t="s">
        <v>47</v>
      </c>
      <c r="W256" t="s">
        <v>68</v>
      </c>
      <c r="X256" t="s">
        <v>532</v>
      </c>
      <c r="Y256" t="s">
        <v>47</v>
      </c>
      <c r="Z256">
        <v>22</v>
      </c>
      <c r="AA256" t="s">
        <v>47</v>
      </c>
      <c r="AB256" t="s">
        <v>47</v>
      </c>
      <c r="AC256" t="s">
        <v>47</v>
      </c>
      <c r="AD256" t="s">
        <v>47</v>
      </c>
      <c r="AE256"/>
      <c r="AF256" t="s">
        <v>47</v>
      </c>
      <c r="AG256" t="s">
        <v>47</v>
      </c>
      <c r="AH256" t="s">
        <v>47</v>
      </c>
      <c r="AI256" t="s">
        <v>47</v>
      </c>
      <c r="AJ256"/>
      <c r="AK256"/>
      <c r="AL256" t="s">
        <v>47</v>
      </c>
      <c r="AM256"/>
      <c r="AN256"/>
      <c r="AO256" t="s">
        <v>47</v>
      </c>
      <c r="AP256" t="s">
        <v>47</v>
      </c>
      <c r="AQ256" t="s">
        <v>47</v>
      </c>
      <c r="AR256"/>
      <c r="AS256"/>
      <c r="AT256"/>
      <c r="AU256"/>
      <c r="AV256" t="s">
        <v>534</v>
      </c>
      <c r="AW256" t="s">
        <v>47</v>
      </c>
      <c r="AX256">
        <v>12</v>
      </c>
      <c r="AY256">
        <v>12</v>
      </c>
      <c r="AZ256"/>
      <c r="BA256"/>
      <c r="BB256"/>
      <c r="BC256">
        <v>0</v>
      </c>
      <c r="BD256">
        <v>0</v>
      </c>
      <c r="BE256" t="s">
        <v>47</v>
      </c>
      <c r="BF256"/>
      <c r="BG256"/>
      <c r="BH256"/>
      <c r="BI256">
        <v>0</v>
      </c>
      <c r="BJ256">
        <v>0</v>
      </c>
      <c r="BK256"/>
      <c r="BL256"/>
      <c r="BM256" t="s">
        <v>47</v>
      </c>
      <c r="BN256" t="s">
        <v>47</v>
      </c>
      <c r="BO256" t="s">
        <v>47</v>
      </c>
      <c r="BP256" t="s">
        <v>47</v>
      </c>
      <c r="BQ256" t="s">
        <v>47</v>
      </c>
      <c r="BR256"/>
      <c r="BS256" t="s">
        <v>47</v>
      </c>
      <c r="BT256" t="s">
        <v>47</v>
      </c>
      <c r="BU256" t="s">
        <v>47</v>
      </c>
      <c r="BV256"/>
      <c r="BW256" t="s">
        <v>47</v>
      </c>
      <c r="BX256" t="s">
        <v>47</v>
      </c>
      <c r="BY256" t="s">
        <v>47</v>
      </c>
      <c r="BZ256" t="s">
        <v>47</v>
      </c>
      <c r="CA256" t="s">
        <v>47</v>
      </c>
      <c r="CB256" t="s">
        <v>47</v>
      </c>
      <c r="CC256" t="s">
        <v>47</v>
      </c>
      <c r="CD256" t="s">
        <v>47</v>
      </c>
      <c r="CE256" t="s">
        <v>47</v>
      </c>
      <c r="CF256" t="s">
        <v>47</v>
      </c>
      <c r="CG256" t="s">
        <v>47</v>
      </c>
      <c r="CH256" t="s">
        <v>47</v>
      </c>
      <c r="CI256" t="s">
        <v>47</v>
      </c>
      <c r="CJ256" t="s">
        <v>47</v>
      </c>
      <c r="CK256"/>
    </row>
    <row r="257" spans="1:89" s="7" customFormat="1" x14ac:dyDescent="0.25">
      <c r="A257" t="s">
        <v>1484</v>
      </c>
      <c r="B257" t="s">
        <v>133</v>
      </c>
      <c r="C257" t="s">
        <v>894</v>
      </c>
      <c r="D257" t="s">
        <v>1965</v>
      </c>
      <c r="E257">
        <v>2440</v>
      </c>
      <c r="F257" t="s">
        <v>367</v>
      </c>
      <c r="G257">
        <v>436</v>
      </c>
      <c r="H257" s="9">
        <v>2.4</v>
      </c>
      <c r="I257" t="s">
        <v>367</v>
      </c>
      <c r="J257" t="s">
        <v>367</v>
      </c>
      <c r="K257" t="s">
        <v>2187</v>
      </c>
      <c r="L257" t="s">
        <v>45</v>
      </c>
      <c r="M257" s="10"/>
      <c r="N257" t="s">
        <v>46</v>
      </c>
      <c r="O257">
        <v>1</v>
      </c>
      <c r="P257">
        <v>1</v>
      </c>
      <c r="Q257" t="s">
        <v>379</v>
      </c>
      <c r="R257" t="s">
        <v>451</v>
      </c>
      <c r="S257" t="s">
        <v>539</v>
      </c>
      <c r="T257" t="s">
        <v>47</v>
      </c>
      <c r="U257" t="s">
        <v>531</v>
      </c>
      <c r="V257" t="s">
        <v>47</v>
      </c>
      <c r="W257" t="s">
        <v>68</v>
      </c>
      <c r="X257" t="s">
        <v>532</v>
      </c>
      <c r="Y257" t="s">
        <v>47</v>
      </c>
      <c r="Z257">
        <v>22</v>
      </c>
      <c r="AA257" t="s">
        <v>47</v>
      </c>
      <c r="AB257" t="s">
        <v>47</v>
      </c>
      <c r="AC257" t="s">
        <v>47</v>
      </c>
      <c r="AD257" t="s">
        <v>47</v>
      </c>
      <c r="AE257"/>
      <c r="AF257" t="s">
        <v>47</v>
      </c>
      <c r="AG257" t="s">
        <v>47</v>
      </c>
      <c r="AH257" t="s">
        <v>47</v>
      </c>
      <c r="AI257" t="s">
        <v>47</v>
      </c>
      <c r="AJ257"/>
      <c r="AK257"/>
      <c r="AL257" t="s">
        <v>47</v>
      </c>
      <c r="AM257"/>
      <c r="AN257"/>
      <c r="AO257" t="s">
        <v>47</v>
      </c>
      <c r="AP257" t="s">
        <v>47</v>
      </c>
      <c r="AQ257" t="s">
        <v>47</v>
      </c>
      <c r="AR257"/>
      <c r="AS257"/>
      <c r="AT257"/>
      <c r="AU257"/>
      <c r="AV257" t="s">
        <v>534</v>
      </c>
      <c r="AW257" t="s">
        <v>47</v>
      </c>
      <c r="AX257">
        <v>12</v>
      </c>
      <c r="AY257">
        <v>12</v>
      </c>
      <c r="AZ257"/>
      <c r="BA257"/>
      <c r="BB257"/>
      <c r="BC257">
        <v>0</v>
      </c>
      <c r="BD257">
        <v>0</v>
      </c>
      <c r="BE257" t="s">
        <v>47</v>
      </c>
      <c r="BF257"/>
      <c r="BG257"/>
      <c r="BH257"/>
      <c r="BI257">
        <v>0</v>
      </c>
      <c r="BJ257">
        <v>0</v>
      </c>
      <c r="BK257"/>
      <c r="BL257"/>
      <c r="BM257" t="s">
        <v>47</v>
      </c>
      <c r="BN257" t="s">
        <v>47</v>
      </c>
      <c r="BO257" t="s">
        <v>47</v>
      </c>
      <c r="BP257" t="s">
        <v>47</v>
      </c>
      <c r="BQ257" t="s">
        <v>47</v>
      </c>
      <c r="BR257"/>
      <c r="BS257" t="s">
        <v>47</v>
      </c>
      <c r="BT257" t="s">
        <v>47</v>
      </c>
      <c r="BU257" t="s">
        <v>47</v>
      </c>
      <c r="BV257"/>
      <c r="BW257" t="s">
        <v>47</v>
      </c>
      <c r="BX257" t="s">
        <v>47</v>
      </c>
      <c r="BY257" t="s">
        <v>47</v>
      </c>
      <c r="BZ257" t="s">
        <v>47</v>
      </c>
      <c r="CA257" t="s">
        <v>47</v>
      </c>
      <c r="CB257" t="s">
        <v>47</v>
      </c>
      <c r="CC257" t="s">
        <v>47</v>
      </c>
      <c r="CD257" t="s">
        <v>47</v>
      </c>
      <c r="CE257" t="s">
        <v>47</v>
      </c>
      <c r="CF257" t="s">
        <v>47</v>
      </c>
      <c r="CG257" t="s">
        <v>47</v>
      </c>
      <c r="CH257" t="s">
        <v>47</v>
      </c>
      <c r="CI257" t="s">
        <v>47</v>
      </c>
      <c r="CJ257" t="s">
        <v>47</v>
      </c>
      <c r="CK257"/>
    </row>
    <row r="258" spans="1:89" s="7" customFormat="1" x14ac:dyDescent="0.25">
      <c r="A258" t="s">
        <v>1484</v>
      </c>
      <c r="B258" t="s">
        <v>133</v>
      </c>
      <c r="C258" t="s">
        <v>888</v>
      </c>
      <c r="D258" t="s">
        <v>1966</v>
      </c>
      <c r="E258">
        <v>2445</v>
      </c>
      <c r="F258" t="s">
        <v>1335</v>
      </c>
      <c r="G258">
        <v>412</v>
      </c>
      <c r="H258" s="9">
        <v>2.5</v>
      </c>
      <c r="I258" t="s">
        <v>1335</v>
      </c>
      <c r="J258" t="s">
        <v>368</v>
      </c>
      <c r="K258" t="s">
        <v>2188</v>
      </c>
      <c r="L258" t="s">
        <v>45</v>
      </c>
      <c r="M258" s="10"/>
      <c r="N258" t="s">
        <v>46</v>
      </c>
      <c r="O258">
        <v>1</v>
      </c>
      <c r="P258">
        <v>1</v>
      </c>
      <c r="Q258" t="s">
        <v>343</v>
      </c>
      <c r="R258" t="s">
        <v>451</v>
      </c>
      <c r="S258" t="s">
        <v>204</v>
      </c>
      <c r="T258" t="s">
        <v>47</v>
      </c>
      <c r="U258" t="s">
        <v>531</v>
      </c>
      <c r="V258" t="s">
        <v>47</v>
      </c>
      <c r="W258" t="s">
        <v>541</v>
      </c>
      <c r="X258" t="s">
        <v>532</v>
      </c>
      <c r="Y258" t="s">
        <v>47</v>
      </c>
      <c r="Z258">
        <v>22</v>
      </c>
      <c r="AA258" t="s">
        <v>47</v>
      </c>
      <c r="AB258" t="s">
        <v>47</v>
      </c>
      <c r="AC258" t="s">
        <v>47</v>
      </c>
      <c r="AD258" t="s">
        <v>47</v>
      </c>
      <c r="AE258"/>
      <c r="AF258" t="s">
        <v>47</v>
      </c>
      <c r="AG258" t="s">
        <v>47</v>
      </c>
      <c r="AH258" t="s">
        <v>47</v>
      </c>
      <c r="AI258" t="s">
        <v>47</v>
      </c>
      <c r="AJ258"/>
      <c r="AK258"/>
      <c r="AL258" t="s">
        <v>47</v>
      </c>
      <c r="AM258"/>
      <c r="AN258"/>
      <c r="AO258" t="s">
        <v>47</v>
      </c>
      <c r="AP258" t="s">
        <v>47</v>
      </c>
      <c r="AQ258" t="s">
        <v>47</v>
      </c>
      <c r="AR258"/>
      <c r="AS258"/>
      <c r="AT258"/>
      <c r="AU258"/>
      <c r="AV258" t="s">
        <v>542</v>
      </c>
      <c r="AW258" t="s">
        <v>47</v>
      </c>
      <c r="AX258">
        <v>1</v>
      </c>
      <c r="AY258">
        <v>1</v>
      </c>
      <c r="AZ258"/>
      <c r="BA258"/>
      <c r="BB258"/>
      <c r="BC258">
        <v>0</v>
      </c>
      <c r="BD258">
        <v>0</v>
      </c>
      <c r="BE258" t="s">
        <v>47</v>
      </c>
      <c r="BF258"/>
      <c r="BG258"/>
      <c r="BH258"/>
      <c r="BI258">
        <v>0</v>
      </c>
      <c r="BJ258">
        <v>0</v>
      </c>
      <c r="BK258"/>
      <c r="BL258"/>
      <c r="BM258" t="s">
        <v>47</v>
      </c>
      <c r="BN258" t="s">
        <v>47</v>
      </c>
      <c r="BO258" t="s">
        <v>47</v>
      </c>
      <c r="BP258" t="s">
        <v>47</v>
      </c>
      <c r="BQ258" t="s">
        <v>47</v>
      </c>
      <c r="BR258"/>
      <c r="BS258" t="s">
        <v>47</v>
      </c>
      <c r="BT258" t="s">
        <v>47</v>
      </c>
      <c r="BU258" t="s">
        <v>47</v>
      </c>
      <c r="BV258"/>
      <c r="BW258" t="s">
        <v>47</v>
      </c>
      <c r="BX258" t="s">
        <v>47</v>
      </c>
      <c r="BY258" t="s">
        <v>47</v>
      </c>
      <c r="BZ258" t="s">
        <v>47</v>
      </c>
      <c r="CA258" t="s">
        <v>47</v>
      </c>
      <c r="CB258" t="s">
        <v>47</v>
      </c>
      <c r="CC258" t="s">
        <v>47</v>
      </c>
      <c r="CD258" t="s">
        <v>47</v>
      </c>
      <c r="CE258" t="s">
        <v>47</v>
      </c>
      <c r="CF258" t="s">
        <v>47</v>
      </c>
      <c r="CG258" t="s">
        <v>47</v>
      </c>
      <c r="CH258" t="s">
        <v>47</v>
      </c>
      <c r="CI258" t="s">
        <v>47</v>
      </c>
      <c r="CJ258" t="s">
        <v>47</v>
      </c>
      <c r="CK258"/>
    </row>
    <row r="259" spans="1:89" s="7" customFormat="1" x14ac:dyDescent="0.25">
      <c r="A259" t="s">
        <v>1484</v>
      </c>
      <c r="B259" t="s">
        <v>133</v>
      </c>
      <c r="C259" t="s">
        <v>889</v>
      </c>
      <c r="D259" t="s">
        <v>1967</v>
      </c>
      <c r="E259">
        <v>2450</v>
      </c>
      <c r="F259" t="s">
        <v>1336</v>
      </c>
      <c r="G259">
        <v>459</v>
      </c>
      <c r="H259" s="9">
        <v>2.5</v>
      </c>
      <c r="I259" t="s">
        <v>1336</v>
      </c>
      <c r="J259" t="s">
        <v>369</v>
      </c>
      <c r="K259" t="s">
        <v>2189</v>
      </c>
      <c r="L259" t="s">
        <v>45</v>
      </c>
      <c r="M259" s="10"/>
      <c r="N259" t="s">
        <v>46</v>
      </c>
      <c r="O259">
        <v>1</v>
      </c>
      <c r="P259">
        <v>1</v>
      </c>
      <c r="Q259" t="s">
        <v>500</v>
      </c>
      <c r="R259" t="s">
        <v>451</v>
      </c>
      <c r="S259" t="s">
        <v>544</v>
      </c>
      <c r="T259" t="s">
        <v>47</v>
      </c>
      <c r="U259" t="s">
        <v>531</v>
      </c>
      <c r="V259" t="s">
        <v>47</v>
      </c>
      <c r="W259" t="s">
        <v>541</v>
      </c>
      <c r="X259" t="s">
        <v>532</v>
      </c>
      <c r="Y259" t="s">
        <v>47</v>
      </c>
      <c r="Z259">
        <v>22</v>
      </c>
      <c r="AA259" t="s">
        <v>47</v>
      </c>
      <c r="AB259" t="s">
        <v>47</v>
      </c>
      <c r="AC259" t="s">
        <v>47</v>
      </c>
      <c r="AD259" t="s">
        <v>47</v>
      </c>
      <c r="AE259"/>
      <c r="AF259" t="s">
        <v>47</v>
      </c>
      <c r="AG259" t="s">
        <v>47</v>
      </c>
      <c r="AH259" t="s">
        <v>47</v>
      </c>
      <c r="AI259" t="s">
        <v>47</v>
      </c>
      <c r="AJ259"/>
      <c r="AK259"/>
      <c r="AL259" t="s">
        <v>47</v>
      </c>
      <c r="AM259"/>
      <c r="AN259"/>
      <c r="AO259" t="s">
        <v>47</v>
      </c>
      <c r="AP259" t="s">
        <v>47</v>
      </c>
      <c r="AQ259" t="s">
        <v>47</v>
      </c>
      <c r="AR259"/>
      <c r="AS259"/>
      <c r="AT259"/>
      <c r="AU259"/>
      <c r="AV259" t="s">
        <v>542</v>
      </c>
      <c r="AW259" t="s">
        <v>47</v>
      </c>
      <c r="AX259">
        <v>1</v>
      </c>
      <c r="AY259">
        <v>1</v>
      </c>
      <c r="AZ259"/>
      <c r="BA259"/>
      <c r="BB259"/>
      <c r="BC259">
        <v>0</v>
      </c>
      <c r="BD259">
        <v>0</v>
      </c>
      <c r="BE259" t="s">
        <v>47</v>
      </c>
      <c r="BF259"/>
      <c r="BG259"/>
      <c r="BH259"/>
      <c r="BI259">
        <v>0</v>
      </c>
      <c r="BJ259">
        <v>0</v>
      </c>
      <c r="BK259"/>
      <c r="BL259"/>
      <c r="BM259" t="s">
        <v>47</v>
      </c>
      <c r="BN259" t="s">
        <v>47</v>
      </c>
      <c r="BO259" t="s">
        <v>47</v>
      </c>
      <c r="BP259" t="s">
        <v>47</v>
      </c>
      <c r="BQ259" t="s">
        <v>47</v>
      </c>
      <c r="BR259"/>
      <c r="BS259" t="s">
        <v>47</v>
      </c>
      <c r="BT259" t="s">
        <v>47</v>
      </c>
      <c r="BU259" t="s">
        <v>47</v>
      </c>
      <c r="BV259"/>
      <c r="BW259" t="s">
        <v>47</v>
      </c>
      <c r="BX259" t="s">
        <v>47</v>
      </c>
      <c r="BY259" t="s">
        <v>47</v>
      </c>
      <c r="BZ259" t="s">
        <v>47</v>
      </c>
      <c r="CA259" t="s">
        <v>47</v>
      </c>
      <c r="CB259" t="s">
        <v>47</v>
      </c>
      <c r="CC259" t="s">
        <v>47</v>
      </c>
      <c r="CD259" t="s">
        <v>47</v>
      </c>
      <c r="CE259" t="s">
        <v>47</v>
      </c>
      <c r="CF259" t="s">
        <v>47</v>
      </c>
      <c r="CG259" t="s">
        <v>47</v>
      </c>
      <c r="CH259" t="s">
        <v>47</v>
      </c>
      <c r="CI259" t="s">
        <v>47</v>
      </c>
      <c r="CJ259" t="s">
        <v>47</v>
      </c>
      <c r="CK259"/>
    </row>
    <row r="260" spans="1:89" s="7" customFormat="1" x14ac:dyDescent="0.25">
      <c r="A260" t="s">
        <v>1484</v>
      </c>
      <c r="B260" t="s">
        <v>133</v>
      </c>
      <c r="C260" t="s">
        <v>890</v>
      </c>
      <c r="D260" t="s">
        <v>1968</v>
      </c>
      <c r="E260">
        <v>2455</v>
      </c>
      <c r="F260" t="s">
        <v>1337</v>
      </c>
      <c r="G260">
        <v>460</v>
      </c>
      <c r="H260" s="9">
        <v>2.5</v>
      </c>
      <c r="I260" t="s">
        <v>1337</v>
      </c>
      <c r="J260" t="s">
        <v>371</v>
      </c>
      <c r="K260" t="s">
        <v>2189</v>
      </c>
      <c r="L260" t="s">
        <v>45</v>
      </c>
      <c r="M260" s="10"/>
      <c r="N260" t="s">
        <v>46</v>
      </c>
      <c r="O260">
        <v>1</v>
      </c>
      <c r="P260">
        <v>1</v>
      </c>
      <c r="Q260" t="s">
        <v>338</v>
      </c>
      <c r="R260" t="s">
        <v>451</v>
      </c>
      <c r="S260" t="s">
        <v>537</v>
      </c>
      <c r="T260" t="s">
        <v>47</v>
      </c>
      <c r="U260" t="s">
        <v>531</v>
      </c>
      <c r="V260" t="s">
        <v>47</v>
      </c>
      <c r="W260" t="s">
        <v>541</v>
      </c>
      <c r="X260" t="s">
        <v>532</v>
      </c>
      <c r="Y260" t="s">
        <v>47</v>
      </c>
      <c r="Z260">
        <v>22</v>
      </c>
      <c r="AA260" t="s">
        <v>47</v>
      </c>
      <c r="AB260" t="s">
        <v>47</v>
      </c>
      <c r="AC260" t="s">
        <v>47</v>
      </c>
      <c r="AD260" t="s">
        <v>47</v>
      </c>
      <c r="AE260"/>
      <c r="AF260" t="s">
        <v>47</v>
      </c>
      <c r="AG260" t="s">
        <v>47</v>
      </c>
      <c r="AH260" t="s">
        <v>47</v>
      </c>
      <c r="AI260" t="s">
        <v>47</v>
      </c>
      <c r="AJ260"/>
      <c r="AK260"/>
      <c r="AL260" t="s">
        <v>47</v>
      </c>
      <c r="AM260"/>
      <c r="AN260"/>
      <c r="AO260" t="s">
        <v>47</v>
      </c>
      <c r="AP260" t="s">
        <v>47</v>
      </c>
      <c r="AQ260" t="s">
        <v>47</v>
      </c>
      <c r="AR260"/>
      <c r="AS260"/>
      <c r="AT260"/>
      <c r="AU260"/>
      <c r="AV260" t="s">
        <v>542</v>
      </c>
      <c r="AW260" t="s">
        <v>47</v>
      </c>
      <c r="AX260">
        <v>1</v>
      </c>
      <c r="AY260">
        <v>1</v>
      </c>
      <c r="AZ260"/>
      <c r="BA260"/>
      <c r="BB260"/>
      <c r="BC260">
        <v>0</v>
      </c>
      <c r="BD260">
        <v>0</v>
      </c>
      <c r="BE260" t="s">
        <v>47</v>
      </c>
      <c r="BF260"/>
      <c r="BG260"/>
      <c r="BH260"/>
      <c r="BI260">
        <v>0</v>
      </c>
      <c r="BJ260">
        <v>0</v>
      </c>
      <c r="BK260"/>
      <c r="BL260"/>
      <c r="BM260" t="s">
        <v>47</v>
      </c>
      <c r="BN260" t="s">
        <v>47</v>
      </c>
      <c r="BO260" t="s">
        <v>47</v>
      </c>
      <c r="BP260" t="s">
        <v>47</v>
      </c>
      <c r="BQ260" t="s">
        <v>47</v>
      </c>
      <c r="BR260"/>
      <c r="BS260" t="s">
        <v>47</v>
      </c>
      <c r="BT260" t="s">
        <v>47</v>
      </c>
      <c r="BU260" t="s">
        <v>47</v>
      </c>
      <c r="BV260"/>
      <c r="BW260" t="s">
        <v>47</v>
      </c>
      <c r="BX260" t="s">
        <v>47</v>
      </c>
      <c r="BY260" t="s">
        <v>47</v>
      </c>
      <c r="BZ260" t="s">
        <v>47</v>
      </c>
      <c r="CA260" t="s">
        <v>47</v>
      </c>
      <c r="CB260" t="s">
        <v>47</v>
      </c>
      <c r="CC260" t="s">
        <v>47</v>
      </c>
      <c r="CD260" t="s">
        <v>47</v>
      </c>
      <c r="CE260" t="s">
        <v>47</v>
      </c>
      <c r="CF260" t="s">
        <v>47</v>
      </c>
      <c r="CG260" t="s">
        <v>47</v>
      </c>
      <c r="CH260" t="s">
        <v>47</v>
      </c>
      <c r="CI260" t="s">
        <v>47</v>
      </c>
      <c r="CJ260" t="s">
        <v>47</v>
      </c>
      <c r="CK260"/>
    </row>
    <row r="261" spans="1:89" s="7" customFormat="1" x14ac:dyDescent="0.25">
      <c r="A261" t="s">
        <v>1484</v>
      </c>
      <c r="B261" t="s">
        <v>132</v>
      </c>
      <c r="C261" t="s">
        <v>891</v>
      </c>
      <c r="D261" t="s">
        <v>1969</v>
      </c>
      <c r="E261">
        <v>2500</v>
      </c>
      <c r="F261" t="s">
        <v>372</v>
      </c>
      <c r="G261">
        <v>88</v>
      </c>
      <c r="H261" s="9">
        <v>1.5</v>
      </c>
      <c r="I261" t="s">
        <v>372</v>
      </c>
      <c r="J261" t="s">
        <v>372</v>
      </c>
      <c r="K261" t="s">
        <v>2190</v>
      </c>
      <c r="L261" t="s">
        <v>45</v>
      </c>
      <c r="M261" s="10"/>
      <c r="N261" t="s">
        <v>46</v>
      </c>
      <c r="O261">
        <v>1</v>
      </c>
      <c r="P261">
        <v>1</v>
      </c>
      <c r="Q261" t="s">
        <v>379</v>
      </c>
      <c r="R261" t="s">
        <v>451</v>
      </c>
      <c r="S261" t="s">
        <v>539</v>
      </c>
      <c r="T261" t="s">
        <v>47</v>
      </c>
      <c r="U261" t="s">
        <v>531</v>
      </c>
      <c r="V261" t="s">
        <v>47</v>
      </c>
      <c r="W261" t="s">
        <v>541</v>
      </c>
      <c r="X261" t="s">
        <v>532</v>
      </c>
      <c r="Y261" t="s">
        <v>47</v>
      </c>
      <c r="Z261">
        <v>22</v>
      </c>
      <c r="AA261" t="s">
        <v>47</v>
      </c>
      <c r="AB261" t="s">
        <v>47</v>
      </c>
      <c r="AC261" t="s">
        <v>47</v>
      </c>
      <c r="AD261" t="s">
        <v>47</v>
      </c>
      <c r="AE261"/>
      <c r="AF261" t="s">
        <v>47</v>
      </c>
      <c r="AG261" t="s">
        <v>47</v>
      </c>
      <c r="AH261" t="s">
        <v>47</v>
      </c>
      <c r="AI261" t="s">
        <v>47</v>
      </c>
      <c r="AJ261"/>
      <c r="AK261"/>
      <c r="AL261" t="s">
        <v>47</v>
      </c>
      <c r="AM261"/>
      <c r="AN261"/>
      <c r="AO261" t="s">
        <v>47</v>
      </c>
      <c r="AP261" t="s">
        <v>47</v>
      </c>
      <c r="AQ261" t="s">
        <v>47</v>
      </c>
      <c r="AR261"/>
      <c r="AS261"/>
      <c r="AT261"/>
      <c r="AU261"/>
      <c r="AV261" t="s">
        <v>542</v>
      </c>
      <c r="AW261" t="s">
        <v>47</v>
      </c>
      <c r="AX261">
        <v>1</v>
      </c>
      <c r="AY261">
        <v>1</v>
      </c>
      <c r="AZ261"/>
      <c r="BA261"/>
      <c r="BB261"/>
      <c r="BC261">
        <v>0</v>
      </c>
      <c r="BD261">
        <v>0</v>
      </c>
      <c r="BE261" t="s">
        <v>47</v>
      </c>
      <c r="BF261"/>
      <c r="BG261"/>
      <c r="BH261"/>
      <c r="BI261">
        <v>0</v>
      </c>
      <c r="BJ261">
        <v>0</v>
      </c>
      <c r="BK261"/>
      <c r="BL261"/>
      <c r="BM261" t="s">
        <v>47</v>
      </c>
      <c r="BN261" t="s">
        <v>47</v>
      </c>
      <c r="BO261" t="s">
        <v>47</v>
      </c>
      <c r="BP261" t="s">
        <v>47</v>
      </c>
      <c r="BQ261" t="s">
        <v>47</v>
      </c>
      <c r="BR261"/>
      <c r="BS261" t="s">
        <v>47</v>
      </c>
      <c r="BT261" t="s">
        <v>47</v>
      </c>
      <c r="BU261" t="s">
        <v>47</v>
      </c>
      <c r="BV261"/>
      <c r="BW261" t="s">
        <v>47</v>
      </c>
      <c r="BX261" t="s">
        <v>47</v>
      </c>
      <c r="BY261" t="s">
        <v>47</v>
      </c>
      <c r="BZ261" t="s">
        <v>47</v>
      </c>
      <c r="CA261" t="s">
        <v>47</v>
      </c>
      <c r="CB261" t="s">
        <v>47</v>
      </c>
      <c r="CC261" t="s">
        <v>47</v>
      </c>
      <c r="CD261" t="s">
        <v>47</v>
      </c>
      <c r="CE261" t="s">
        <v>47</v>
      </c>
      <c r="CF261" t="s">
        <v>47</v>
      </c>
      <c r="CG261" t="s">
        <v>47</v>
      </c>
      <c r="CH261" t="s">
        <v>47</v>
      </c>
      <c r="CI261" t="s">
        <v>47</v>
      </c>
      <c r="CJ261" t="s">
        <v>47</v>
      </c>
      <c r="CK261"/>
    </row>
    <row r="262" spans="1:89" s="7" customFormat="1" x14ac:dyDescent="0.25">
      <c r="A262" t="s">
        <v>1484</v>
      </c>
      <c r="B262" t="s">
        <v>132</v>
      </c>
      <c r="C262" t="s">
        <v>892</v>
      </c>
      <c r="D262" t="s">
        <v>1970</v>
      </c>
      <c r="E262">
        <v>2505</v>
      </c>
      <c r="F262" t="s">
        <v>373</v>
      </c>
      <c r="G262">
        <v>134</v>
      </c>
      <c r="H262" s="9">
        <v>1.5</v>
      </c>
      <c r="I262" t="s">
        <v>373</v>
      </c>
      <c r="J262" t="s">
        <v>373</v>
      </c>
      <c r="K262" t="s">
        <v>2190</v>
      </c>
      <c r="L262" t="s">
        <v>45</v>
      </c>
      <c r="M262" s="10"/>
      <c r="N262" t="s">
        <v>46</v>
      </c>
      <c r="O262">
        <v>1</v>
      </c>
      <c r="P262">
        <v>1</v>
      </c>
      <c r="Q262" t="s">
        <v>390</v>
      </c>
      <c r="R262" t="s">
        <v>451</v>
      </c>
      <c r="S262" t="s">
        <v>548</v>
      </c>
      <c r="T262" t="s">
        <v>47</v>
      </c>
      <c r="U262" t="s">
        <v>531</v>
      </c>
      <c r="V262" t="s">
        <v>47</v>
      </c>
      <c r="W262" t="s">
        <v>541</v>
      </c>
      <c r="X262" t="s">
        <v>532</v>
      </c>
      <c r="Y262" t="s">
        <v>47</v>
      </c>
      <c r="Z262">
        <v>22</v>
      </c>
      <c r="AA262" t="s">
        <v>47</v>
      </c>
      <c r="AB262" t="s">
        <v>47</v>
      </c>
      <c r="AC262" t="s">
        <v>47</v>
      </c>
      <c r="AD262" t="s">
        <v>47</v>
      </c>
      <c r="AE262"/>
      <c r="AF262" t="s">
        <v>47</v>
      </c>
      <c r="AG262" t="s">
        <v>47</v>
      </c>
      <c r="AH262" t="s">
        <v>47</v>
      </c>
      <c r="AI262" t="s">
        <v>47</v>
      </c>
      <c r="AJ262"/>
      <c r="AK262"/>
      <c r="AL262" t="s">
        <v>47</v>
      </c>
      <c r="AM262"/>
      <c r="AN262"/>
      <c r="AO262" t="s">
        <v>47</v>
      </c>
      <c r="AP262" t="s">
        <v>47</v>
      </c>
      <c r="AQ262" t="s">
        <v>47</v>
      </c>
      <c r="AR262"/>
      <c r="AS262"/>
      <c r="AT262"/>
      <c r="AU262"/>
      <c r="AV262" t="s">
        <v>549</v>
      </c>
      <c r="AW262" t="s">
        <v>47</v>
      </c>
      <c r="AX262">
        <v>1</v>
      </c>
      <c r="AY262">
        <v>1</v>
      </c>
      <c r="AZ262"/>
      <c r="BA262"/>
      <c r="BB262"/>
      <c r="BC262">
        <v>0</v>
      </c>
      <c r="BD262">
        <v>0</v>
      </c>
      <c r="BE262" t="s">
        <v>47</v>
      </c>
      <c r="BF262"/>
      <c r="BG262"/>
      <c r="BH262"/>
      <c r="BI262">
        <v>0</v>
      </c>
      <c r="BJ262">
        <v>0</v>
      </c>
      <c r="BK262"/>
      <c r="BL262"/>
      <c r="BM262" t="s">
        <v>47</v>
      </c>
      <c r="BN262" t="s">
        <v>47</v>
      </c>
      <c r="BO262" t="s">
        <v>47</v>
      </c>
      <c r="BP262" t="s">
        <v>47</v>
      </c>
      <c r="BQ262" t="s">
        <v>47</v>
      </c>
      <c r="BR262"/>
      <c r="BS262" t="s">
        <v>47</v>
      </c>
      <c r="BT262" t="s">
        <v>47</v>
      </c>
      <c r="BU262" t="s">
        <v>47</v>
      </c>
      <c r="BV262"/>
      <c r="BW262" t="s">
        <v>47</v>
      </c>
      <c r="BX262" t="s">
        <v>47</v>
      </c>
      <c r="BY262" t="s">
        <v>47</v>
      </c>
      <c r="BZ262" t="s">
        <v>47</v>
      </c>
      <c r="CA262" t="s">
        <v>47</v>
      </c>
      <c r="CB262" t="s">
        <v>47</v>
      </c>
      <c r="CC262" t="s">
        <v>47</v>
      </c>
      <c r="CD262" t="s">
        <v>47</v>
      </c>
      <c r="CE262" t="s">
        <v>47</v>
      </c>
      <c r="CF262" t="s">
        <v>47</v>
      </c>
      <c r="CG262" t="s">
        <v>47</v>
      </c>
      <c r="CH262" t="s">
        <v>47</v>
      </c>
      <c r="CI262" t="s">
        <v>47</v>
      </c>
      <c r="CJ262" t="s">
        <v>47</v>
      </c>
      <c r="CK262"/>
    </row>
    <row r="263" spans="1:89" s="7" customFormat="1" x14ac:dyDescent="0.25">
      <c r="A263" t="s">
        <v>1484</v>
      </c>
      <c r="B263" t="s">
        <v>132</v>
      </c>
      <c r="C263" t="s">
        <v>893</v>
      </c>
      <c r="D263" t="s">
        <v>1971</v>
      </c>
      <c r="E263">
        <v>2510</v>
      </c>
      <c r="F263" t="s">
        <v>374</v>
      </c>
      <c r="G263">
        <v>440</v>
      </c>
      <c r="H263" s="9">
        <v>2.8</v>
      </c>
      <c r="I263" t="s">
        <v>374</v>
      </c>
      <c r="J263" t="s">
        <v>374</v>
      </c>
      <c r="K263" t="s">
        <v>2190</v>
      </c>
      <c r="L263" t="s">
        <v>45</v>
      </c>
      <c r="M263" s="10"/>
      <c r="N263" t="s">
        <v>46</v>
      </c>
      <c r="O263">
        <v>1</v>
      </c>
      <c r="P263">
        <v>1</v>
      </c>
      <c r="Q263" t="s">
        <v>512</v>
      </c>
      <c r="R263" t="s">
        <v>451</v>
      </c>
      <c r="S263" t="s">
        <v>551</v>
      </c>
      <c r="T263" t="s">
        <v>47</v>
      </c>
      <c r="U263" t="s">
        <v>531</v>
      </c>
      <c r="V263" t="s">
        <v>47</v>
      </c>
      <c r="W263" t="s">
        <v>541</v>
      </c>
      <c r="X263" t="s">
        <v>532</v>
      </c>
      <c r="Y263" t="s">
        <v>47</v>
      </c>
      <c r="Z263">
        <v>22</v>
      </c>
      <c r="AA263" t="s">
        <v>47</v>
      </c>
      <c r="AB263" t="s">
        <v>47</v>
      </c>
      <c r="AC263" t="s">
        <v>47</v>
      </c>
      <c r="AD263" t="s">
        <v>47</v>
      </c>
      <c r="AE263"/>
      <c r="AF263" t="s">
        <v>47</v>
      </c>
      <c r="AG263" t="s">
        <v>47</v>
      </c>
      <c r="AH263" t="s">
        <v>47</v>
      </c>
      <c r="AI263" t="s">
        <v>47</v>
      </c>
      <c r="AJ263"/>
      <c r="AK263"/>
      <c r="AL263" t="s">
        <v>47</v>
      </c>
      <c r="AM263"/>
      <c r="AN263"/>
      <c r="AO263" t="s">
        <v>47</v>
      </c>
      <c r="AP263" t="s">
        <v>47</v>
      </c>
      <c r="AQ263" t="s">
        <v>47</v>
      </c>
      <c r="AR263"/>
      <c r="AS263"/>
      <c r="AT263"/>
      <c r="AU263"/>
      <c r="AV263" t="s">
        <v>514</v>
      </c>
      <c r="AW263" t="s">
        <v>47</v>
      </c>
      <c r="AX263">
        <v>1</v>
      </c>
      <c r="AY263">
        <v>1</v>
      </c>
      <c r="AZ263"/>
      <c r="BA263"/>
      <c r="BB263"/>
      <c r="BC263">
        <v>0</v>
      </c>
      <c r="BD263">
        <v>0</v>
      </c>
      <c r="BE263" t="s">
        <v>47</v>
      </c>
      <c r="BF263"/>
      <c r="BG263"/>
      <c r="BH263"/>
      <c r="BI263">
        <v>0</v>
      </c>
      <c r="BJ263">
        <v>0</v>
      </c>
      <c r="BK263"/>
      <c r="BL263"/>
      <c r="BM263" t="s">
        <v>47</v>
      </c>
      <c r="BN263" t="s">
        <v>47</v>
      </c>
      <c r="BO263" t="s">
        <v>47</v>
      </c>
      <c r="BP263" t="s">
        <v>47</v>
      </c>
      <c r="BQ263" t="s">
        <v>47</v>
      </c>
      <c r="BR263"/>
      <c r="BS263" t="s">
        <v>47</v>
      </c>
      <c r="BT263" t="s">
        <v>47</v>
      </c>
      <c r="BU263" t="s">
        <v>47</v>
      </c>
      <c r="BV263"/>
      <c r="BW263" t="s">
        <v>47</v>
      </c>
      <c r="BX263" t="s">
        <v>47</v>
      </c>
      <c r="BY263" t="s">
        <v>47</v>
      </c>
      <c r="BZ263" t="s">
        <v>47</v>
      </c>
      <c r="CA263" t="s">
        <v>47</v>
      </c>
      <c r="CB263" t="s">
        <v>47</v>
      </c>
      <c r="CC263" t="s">
        <v>47</v>
      </c>
      <c r="CD263" t="s">
        <v>47</v>
      </c>
      <c r="CE263" t="s">
        <v>47</v>
      </c>
      <c r="CF263" t="s">
        <v>47</v>
      </c>
      <c r="CG263" t="s">
        <v>47</v>
      </c>
      <c r="CH263" t="s">
        <v>47</v>
      </c>
      <c r="CI263" t="s">
        <v>47</v>
      </c>
      <c r="CJ263" t="s">
        <v>47</v>
      </c>
      <c r="CK263"/>
    </row>
    <row r="264" spans="1:89" s="7" customFormat="1" x14ac:dyDescent="0.25">
      <c r="A264" t="s">
        <v>1484</v>
      </c>
      <c r="B264" t="s">
        <v>695</v>
      </c>
      <c r="C264" t="s">
        <v>895</v>
      </c>
      <c r="D264" t="s">
        <v>1972</v>
      </c>
      <c r="E264">
        <v>2600</v>
      </c>
      <c r="F264" t="s">
        <v>375</v>
      </c>
      <c r="G264">
        <v>392</v>
      </c>
      <c r="H264" s="9">
        <v>0.5</v>
      </c>
      <c r="I264" t="s">
        <v>375</v>
      </c>
      <c r="J264" t="s">
        <v>375</v>
      </c>
      <c r="K264" t="s">
        <v>2191</v>
      </c>
      <c r="L264" t="s">
        <v>45</v>
      </c>
      <c r="M264" s="10"/>
      <c r="N264" s="7" t="s">
        <v>46</v>
      </c>
      <c r="O264" s="8">
        <v>1</v>
      </c>
      <c r="P264" s="8">
        <v>1</v>
      </c>
      <c r="Q264" s="7" t="s">
        <v>334</v>
      </c>
      <c r="R264" s="7" t="s">
        <v>358</v>
      </c>
      <c r="S264" s="7" t="s">
        <v>47</v>
      </c>
      <c r="T264" s="7" t="s">
        <v>47</v>
      </c>
      <c r="U264" s="7" t="s">
        <v>47</v>
      </c>
      <c r="V264" s="7" t="s">
        <v>47</v>
      </c>
      <c r="W264" s="7" t="s">
        <v>376</v>
      </c>
      <c r="X264" s="7" t="s">
        <v>336</v>
      </c>
      <c r="Y264" s="8" t="s">
        <v>47</v>
      </c>
      <c r="Z264" s="8" t="s">
        <v>47</v>
      </c>
      <c r="AA264" s="8" t="s">
        <v>47</v>
      </c>
      <c r="AB264" s="11" t="s">
        <v>47</v>
      </c>
      <c r="AC264" s="11" t="s">
        <v>47</v>
      </c>
      <c r="AD264" s="7" t="s">
        <v>47</v>
      </c>
      <c r="AF264" s="7" t="s">
        <v>47</v>
      </c>
      <c r="AG264" s="7" t="s">
        <v>47</v>
      </c>
      <c r="AH264" s="7" t="s">
        <v>47</v>
      </c>
      <c r="AI264" s="7" t="s">
        <v>47</v>
      </c>
      <c r="AL264" s="7" t="s">
        <v>47</v>
      </c>
      <c r="AO264" s="7" t="s">
        <v>47</v>
      </c>
      <c r="AP264" s="7" t="s">
        <v>47</v>
      </c>
      <c r="AQ264" s="7" t="s">
        <v>47</v>
      </c>
      <c r="AV264" s="7" t="s">
        <v>47</v>
      </c>
      <c r="AW264" s="7" t="s">
        <v>47</v>
      </c>
      <c r="AX264" s="12" t="s">
        <v>89</v>
      </c>
      <c r="AY264" s="12" t="s">
        <v>57</v>
      </c>
      <c r="BC264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64" s="7">
        <f>SUM(cna_product_database_catalog_website[[#This Row],[Box CBM]]*35.3147)</f>
        <v>0</v>
      </c>
      <c r="BE264" s="7" t="s">
        <v>47</v>
      </c>
      <c r="BI264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4" s="7">
        <f>SUM(cna_product_database_catalog_website[[#This Row],[Carton CFT]]/61024)</f>
        <v>0</v>
      </c>
      <c r="BM264" s="7" t="s">
        <v>47</v>
      </c>
      <c r="BN264" s="7" t="s">
        <v>47</v>
      </c>
      <c r="BO264" s="7" t="s">
        <v>47</v>
      </c>
      <c r="BP264" s="7" t="s">
        <v>47</v>
      </c>
      <c r="BQ264" s="7" t="s">
        <v>47</v>
      </c>
      <c r="BS264" s="7" t="s">
        <v>47</v>
      </c>
      <c r="BT264" s="7" t="s">
        <v>47</v>
      </c>
      <c r="BU264" s="7" t="s">
        <v>47</v>
      </c>
      <c r="BW264" s="7" t="s">
        <v>47</v>
      </c>
      <c r="BX264" s="7" t="s">
        <v>47</v>
      </c>
      <c r="BY264" s="7" t="s">
        <v>47</v>
      </c>
      <c r="BZ264" s="7" t="s">
        <v>47</v>
      </c>
      <c r="CA264" s="7" t="s">
        <v>47</v>
      </c>
      <c r="CB264" s="7" t="s">
        <v>47</v>
      </c>
      <c r="CC264" s="7" t="s">
        <v>47</v>
      </c>
      <c r="CD264" s="7" t="s">
        <v>47</v>
      </c>
      <c r="CE264" s="7" t="s">
        <v>47</v>
      </c>
      <c r="CF264" s="7" t="s">
        <v>47</v>
      </c>
      <c r="CG264" s="7" t="s">
        <v>47</v>
      </c>
      <c r="CH264" s="7" t="s">
        <v>47</v>
      </c>
      <c r="CI264" s="7" t="s">
        <v>47</v>
      </c>
      <c r="CJ264" s="7" t="s">
        <v>47</v>
      </c>
    </row>
    <row r="265" spans="1:89" s="7" customFormat="1" x14ac:dyDescent="0.25">
      <c r="A265" t="s">
        <v>1484</v>
      </c>
      <c r="B265" t="s">
        <v>695</v>
      </c>
      <c r="C265" t="s">
        <v>896</v>
      </c>
      <c r="D265" t="s">
        <v>1973</v>
      </c>
      <c r="E265">
        <v>2605</v>
      </c>
      <c r="F265" t="s">
        <v>377</v>
      </c>
      <c r="G265">
        <v>373</v>
      </c>
      <c r="H265" s="9">
        <v>1.25</v>
      </c>
      <c r="I265" t="s">
        <v>377</v>
      </c>
      <c r="J265" t="s">
        <v>377</v>
      </c>
      <c r="K265" t="s">
        <v>2191</v>
      </c>
      <c r="L265" t="s">
        <v>45</v>
      </c>
      <c r="M265" s="10"/>
      <c r="N265" s="7" t="s">
        <v>46</v>
      </c>
      <c r="O265" s="8">
        <v>1</v>
      </c>
      <c r="P265" s="8">
        <v>1</v>
      </c>
      <c r="Q265" s="7" t="s">
        <v>343</v>
      </c>
      <c r="R265" s="7" t="s">
        <v>358</v>
      </c>
      <c r="S265" s="7" t="s">
        <v>47</v>
      </c>
      <c r="T265" s="7" t="s">
        <v>47</v>
      </c>
      <c r="U265" s="7" t="s">
        <v>47</v>
      </c>
      <c r="V265" s="7" t="s">
        <v>47</v>
      </c>
      <c r="W265" s="7" t="s">
        <v>376</v>
      </c>
      <c r="X265" s="7" t="s">
        <v>336</v>
      </c>
      <c r="Y265" s="8" t="s">
        <v>47</v>
      </c>
      <c r="Z265" s="8" t="s">
        <v>47</v>
      </c>
      <c r="AA265" s="8" t="s">
        <v>47</v>
      </c>
      <c r="AB265" s="11" t="s">
        <v>47</v>
      </c>
      <c r="AC265" s="11" t="s">
        <v>47</v>
      </c>
      <c r="AD265" s="7" t="s">
        <v>47</v>
      </c>
      <c r="AF265" s="7" t="s">
        <v>47</v>
      </c>
      <c r="AG265" s="7" t="s">
        <v>47</v>
      </c>
      <c r="AH265" s="7" t="s">
        <v>47</v>
      </c>
      <c r="AI265" s="7" t="s">
        <v>47</v>
      </c>
      <c r="AL265" s="7" t="s">
        <v>47</v>
      </c>
      <c r="AO265" s="7" t="s">
        <v>47</v>
      </c>
      <c r="AP265" s="7" t="s">
        <v>47</v>
      </c>
      <c r="AQ265" s="7" t="s">
        <v>47</v>
      </c>
      <c r="AV265" s="7" t="s">
        <v>47</v>
      </c>
      <c r="AW265" s="7" t="s">
        <v>47</v>
      </c>
      <c r="AX265" s="12" t="s">
        <v>89</v>
      </c>
      <c r="AY265" s="12" t="s">
        <v>57</v>
      </c>
      <c r="BC265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65" s="7">
        <f>SUM(cna_product_database_catalog_website[[#This Row],[Box CBM]]*35.3147)</f>
        <v>0</v>
      </c>
      <c r="BE265" s="7" t="s">
        <v>47</v>
      </c>
      <c r="BI265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5" s="7">
        <f>SUM(cna_product_database_catalog_website[[#This Row],[Carton CFT]]/61024)</f>
        <v>0</v>
      </c>
      <c r="BM265" s="7" t="s">
        <v>47</v>
      </c>
      <c r="BN265" s="7" t="s">
        <v>47</v>
      </c>
      <c r="BO265" s="7" t="s">
        <v>47</v>
      </c>
      <c r="BP265" s="7" t="s">
        <v>47</v>
      </c>
      <c r="BQ265" s="7" t="s">
        <v>47</v>
      </c>
      <c r="BS265" s="7" t="s">
        <v>47</v>
      </c>
      <c r="BT265" s="7" t="s">
        <v>47</v>
      </c>
      <c r="BU265" s="7" t="s">
        <v>47</v>
      </c>
      <c r="BW265" s="7" t="s">
        <v>47</v>
      </c>
      <c r="BX265" s="7" t="s">
        <v>47</v>
      </c>
      <c r="BY265" s="7" t="s">
        <v>47</v>
      </c>
      <c r="BZ265" s="7" t="s">
        <v>47</v>
      </c>
      <c r="CA265" s="7" t="s">
        <v>47</v>
      </c>
      <c r="CB265" s="7" t="s">
        <v>47</v>
      </c>
      <c r="CC265" s="7" t="s">
        <v>47</v>
      </c>
      <c r="CD265" s="7" t="s">
        <v>47</v>
      </c>
      <c r="CE265" s="7" t="s">
        <v>47</v>
      </c>
      <c r="CF265" s="7" t="s">
        <v>47</v>
      </c>
      <c r="CG265" s="7" t="s">
        <v>47</v>
      </c>
      <c r="CH265" s="7" t="s">
        <v>47</v>
      </c>
      <c r="CI265" s="7" t="s">
        <v>47</v>
      </c>
      <c r="CJ265" s="7" t="s">
        <v>47</v>
      </c>
    </row>
    <row r="266" spans="1:89" s="7" customFormat="1" x14ac:dyDescent="0.25">
      <c r="A266" t="s">
        <v>1484</v>
      </c>
      <c r="B266" t="s">
        <v>696</v>
      </c>
      <c r="C266" t="s">
        <v>1167</v>
      </c>
      <c r="D266" t="s">
        <v>1974</v>
      </c>
      <c r="E266">
        <v>2700</v>
      </c>
      <c r="F266" t="s">
        <v>378</v>
      </c>
      <c r="G266">
        <v>422</v>
      </c>
      <c r="H266" s="9">
        <v>1</v>
      </c>
      <c r="I266" t="s">
        <v>378</v>
      </c>
      <c r="J266" t="s">
        <v>378</v>
      </c>
      <c r="K266" t="s">
        <v>2192</v>
      </c>
      <c r="L266" t="s">
        <v>45</v>
      </c>
      <c r="M266" s="10"/>
      <c r="N266" s="7" t="s">
        <v>46</v>
      </c>
      <c r="O266" s="8">
        <v>1</v>
      </c>
      <c r="P266" s="8">
        <v>1</v>
      </c>
      <c r="Q266" s="7" t="s">
        <v>379</v>
      </c>
      <c r="R266" s="7" t="s">
        <v>50</v>
      </c>
      <c r="S266" s="7" t="s">
        <v>47</v>
      </c>
      <c r="T266" s="7" t="s">
        <v>47</v>
      </c>
      <c r="U266" s="7" t="s">
        <v>47</v>
      </c>
      <c r="V266" s="7" t="s">
        <v>47</v>
      </c>
      <c r="W266" s="7" t="s">
        <v>115</v>
      </c>
      <c r="X266" s="7" t="s">
        <v>336</v>
      </c>
      <c r="Y266" s="8" t="s">
        <v>47</v>
      </c>
      <c r="Z266" s="8" t="s">
        <v>47</v>
      </c>
      <c r="AA266" s="8" t="s">
        <v>47</v>
      </c>
      <c r="AB266" s="11" t="s">
        <v>47</v>
      </c>
      <c r="AC266" s="11" t="s">
        <v>47</v>
      </c>
      <c r="AD266" s="7" t="s">
        <v>47</v>
      </c>
      <c r="AF266" s="7" t="s">
        <v>47</v>
      </c>
      <c r="AG266" s="7" t="s">
        <v>47</v>
      </c>
      <c r="AH266" s="7" t="s">
        <v>47</v>
      </c>
      <c r="AI266" s="7" t="s">
        <v>47</v>
      </c>
      <c r="AL266" s="7" t="s">
        <v>47</v>
      </c>
      <c r="AO266" s="7" t="s">
        <v>47</v>
      </c>
      <c r="AP266" s="7" t="s">
        <v>47</v>
      </c>
      <c r="AQ266" s="7" t="s">
        <v>47</v>
      </c>
      <c r="AV266" s="7" t="s">
        <v>47</v>
      </c>
      <c r="AW266" s="7" t="s">
        <v>47</v>
      </c>
      <c r="AX266" s="12" t="s">
        <v>78</v>
      </c>
      <c r="AY266" s="12" t="s">
        <v>78</v>
      </c>
      <c r="BC266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66" s="7">
        <f>SUM(cna_product_database_catalog_website[[#This Row],[Box CBM]]*35.3147)</f>
        <v>0</v>
      </c>
      <c r="BE266" s="7" t="s">
        <v>47</v>
      </c>
      <c r="BI266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6" s="7">
        <f>SUM(cna_product_database_catalog_website[[#This Row],[Carton CFT]]/61024)</f>
        <v>0</v>
      </c>
      <c r="BM266" s="7" t="s">
        <v>47</v>
      </c>
      <c r="BN266" s="7" t="s">
        <v>47</v>
      </c>
      <c r="BO266" s="7" t="s">
        <v>47</v>
      </c>
      <c r="BP266" s="7" t="s">
        <v>47</v>
      </c>
      <c r="BQ266" s="7" t="s">
        <v>47</v>
      </c>
      <c r="BS266" s="7" t="s">
        <v>47</v>
      </c>
      <c r="BT266" s="7" t="s">
        <v>47</v>
      </c>
      <c r="BU266" s="7" t="s">
        <v>47</v>
      </c>
      <c r="BW266" s="7" t="s">
        <v>47</v>
      </c>
      <c r="BX266" s="7" t="s">
        <v>47</v>
      </c>
      <c r="BY266" s="7" t="s">
        <v>47</v>
      </c>
      <c r="BZ266" s="7" t="s">
        <v>47</v>
      </c>
      <c r="CA266" s="7" t="s">
        <v>47</v>
      </c>
      <c r="CB266" s="7" t="s">
        <v>47</v>
      </c>
      <c r="CC266" s="7" t="s">
        <v>47</v>
      </c>
      <c r="CD266" s="7" t="s">
        <v>47</v>
      </c>
      <c r="CE266" s="7" t="s">
        <v>47</v>
      </c>
      <c r="CF266" s="7" t="s">
        <v>47</v>
      </c>
      <c r="CG266" s="7" t="s">
        <v>47</v>
      </c>
      <c r="CH266" s="7" t="s">
        <v>47</v>
      </c>
      <c r="CI266" s="7" t="s">
        <v>47</v>
      </c>
      <c r="CJ266" s="7" t="s">
        <v>47</v>
      </c>
    </row>
    <row r="267" spans="1:89" s="7" customFormat="1" x14ac:dyDescent="0.25">
      <c r="A267" t="s">
        <v>1484</v>
      </c>
      <c r="B267" t="s">
        <v>696</v>
      </c>
      <c r="C267" t="s">
        <v>1168</v>
      </c>
      <c r="D267" t="s">
        <v>1975</v>
      </c>
      <c r="E267">
        <v>2705</v>
      </c>
      <c r="F267" t="s">
        <v>380</v>
      </c>
      <c r="G267">
        <v>194</v>
      </c>
      <c r="H267" s="9">
        <v>1</v>
      </c>
      <c r="I267" t="s">
        <v>380</v>
      </c>
      <c r="J267" t="s">
        <v>380</v>
      </c>
      <c r="K267" t="s">
        <v>2192</v>
      </c>
      <c r="L267" t="s">
        <v>45</v>
      </c>
      <c r="M267" s="10"/>
      <c r="N267" s="7" t="s">
        <v>46</v>
      </c>
      <c r="O267" s="8">
        <v>1</v>
      </c>
      <c r="P267" s="8">
        <v>1</v>
      </c>
      <c r="Q267" s="7" t="s">
        <v>338</v>
      </c>
      <c r="R267" s="7" t="s">
        <v>50</v>
      </c>
      <c r="S267" s="7" t="s">
        <v>47</v>
      </c>
      <c r="T267" s="7" t="s">
        <v>47</v>
      </c>
      <c r="U267" s="7" t="s">
        <v>47</v>
      </c>
      <c r="V267" s="7" t="s">
        <v>47</v>
      </c>
      <c r="W267" s="7" t="s">
        <v>115</v>
      </c>
      <c r="X267" s="7" t="s">
        <v>336</v>
      </c>
      <c r="Y267" s="8" t="s">
        <v>47</v>
      </c>
      <c r="Z267" s="8" t="s">
        <v>47</v>
      </c>
      <c r="AA267" s="8" t="s">
        <v>47</v>
      </c>
      <c r="AB267" s="11" t="s">
        <v>47</v>
      </c>
      <c r="AC267" s="11" t="s">
        <v>47</v>
      </c>
      <c r="AD267" s="7" t="s">
        <v>47</v>
      </c>
      <c r="AF267" s="7" t="s">
        <v>47</v>
      </c>
      <c r="AG267" s="7" t="s">
        <v>47</v>
      </c>
      <c r="AH267" s="7" t="s">
        <v>47</v>
      </c>
      <c r="AI267" s="7" t="s">
        <v>47</v>
      </c>
      <c r="AL267" s="7" t="s">
        <v>47</v>
      </c>
      <c r="AO267" s="7" t="s">
        <v>47</v>
      </c>
      <c r="AP267" s="7" t="s">
        <v>47</v>
      </c>
      <c r="AQ267" s="7" t="s">
        <v>47</v>
      </c>
      <c r="AV267" s="7" t="s">
        <v>47</v>
      </c>
      <c r="AW267" s="7" t="s">
        <v>47</v>
      </c>
      <c r="AX267" s="12" t="s">
        <v>78</v>
      </c>
      <c r="AY267" s="12" t="s">
        <v>78</v>
      </c>
      <c r="BC267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67" s="7">
        <f>SUM(cna_product_database_catalog_website[[#This Row],[Box CBM]]*35.3147)</f>
        <v>0</v>
      </c>
      <c r="BE267" s="7" t="s">
        <v>47</v>
      </c>
      <c r="BI267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7" s="7">
        <f>SUM(cna_product_database_catalog_website[[#This Row],[Carton CFT]]/61024)</f>
        <v>0</v>
      </c>
      <c r="BM267" s="7" t="s">
        <v>47</v>
      </c>
      <c r="BN267" s="7" t="s">
        <v>47</v>
      </c>
      <c r="BO267" s="7" t="s">
        <v>47</v>
      </c>
      <c r="BP267" s="7" t="s">
        <v>47</v>
      </c>
      <c r="BQ267" s="7" t="s">
        <v>47</v>
      </c>
      <c r="BS267" s="7" t="s">
        <v>47</v>
      </c>
      <c r="BT267" s="7" t="s">
        <v>47</v>
      </c>
      <c r="BU267" s="7" t="s">
        <v>47</v>
      </c>
      <c r="BW267" s="7" t="s">
        <v>47</v>
      </c>
      <c r="BX267" s="7" t="s">
        <v>47</v>
      </c>
      <c r="BY267" s="7" t="s">
        <v>47</v>
      </c>
      <c r="BZ267" s="7" t="s">
        <v>47</v>
      </c>
      <c r="CA267" s="7" t="s">
        <v>47</v>
      </c>
      <c r="CB267" s="7" t="s">
        <v>47</v>
      </c>
      <c r="CC267" s="7" t="s">
        <v>47</v>
      </c>
      <c r="CD267" s="7" t="s">
        <v>47</v>
      </c>
      <c r="CE267" s="7" t="s">
        <v>47</v>
      </c>
      <c r="CF267" s="7" t="s">
        <v>47</v>
      </c>
      <c r="CG267" s="7" t="s">
        <v>47</v>
      </c>
      <c r="CH267" s="7" t="s">
        <v>47</v>
      </c>
      <c r="CI267" s="7" t="s">
        <v>47</v>
      </c>
      <c r="CJ267" s="7" t="s">
        <v>47</v>
      </c>
    </row>
    <row r="268" spans="1:89" s="7" customFormat="1" x14ac:dyDescent="0.25">
      <c r="A268" t="s">
        <v>1484</v>
      </c>
      <c r="B268" t="s">
        <v>696</v>
      </c>
      <c r="C268" t="s">
        <v>1169</v>
      </c>
      <c r="D268" t="s">
        <v>1976</v>
      </c>
      <c r="E268">
        <v>2710</v>
      </c>
      <c r="F268" t="s">
        <v>381</v>
      </c>
      <c r="G268">
        <v>416</v>
      </c>
      <c r="H268" s="9">
        <v>1</v>
      </c>
      <c r="I268" t="s">
        <v>381</v>
      </c>
      <c r="J268" t="s">
        <v>381</v>
      </c>
      <c r="K268" t="s">
        <v>2192</v>
      </c>
      <c r="L268" t="s">
        <v>45</v>
      </c>
      <c r="M268" s="10"/>
      <c r="N268" s="7" t="s">
        <v>46</v>
      </c>
      <c r="O268" s="8">
        <v>1</v>
      </c>
      <c r="P268" s="8">
        <v>1</v>
      </c>
      <c r="Q268" s="7" t="s">
        <v>379</v>
      </c>
      <c r="R268" s="7" t="s">
        <v>50</v>
      </c>
      <c r="S268" s="7" t="s">
        <v>47</v>
      </c>
      <c r="T268" s="7" t="s">
        <v>47</v>
      </c>
      <c r="U268" s="7" t="s">
        <v>47</v>
      </c>
      <c r="V268" s="7" t="s">
        <v>47</v>
      </c>
      <c r="W268" s="7" t="s">
        <v>115</v>
      </c>
      <c r="X268" s="7" t="s">
        <v>336</v>
      </c>
      <c r="Y268" s="8" t="s">
        <v>47</v>
      </c>
      <c r="Z268" s="8" t="s">
        <v>47</v>
      </c>
      <c r="AA268" s="8" t="s">
        <v>47</v>
      </c>
      <c r="AB268" s="11" t="s">
        <v>47</v>
      </c>
      <c r="AC268" s="11" t="s">
        <v>47</v>
      </c>
      <c r="AD268" s="7" t="s">
        <v>47</v>
      </c>
      <c r="AF268" s="7" t="s">
        <v>47</v>
      </c>
      <c r="AG268" s="7" t="s">
        <v>47</v>
      </c>
      <c r="AH268" s="7" t="s">
        <v>47</v>
      </c>
      <c r="AI268" s="7" t="s">
        <v>47</v>
      </c>
      <c r="AL268" s="7" t="s">
        <v>47</v>
      </c>
      <c r="AO268" s="7" t="s">
        <v>47</v>
      </c>
      <c r="AP268" s="7" t="s">
        <v>47</v>
      </c>
      <c r="AQ268" s="7" t="s">
        <v>47</v>
      </c>
      <c r="AV268" s="7" t="s">
        <v>47</v>
      </c>
      <c r="AW268" s="7" t="s">
        <v>47</v>
      </c>
      <c r="AX268" s="12" t="s">
        <v>78</v>
      </c>
      <c r="AY268" s="12" t="s">
        <v>78</v>
      </c>
      <c r="BC268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68" s="7">
        <f>SUM(cna_product_database_catalog_website[[#This Row],[Box CBM]]*35.3147)</f>
        <v>0</v>
      </c>
      <c r="BE268" s="7" t="s">
        <v>47</v>
      </c>
      <c r="BI268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8" s="7">
        <f>SUM(cna_product_database_catalog_website[[#This Row],[Carton CFT]]/61024)</f>
        <v>0</v>
      </c>
      <c r="BM268" s="7" t="s">
        <v>47</v>
      </c>
      <c r="BN268" s="7" t="s">
        <v>47</v>
      </c>
      <c r="BO268" s="7" t="s">
        <v>47</v>
      </c>
      <c r="BP268" s="7" t="s">
        <v>47</v>
      </c>
      <c r="BQ268" s="7" t="s">
        <v>47</v>
      </c>
      <c r="BS268" s="7" t="s">
        <v>47</v>
      </c>
      <c r="BT268" s="7" t="s">
        <v>47</v>
      </c>
      <c r="BU268" s="7" t="s">
        <v>47</v>
      </c>
      <c r="BW268" s="7" t="s">
        <v>47</v>
      </c>
      <c r="BX268" s="7" t="s">
        <v>47</v>
      </c>
      <c r="BY268" s="7" t="s">
        <v>47</v>
      </c>
      <c r="BZ268" s="7" t="s">
        <v>47</v>
      </c>
      <c r="CA268" s="7" t="s">
        <v>47</v>
      </c>
      <c r="CB268" s="7" t="s">
        <v>47</v>
      </c>
      <c r="CC268" s="7" t="s">
        <v>47</v>
      </c>
      <c r="CD268" s="7" t="s">
        <v>47</v>
      </c>
      <c r="CE268" s="7" t="s">
        <v>47</v>
      </c>
      <c r="CF268" s="7" t="s">
        <v>47</v>
      </c>
      <c r="CG268" s="7" t="s">
        <v>47</v>
      </c>
      <c r="CH268" s="7" t="s">
        <v>47</v>
      </c>
      <c r="CI268" s="7" t="s">
        <v>47</v>
      </c>
      <c r="CJ268" s="7" t="s">
        <v>47</v>
      </c>
    </row>
    <row r="269" spans="1:89" s="7" customFormat="1" x14ac:dyDescent="0.25">
      <c r="A269" t="s">
        <v>1484</v>
      </c>
      <c r="B269" t="s">
        <v>696</v>
      </c>
      <c r="C269" t="s">
        <v>1170</v>
      </c>
      <c r="D269" t="s">
        <v>1977</v>
      </c>
      <c r="E269">
        <v>2715</v>
      </c>
      <c r="F269" t="s">
        <v>382</v>
      </c>
      <c r="G269">
        <v>417</v>
      </c>
      <c r="H269" s="9">
        <v>1</v>
      </c>
      <c r="I269" t="s">
        <v>382</v>
      </c>
      <c r="J269" t="s">
        <v>382</v>
      </c>
      <c r="K269" t="s">
        <v>2192</v>
      </c>
      <c r="L269" t="s">
        <v>45</v>
      </c>
      <c r="M269" s="10"/>
      <c r="N269" s="7" t="s">
        <v>46</v>
      </c>
      <c r="O269" s="8">
        <v>1</v>
      </c>
      <c r="P269" s="8">
        <v>1</v>
      </c>
      <c r="Q269" s="7" t="s">
        <v>383</v>
      </c>
      <c r="R269" s="7" t="s">
        <v>50</v>
      </c>
      <c r="S269" s="7" t="s">
        <v>47</v>
      </c>
      <c r="T269" s="7" t="s">
        <v>47</v>
      </c>
      <c r="U269" s="7" t="s">
        <v>47</v>
      </c>
      <c r="V269" s="7" t="s">
        <v>47</v>
      </c>
      <c r="W269" s="7" t="s">
        <v>115</v>
      </c>
      <c r="X269" s="7" t="s">
        <v>336</v>
      </c>
      <c r="Y269" s="8" t="s">
        <v>47</v>
      </c>
      <c r="Z269" s="8" t="s">
        <v>47</v>
      </c>
      <c r="AA269" s="8" t="s">
        <v>47</v>
      </c>
      <c r="AB269" s="11" t="s">
        <v>47</v>
      </c>
      <c r="AC269" s="11" t="s">
        <v>47</v>
      </c>
      <c r="AD269" s="7" t="s">
        <v>47</v>
      </c>
      <c r="AF269" s="7" t="s">
        <v>47</v>
      </c>
      <c r="AG269" s="7" t="s">
        <v>47</v>
      </c>
      <c r="AH269" s="7" t="s">
        <v>47</v>
      </c>
      <c r="AI269" s="7" t="s">
        <v>47</v>
      </c>
      <c r="AL269" s="7" t="s">
        <v>47</v>
      </c>
      <c r="AO269" s="7" t="s">
        <v>47</v>
      </c>
      <c r="AP269" s="7" t="s">
        <v>47</v>
      </c>
      <c r="AQ269" s="7" t="s">
        <v>47</v>
      </c>
      <c r="AV269" s="7" t="s">
        <v>47</v>
      </c>
      <c r="AW269" s="7" t="s">
        <v>47</v>
      </c>
      <c r="AX269" s="12" t="s">
        <v>78</v>
      </c>
      <c r="AY269" s="12" t="s">
        <v>78</v>
      </c>
      <c r="BC269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69" s="7">
        <f>SUM(cna_product_database_catalog_website[[#This Row],[Box CBM]]*35.3147)</f>
        <v>0</v>
      </c>
      <c r="BE269" s="7" t="s">
        <v>47</v>
      </c>
      <c r="BI269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69" s="7">
        <f>SUM(cna_product_database_catalog_website[[#This Row],[Carton CFT]]/61024)</f>
        <v>0</v>
      </c>
      <c r="BM269" s="7" t="s">
        <v>47</v>
      </c>
      <c r="BN269" s="7" t="s">
        <v>47</v>
      </c>
      <c r="BO269" s="7" t="s">
        <v>47</v>
      </c>
      <c r="BP269" s="7" t="s">
        <v>47</v>
      </c>
      <c r="BQ269" s="7" t="s">
        <v>47</v>
      </c>
      <c r="BS269" s="7" t="s">
        <v>47</v>
      </c>
      <c r="BT269" s="7" t="s">
        <v>47</v>
      </c>
      <c r="BU269" s="7" t="s">
        <v>47</v>
      </c>
      <c r="BW269" s="7" t="s">
        <v>47</v>
      </c>
      <c r="BX269" s="7" t="s">
        <v>47</v>
      </c>
      <c r="BY269" s="7" t="s">
        <v>47</v>
      </c>
      <c r="BZ269" s="7" t="s">
        <v>47</v>
      </c>
      <c r="CA269" s="7" t="s">
        <v>47</v>
      </c>
      <c r="CB269" s="7" t="s">
        <v>47</v>
      </c>
      <c r="CC269" s="7" t="s">
        <v>47</v>
      </c>
      <c r="CD269" s="7" t="s">
        <v>47</v>
      </c>
      <c r="CE269" s="7" t="s">
        <v>47</v>
      </c>
      <c r="CF269" s="7" t="s">
        <v>47</v>
      </c>
      <c r="CG269" s="7" t="s">
        <v>47</v>
      </c>
      <c r="CH269" s="7" t="s">
        <v>47</v>
      </c>
      <c r="CI269" s="7" t="s">
        <v>47</v>
      </c>
      <c r="CJ269" s="7" t="s">
        <v>47</v>
      </c>
    </row>
    <row r="270" spans="1:89" s="7" customFormat="1" x14ac:dyDescent="0.25">
      <c r="A270" t="s">
        <v>1484</v>
      </c>
      <c r="B270" t="s">
        <v>696</v>
      </c>
      <c r="C270" t="s">
        <v>1171</v>
      </c>
      <c r="D270" t="s">
        <v>1978</v>
      </c>
      <c r="E270">
        <v>2720</v>
      </c>
      <c r="F270" t="s">
        <v>384</v>
      </c>
      <c r="G270">
        <v>418</v>
      </c>
      <c r="H270" s="9">
        <v>1</v>
      </c>
      <c r="I270" t="s">
        <v>384</v>
      </c>
      <c r="J270" t="s">
        <v>384</v>
      </c>
      <c r="K270" t="s">
        <v>2192</v>
      </c>
      <c r="L270" t="s">
        <v>45</v>
      </c>
      <c r="M270" s="10"/>
      <c r="N270" s="7" t="s">
        <v>46</v>
      </c>
      <c r="O270" s="8">
        <v>1</v>
      </c>
      <c r="P270" s="8">
        <v>1</v>
      </c>
      <c r="Q270" s="7" t="s">
        <v>385</v>
      </c>
      <c r="R270" s="7" t="s">
        <v>50</v>
      </c>
      <c r="S270" s="7" t="s">
        <v>47</v>
      </c>
      <c r="T270" s="7" t="s">
        <v>47</v>
      </c>
      <c r="U270" s="7" t="s">
        <v>47</v>
      </c>
      <c r="V270" s="7" t="s">
        <v>47</v>
      </c>
      <c r="W270" s="7" t="s">
        <v>115</v>
      </c>
      <c r="X270" s="7" t="s">
        <v>336</v>
      </c>
      <c r="Y270" s="8" t="s">
        <v>47</v>
      </c>
      <c r="Z270" s="8" t="s">
        <v>47</v>
      </c>
      <c r="AA270" s="8" t="s">
        <v>47</v>
      </c>
      <c r="AB270" s="11" t="s">
        <v>47</v>
      </c>
      <c r="AC270" s="11" t="s">
        <v>47</v>
      </c>
      <c r="AD270" s="7" t="s">
        <v>47</v>
      </c>
      <c r="AF270" s="7" t="s">
        <v>47</v>
      </c>
      <c r="AG270" s="7" t="s">
        <v>47</v>
      </c>
      <c r="AH270" s="7" t="s">
        <v>47</v>
      </c>
      <c r="AI270" s="7" t="s">
        <v>47</v>
      </c>
      <c r="AL270" s="7" t="s">
        <v>47</v>
      </c>
      <c r="AO270" s="7" t="s">
        <v>47</v>
      </c>
      <c r="AP270" s="7" t="s">
        <v>47</v>
      </c>
      <c r="AQ270" s="7" t="s">
        <v>47</v>
      </c>
      <c r="AV270" s="7" t="s">
        <v>47</v>
      </c>
      <c r="AW270" s="7" t="s">
        <v>47</v>
      </c>
      <c r="AX270" s="12" t="s">
        <v>78</v>
      </c>
      <c r="AY270" s="12" t="s">
        <v>78</v>
      </c>
      <c r="BC270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0" s="7">
        <f>SUM(cna_product_database_catalog_website[[#This Row],[Box CBM]]*35.3147)</f>
        <v>0</v>
      </c>
      <c r="BE270" s="7" t="s">
        <v>47</v>
      </c>
      <c r="BI270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0" s="7">
        <f>SUM(cna_product_database_catalog_website[[#This Row],[Carton CFT]]/61024)</f>
        <v>0</v>
      </c>
      <c r="BM270" s="7" t="s">
        <v>47</v>
      </c>
      <c r="BN270" s="7" t="s">
        <v>47</v>
      </c>
      <c r="BO270" s="7" t="s">
        <v>47</v>
      </c>
      <c r="BP270" s="7" t="s">
        <v>47</v>
      </c>
      <c r="BQ270" s="7" t="s">
        <v>47</v>
      </c>
      <c r="BS270" s="7" t="s">
        <v>47</v>
      </c>
      <c r="BT270" s="7" t="s">
        <v>47</v>
      </c>
      <c r="BU270" s="7" t="s">
        <v>47</v>
      </c>
      <c r="BW270" s="7" t="s">
        <v>47</v>
      </c>
      <c r="BX270" s="7" t="s">
        <v>47</v>
      </c>
      <c r="BY270" s="7" t="s">
        <v>47</v>
      </c>
      <c r="BZ270" s="7" t="s">
        <v>47</v>
      </c>
      <c r="CA270" s="7" t="s">
        <v>47</v>
      </c>
      <c r="CB270" s="7" t="s">
        <v>47</v>
      </c>
      <c r="CC270" s="7" t="s">
        <v>47</v>
      </c>
      <c r="CD270" s="7" t="s">
        <v>47</v>
      </c>
      <c r="CE270" s="7" t="s">
        <v>47</v>
      </c>
      <c r="CF270" s="7" t="s">
        <v>47</v>
      </c>
      <c r="CG270" s="7" t="s">
        <v>47</v>
      </c>
      <c r="CH270" s="7" t="s">
        <v>47</v>
      </c>
      <c r="CI270" s="7" t="s">
        <v>47</v>
      </c>
      <c r="CJ270" s="7" t="s">
        <v>47</v>
      </c>
    </row>
    <row r="271" spans="1:89" s="7" customFormat="1" x14ac:dyDescent="0.25">
      <c r="A271" t="s">
        <v>1484</v>
      </c>
      <c r="B271" t="s">
        <v>697</v>
      </c>
      <c r="C271" t="s">
        <v>1172</v>
      </c>
      <c r="D271" t="s">
        <v>1979</v>
      </c>
      <c r="E271">
        <v>2755</v>
      </c>
      <c r="F271" t="s">
        <v>387</v>
      </c>
      <c r="G271">
        <v>14</v>
      </c>
      <c r="H271" s="9">
        <v>1</v>
      </c>
      <c r="I271" t="s">
        <v>387</v>
      </c>
      <c r="J271" t="s">
        <v>387</v>
      </c>
      <c r="K271" t="s">
        <v>2192</v>
      </c>
      <c r="L271" t="s">
        <v>45</v>
      </c>
      <c r="M271" s="10"/>
      <c r="N271" s="7" t="s">
        <v>46</v>
      </c>
      <c r="O271" s="8">
        <v>1</v>
      </c>
      <c r="P271" s="8">
        <v>1</v>
      </c>
      <c r="Q271" s="7" t="s">
        <v>379</v>
      </c>
      <c r="R271" s="7" t="s">
        <v>386</v>
      </c>
      <c r="S271" s="7" t="s">
        <v>47</v>
      </c>
      <c r="T271" s="7" t="s">
        <v>47</v>
      </c>
      <c r="U271" s="7" t="s">
        <v>47</v>
      </c>
      <c r="V271" s="7" t="s">
        <v>47</v>
      </c>
      <c r="W271" s="7" t="s">
        <v>115</v>
      </c>
      <c r="X271" s="7" t="s">
        <v>336</v>
      </c>
      <c r="Y271" s="8" t="s">
        <v>47</v>
      </c>
      <c r="Z271" s="8" t="s">
        <v>47</v>
      </c>
      <c r="AA271" s="8" t="s">
        <v>47</v>
      </c>
      <c r="AB271" s="11" t="s">
        <v>47</v>
      </c>
      <c r="AC271" s="11" t="s">
        <v>47</v>
      </c>
      <c r="AD271" s="7" t="s">
        <v>47</v>
      </c>
      <c r="AF271" s="7" t="s">
        <v>47</v>
      </c>
      <c r="AG271" s="7" t="s">
        <v>47</v>
      </c>
      <c r="AH271" s="7" t="s">
        <v>47</v>
      </c>
      <c r="AI271" s="7" t="s">
        <v>47</v>
      </c>
      <c r="AL271" s="7" t="s">
        <v>47</v>
      </c>
      <c r="AO271" s="7" t="s">
        <v>47</v>
      </c>
      <c r="AP271" s="7" t="s">
        <v>47</v>
      </c>
      <c r="AQ271" s="7" t="s">
        <v>47</v>
      </c>
      <c r="AV271" s="7" t="s">
        <v>47</v>
      </c>
      <c r="AW271" s="7" t="s">
        <v>47</v>
      </c>
      <c r="AX271" s="12" t="s">
        <v>78</v>
      </c>
      <c r="AY271" s="12" t="s">
        <v>78</v>
      </c>
      <c r="BC271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1" s="7">
        <f>SUM(cna_product_database_catalog_website[[#This Row],[Box CBM]]*35.3147)</f>
        <v>0</v>
      </c>
      <c r="BE271" s="7" t="s">
        <v>47</v>
      </c>
      <c r="BI271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1" s="7">
        <f>SUM(cna_product_database_catalog_website[[#This Row],[Carton CFT]]/61024)</f>
        <v>0</v>
      </c>
      <c r="BM271" s="7" t="s">
        <v>47</v>
      </c>
      <c r="BN271" s="7" t="s">
        <v>47</v>
      </c>
      <c r="BO271" s="7" t="s">
        <v>47</v>
      </c>
      <c r="BP271" s="7" t="s">
        <v>47</v>
      </c>
      <c r="BQ271" s="7" t="s">
        <v>47</v>
      </c>
      <c r="BS271" s="7" t="s">
        <v>47</v>
      </c>
      <c r="BT271" s="7" t="s">
        <v>47</v>
      </c>
      <c r="BU271" s="7" t="s">
        <v>47</v>
      </c>
      <c r="BW271" s="7" t="s">
        <v>47</v>
      </c>
      <c r="BX271" s="7" t="s">
        <v>47</v>
      </c>
      <c r="BY271" s="7" t="s">
        <v>47</v>
      </c>
      <c r="BZ271" s="7" t="s">
        <v>47</v>
      </c>
      <c r="CA271" s="7" t="s">
        <v>47</v>
      </c>
      <c r="CB271" s="7" t="s">
        <v>47</v>
      </c>
      <c r="CC271" s="7" t="s">
        <v>47</v>
      </c>
      <c r="CD271" s="7" t="s">
        <v>47</v>
      </c>
      <c r="CE271" s="7" t="s">
        <v>47</v>
      </c>
      <c r="CF271" s="7" t="s">
        <v>47</v>
      </c>
      <c r="CG271" s="7" t="s">
        <v>47</v>
      </c>
      <c r="CH271" s="7" t="s">
        <v>47</v>
      </c>
      <c r="CI271" s="7" t="s">
        <v>47</v>
      </c>
      <c r="CJ271" s="7" t="s">
        <v>47</v>
      </c>
    </row>
    <row r="272" spans="1:89" s="7" customFormat="1" x14ac:dyDescent="0.25">
      <c r="A272" t="s">
        <v>1484</v>
      </c>
      <c r="B272" t="s">
        <v>697</v>
      </c>
      <c r="C272" t="s">
        <v>1173</v>
      </c>
      <c r="D272" t="s">
        <v>1980</v>
      </c>
      <c r="E272">
        <v>2760</v>
      </c>
      <c r="F272" t="s">
        <v>388</v>
      </c>
      <c r="G272">
        <v>183</v>
      </c>
      <c r="H272" s="9">
        <v>1</v>
      </c>
      <c r="I272" t="s">
        <v>388</v>
      </c>
      <c r="J272" t="s">
        <v>388</v>
      </c>
      <c r="K272" t="s">
        <v>2192</v>
      </c>
      <c r="L272" t="s">
        <v>45</v>
      </c>
      <c r="M272" s="10"/>
      <c r="N272" s="7" t="s">
        <v>46</v>
      </c>
      <c r="O272" s="8">
        <v>1</v>
      </c>
      <c r="P272" s="8">
        <v>1</v>
      </c>
      <c r="Q272" s="7" t="s">
        <v>383</v>
      </c>
      <c r="R272" s="7" t="s">
        <v>386</v>
      </c>
      <c r="S272" s="7" t="s">
        <v>47</v>
      </c>
      <c r="T272" s="7" t="s">
        <v>47</v>
      </c>
      <c r="U272" s="7" t="s">
        <v>47</v>
      </c>
      <c r="V272" s="7" t="s">
        <v>47</v>
      </c>
      <c r="W272" s="7" t="s">
        <v>115</v>
      </c>
      <c r="X272" s="7" t="s">
        <v>336</v>
      </c>
      <c r="Y272" s="8" t="s">
        <v>47</v>
      </c>
      <c r="Z272" s="8" t="s">
        <v>47</v>
      </c>
      <c r="AA272" s="8" t="s">
        <v>47</v>
      </c>
      <c r="AB272" s="11" t="s">
        <v>47</v>
      </c>
      <c r="AC272" s="11" t="s">
        <v>47</v>
      </c>
      <c r="AD272" s="7" t="s">
        <v>47</v>
      </c>
      <c r="AF272" s="7" t="s">
        <v>47</v>
      </c>
      <c r="AG272" s="7" t="s">
        <v>47</v>
      </c>
      <c r="AH272" s="7" t="s">
        <v>47</v>
      </c>
      <c r="AI272" s="7" t="s">
        <v>47</v>
      </c>
      <c r="AL272" s="7" t="s">
        <v>47</v>
      </c>
      <c r="AO272" s="7" t="s">
        <v>47</v>
      </c>
      <c r="AP272" s="7" t="s">
        <v>47</v>
      </c>
      <c r="AQ272" s="7" t="s">
        <v>47</v>
      </c>
      <c r="AV272" s="7" t="s">
        <v>47</v>
      </c>
      <c r="AW272" s="7" t="s">
        <v>47</v>
      </c>
      <c r="AX272" s="12" t="s">
        <v>78</v>
      </c>
      <c r="AY272" s="12" t="s">
        <v>78</v>
      </c>
      <c r="BC272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2" s="7">
        <f>SUM(cna_product_database_catalog_website[[#This Row],[Box CBM]]*35.3147)</f>
        <v>0</v>
      </c>
      <c r="BE272" s="7" t="s">
        <v>47</v>
      </c>
      <c r="BI272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2" s="7">
        <f>SUM(cna_product_database_catalog_website[[#This Row],[Carton CFT]]/61024)</f>
        <v>0</v>
      </c>
      <c r="BM272" s="7" t="s">
        <v>47</v>
      </c>
      <c r="BN272" s="7" t="s">
        <v>47</v>
      </c>
      <c r="BO272" s="7" t="s">
        <v>47</v>
      </c>
      <c r="BP272" s="7" t="s">
        <v>47</v>
      </c>
      <c r="BQ272" s="7" t="s">
        <v>47</v>
      </c>
      <c r="BS272" s="7" t="s">
        <v>47</v>
      </c>
      <c r="BT272" s="7" t="s">
        <v>47</v>
      </c>
      <c r="BU272" s="7" t="s">
        <v>47</v>
      </c>
      <c r="BW272" s="7" t="s">
        <v>47</v>
      </c>
      <c r="BX272" s="7" t="s">
        <v>47</v>
      </c>
      <c r="BY272" s="7" t="s">
        <v>47</v>
      </c>
      <c r="BZ272" s="7" t="s">
        <v>47</v>
      </c>
      <c r="CA272" s="7" t="s">
        <v>47</v>
      </c>
      <c r="CB272" s="7" t="s">
        <v>47</v>
      </c>
      <c r="CC272" s="7" t="s">
        <v>47</v>
      </c>
      <c r="CD272" s="7" t="s">
        <v>47</v>
      </c>
      <c r="CE272" s="7" t="s">
        <v>47</v>
      </c>
      <c r="CF272" s="7" t="s">
        <v>47</v>
      </c>
      <c r="CG272" s="7" t="s">
        <v>47</v>
      </c>
      <c r="CH272" s="7" t="s">
        <v>47</v>
      </c>
      <c r="CI272" s="7" t="s">
        <v>47</v>
      </c>
      <c r="CJ272" s="7" t="s">
        <v>47</v>
      </c>
    </row>
    <row r="273" spans="1:88" s="7" customFormat="1" x14ac:dyDescent="0.25">
      <c r="A273" t="s">
        <v>1484</v>
      </c>
      <c r="B273" t="s">
        <v>697</v>
      </c>
      <c r="C273" t="s">
        <v>1174</v>
      </c>
      <c r="D273" t="s">
        <v>1981</v>
      </c>
      <c r="E273">
        <v>2765</v>
      </c>
      <c r="F273" t="s">
        <v>389</v>
      </c>
      <c r="G273">
        <v>224</v>
      </c>
      <c r="H273" s="9">
        <v>1</v>
      </c>
      <c r="I273" t="s">
        <v>389</v>
      </c>
      <c r="J273" t="s">
        <v>389</v>
      </c>
      <c r="K273" t="s">
        <v>2192</v>
      </c>
      <c r="L273" t="s">
        <v>45</v>
      </c>
      <c r="M273" s="10"/>
      <c r="N273" s="7" t="s">
        <v>46</v>
      </c>
      <c r="O273" s="8">
        <v>1</v>
      </c>
      <c r="P273" s="8">
        <v>1</v>
      </c>
      <c r="Q273" s="7" t="s">
        <v>390</v>
      </c>
      <c r="R273" s="7" t="s">
        <v>386</v>
      </c>
      <c r="S273" s="7" t="s">
        <v>47</v>
      </c>
      <c r="T273" s="7" t="s">
        <v>47</v>
      </c>
      <c r="U273" s="7" t="s">
        <v>47</v>
      </c>
      <c r="V273" s="7" t="s">
        <v>47</v>
      </c>
      <c r="W273" s="7" t="s">
        <v>115</v>
      </c>
      <c r="X273" s="7" t="s">
        <v>336</v>
      </c>
      <c r="Y273" s="8" t="s">
        <v>47</v>
      </c>
      <c r="Z273" s="8" t="s">
        <v>47</v>
      </c>
      <c r="AA273" s="8" t="s">
        <v>47</v>
      </c>
      <c r="AB273" s="11" t="s">
        <v>47</v>
      </c>
      <c r="AC273" s="11" t="s">
        <v>47</v>
      </c>
      <c r="AD273" s="7" t="s">
        <v>47</v>
      </c>
      <c r="AF273" s="7" t="s">
        <v>47</v>
      </c>
      <c r="AG273" s="7" t="s">
        <v>47</v>
      </c>
      <c r="AH273" s="7" t="s">
        <v>47</v>
      </c>
      <c r="AI273" s="7" t="s">
        <v>47</v>
      </c>
      <c r="AL273" s="7" t="s">
        <v>47</v>
      </c>
      <c r="AO273" s="7" t="s">
        <v>47</v>
      </c>
      <c r="AP273" s="7" t="s">
        <v>47</v>
      </c>
      <c r="AQ273" s="7" t="s">
        <v>47</v>
      </c>
      <c r="AV273" s="7" t="s">
        <v>47</v>
      </c>
      <c r="AW273" s="7" t="s">
        <v>47</v>
      </c>
      <c r="AX273" s="12" t="s">
        <v>78</v>
      </c>
      <c r="AY273" s="12" t="s">
        <v>78</v>
      </c>
      <c r="BC273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3" s="7">
        <f>SUM(cna_product_database_catalog_website[[#This Row],[Box CBM]]*35.3147)</f>
        <v>0</v>
      </c>
      <c r="BE273" s="7" t="s">
        <v>47</v>
      </c>
      <c r="BI273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3" s="7">
        <f>SUM(cna_product_database_catalog_website[[#This Row],[Carton CFT]]/61024)</f>
        <v>0</v>
      </c>
      <c r="BM273" s="7" t="s">
        <v>47</v>
      </c>
      <c r="BN273" s="7" t="s">
        <v>47</v>
      </c>
      <c r="BO273" s="7" t="s">
        <v>47</v>
      </c>
      <c r="BP273" s="7" t="s">
        <v>47</v>
      </c>
      <c r="BQ273" s="7" t="s">
        <v>47</v>
      </c>
      <c r="BS273" s="7" t="s">
        <v>47</v>
      </c>
      <c r="BT273" s="7" t="s">
        <v>47</v>
      </c>
      <c r="BU273" s="7" t="s">
        <v>47</v>
      </c>
      <c r="BW273" s="7" t="s">
        <v>47</v>
      </c>
      <c r="BX273" s="7" t="s">
        <v>47</v>
      </c>
      <c r="BY273" s="7" t="s">
        <v>47</v>
      </c>
      <c r="BZ273" s="7" t="s">
        <v>47</v>
      </c>
      <c r="CA273" s="7" t="s">
        <v>47</v>
      </c>
      <c r="CB273" s="7" t="s">
        <v>47</v>
      </c>
      <c r="CC273" s="7" t="s">
        <v>47</v>
      </c>
      <c r="CD273" s="7" t="s">
        <v>47</v>
      </c>
      <c r="CE273" s="7" t="s">
        <v>47</v>
      </c>
      <c r="CF273" s="7" t="s">
        <v>47</v>
      </c>
      <c r="CG273" s="7" t="s">
        <v>47</v>
      </c>
      <c r="CH273" s="7" t="s">
        <v>47</v>
      </c>
      <c r="CI273" s="7" t="s">
        <v>47</v>
      </c>
      <c r="CJ273" s="7" t="s">
        <v>47</v>
      </c>
    </row>
    <row r="274" spans="1:88" s="7" customFormat="1" x14ac:dyDescent="0.25">
      <c r="A274" t="s">
        <v>1484</v>
      </c>
      <c r="B274" t="s">
        <v>697</v>
      </c>
      <c r="C274" t="s">
        <v>1176</v>
      </c>
      <c r="D274" t="s">
        <v>1982</v>
      </c>
      <c r="E274">
        <v>2770</v>
      </c>
      <c r="F274" t="s">
        <v>391</v>
      </c>
      <c r="G274">
        <v>118</v>
      </c>
      <c r="H274" s="9">
        <v>1</v>
      </c>
      <c r="I274" t="s">
        <v>391</v>
      </c>
      <c r="J274" t="s">
        <v>391</v>
      </c>
      <c r="K274" t="s">
        <v>2192</v>
      </c>
      <c r="L274" t="s">
        <v>45</v>
      </c>
      <c r="M274" s="10"/>
      <c r="N274" s="7" t="s">
        <v>46</v>
      </c>
      <c r="O274" s="8">
        <v>1</v>
      </c>
      <c r="P274" s="8">
        <v>1</v>
      </c>
      <c r="Q274" s="7" t="s">
        <v>338</v>
      </c>
      <c r="R274" s="7" t="s">
        <v>386</v>
      </c>
      <c r="S274" s="7" t="s">
        <v>47</v>
      </c>
      <c r="T274" s="7" t="s">
        <v>47</v>
      </c>
      <c r="U274" s="7" t="s">
        <v>47</v>
      </c>
      <c r="V274" s="7" t="s">
        <v>47</v>
      </c>
      <c r="W274" s="7" t="s">
        <v>115</v>
      </c>
      <c r="X274" s="7" t="s">
        <v>336</v>
      </c>
      <c r="Y274" s="8" t="s">
        <v>47</v>
      </c>
      <c r="Z274" s="8" t="s">
        <v>47</v>
      </c>
      <c r="AA274" s="8" t="s">
        <v>47</v>
      </c>
      <c r="AB274" s="11" t="s">
        <v>47</v>
      </c>
      <c r="AC274" s="11" t="s">
        <v>47</v>
      </c>
      <c r="AD274" s="7" t="s">
        <v>47</v>
      </c>
      <c r="AF274" s="7" t="s">
        <v>47</v>
      </c>
      <c r="AG274" s="7" t="s">
        <v>47</v>
      </c>
      <c r="AH274" s="7" t="s">
        <v>47</v>
      </c>
      <c r="AI274" s="7" t="s">
        <v>47</v>
      </c>
      <c r="AL274" s="7" t="s">
        <v>47</v>
      </c>
      <c r="AO274" s="7" t="s">
        <v>47</v>
      </c>
      <c r="AP274" s="7" t="s">
        <v>47</v>
      </c>
      <c r="AQ274" s="7" t="s">
        <v>47</v>
      </c>
      <c r="AV274" s="7" t="s">
        <v>47</v>
      </c>
      <c r="AW274" s="7" t="s">
        <v>47</v>
      </c>
      <c r="AX274" s="12" t="s">
        <v>78</v>
      </c>
      <c r="AY274" s="12" t="s">
        <v>78</v>
      </c>
      <c r="BC274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4" s="7">
        <f>SUM(cna_product_database_catalog_website[[#This Row],[Box CBM]]*35.3147)</f>
        <v>0</v>
      </c>
      <c r="BE274" s="7" t="s">
        <v>47</v>
      </c>
      <c r="BI274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4" s="7">
        <f>SUM(cna_product_database_catalog_website[[#This Row],[Carton CFT]]/61024)</f>
        <v>0</v>
      </c>
      <c r="BM274" s="7" t="s">
        <v>47</v>
      </c>
      <c r="BN274" s="7" t="s">
        <v>47</v>
      </c>
      <c r="BO274" s="7" t="s">
        <v>47</v>
      </c>
      <c r="BP274" s="7" t="s">
        <v>47</v>
      </c>
      <c r="BQ274" s="7" t="s">
        <v>47</v>
      </c>
      <c r="BS274" s="7" t="s">
        <v>47</v>
      </c>
      <c r="BT274" s="7" t="s">
        <v>47</v>
      </c>
      <c r="BU274" s="7" t="s">
        <v>47</v>
      </c>
      <c r="BW274" s="7" t="s">
        <v>47</v>
      </c>
      <c r="BX274" s="7" t="s">
        <v>47</v>
      </c>
      <c r="BY274" s="7" t="s">
        <v>47</v>
      </c>
      <c r="BZ274" s="7" t="s">
        <v>47</v>
      </c>
      <c r="CA274" s="7" t="s">
        <v>47</v>
      </c>
      <c r="CB274" s="7" t="s">
        <v>47</v>
      </c>
      <c r="CC274" s="7" t="s">
        <v>47</v>
      </c>
      <c r="CD274" s="7" t="s">
        <v>47</v>
      </c>
      <c r="CE274" s="7" t="s">
        <v>47</v>
      </c>
      <c r="CF274" s="7" t="s">
        <v>47</v>
      </c>
      <c r="CG274" s="7" t="s">
        <v>47</v>
      </c>
      <c r="CH274" s="7" t="s">
        <v>47</v>
      </c>
      <c r="CI274" s="7" t="s">
        <v>47</v>
      </c>
      <c r="CJ274" s="7" t="s">
        <v>47</v>
      </c>
    </row>
    <row r="275" spans="1:88" s="7" customFormat="1" x14ac:dyDescent="0.25">
      <c r="A275" t="s">
        <v>1484</v>
      </c>
      <c r="B275" t="s">
        <v>697</v>
      </c>
      <c r="C275" t="s">
        <v>1175</v>
      </c>
      <c r="D275" t="s">
        <v>1983</v>
      </c>
      <c r="E275">
        <v>2775</v>
      </c>
      <c r="F275" t="s">
        <v>392</v>
      </c>
      <c r="G275">
        <v>119</v>
      </c>
      <c r="H275" s="9">
        <v>1</v>
      </c>
      <c r="I275" t="s">
        <v>392</v>
      </c>
      <c r="J275" t="s">
        <v>392</v>
      </c>
      <c r="K275" t="s">
        <v>2192</v>
      </c>
      <c r="L275" t="s">
        <v>45</v>
      </c>
      <c r="M275" s="10"/>
      <c r="N275" s="7" t="s">
        <v>46</v>
      </c>
      <c r="O275" s="8">
        <v>1</v>
      </c>
      <c r="P275" s="8">
        <v>1</v>
      </c>
      <c r="Q275" s="7" t="s">
        <v>379</v>
      </c>
      <c r="R275" s="7" t="s">
        <v>386</v>
      </c>
      <c r="S275" s="7" t="s">
        <v>47</v>
      </c>
      <c r="T275" s="7" t="s">
        <v>47</v>
      </c>
      <c r="U275" s="7" t="s">
        <v>47</v>
      </c>
      <c r="V275" s="7" t="s">
        <v>47</v>
      </c>
      <c r="W275" s="7" t="s">
        <v>115</v>
      </c>
      <c r="X275" s="7" t="s">
        <v>336</v>
      </c>
      <c r="Y275" s="8" t="s">
        <v>47</v>
      </c>
      <c r="Z275" s="8" t="s">
        <v>47</v>
      </c>
      <c r="AA275" s="8" t="s">
        <v>47</v>
      </c>
      <c r="AB275" s="11" t="s">
        <v>47</v>
      </c>
      <c r="AC275" s="11" t="s">
        <v>47</v>
      </c>
      <c r="AD275" s="7" t="s">
        <v>47</v>
      </c>
      <c r="AF275" s="7" t="s">
        <v>47</v>
      </c>
      <c r="AG275" s="7" t="s">
        <v>47</v>
      </c>
      <c r="AH275" s="7" t="s">
        <v>47</v>
      </c>
      <c r="AI275" s="7" t="s">
        <v>47</v>
      </c>
      <c r="AL275" s="7" t="s">
        <v>47</v>
      </c>
      <c r="AO275" s="7" t="s">
        <v>47</v>
      </c>
      <c r="AP275" s="7" t="s">
        <v>47</v>
      </c>
      <c r="AQ275" s="7" t="s">
        <v>47</v>
      </c>
      <c r="AV275" s="7" t="s">
        <v>47</v>
      </c>
      <c r="AW275" s="7" t="s">
        <v>47</v>
      </c>
      <c r="AX275" s="12" t="s">
        <v>78</v>
      </c>
      <c r="AY275" s="12" t="s">
        <v>78</v>
      </c>
      <c r="BC275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5" s="7">
        <f>SUM(cna_product_database_catalog_website[[#This Row],[Box CBM]]*35.3147)</f>
        <v>0</v>
      </c>
      <c r="BE275" s="7" t="s">
        <v>47</v>
      </c>
      <c r="BI275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5" s="7">
        <f>SUM(cna_product_database_catalog_website[[#This Row],[Carton CFT]]/61024)</f>
        <v>0</v>
      </c>
      <c r="BM275" s="7" t="s">
        <v>47</v>
      </c>
      <c r="BN275" s="7" t="s">
        <v>47</v>
      </c>
      <c r="BO275" s="7" t="s">
        <v>47</v>
      </c>
      <c r="BP275" s="7" t="s">
        <v>47</v>
      </c>
      <c r="BQ275" s="7" t="s">
        <v>47</v>
      </c>
      <c r="BS275" s="7" t="s">
        <v>47</v>
      </c>
      <c r="BT275" s="7" t="s">
        <v>47</v>
      </c>
      <c r="BU275" s="7" t="s">
        <v>47</v>
      </c>
      <c r="BW275" s="7" t="s">
        <v>47</v>
      </c>
      <c r="BX275" s="7" t="s">
        <v>47</v>
      </c>
      <c r="BY275" s="7" t="s">
        <v>47</v>
      </c>
      <c r="BZ275" s="7" t="s">
        <v>47</v>
      </c>
      <c r="CA275" s="7" t="s">
        <v>47</v>
      </c>
      <c r="CB275" s="7" t="s">
        <v>47</v>
      </c>
      <c r="CC275" s="7" t="s">
        <v>47</v>
      </c>
      <c r="CD275" s="7" t="s">
        <v>47</v>
      </c>
      <c r="CE275" s="7" t="s">
        <v>47</v>
      </c>
      <c r="CF275" s="7" t="s">
        <v>47</v>
      </c>
      <c r="CG275" s="7" t="s">
        <v>47</v>
      </c>
      <c r="CH275" s="7" t="s">
        <v>47</v>
      </c>
      <c r="CI275" s="7" t="s">
        <v>47</v>
      </c>
      <c r="CJ275" s="7" t="s">
        <v>47</v>
      </c>
    </row>
    <row r="276" spans="1:88" s="7" customFormat="1" x14ac:dyDescent="0.25">
      <c r="A276" t="s">
        <v>1484</v>
      </c>
      <c r="B276" t="s">
        <v>697</v>
      </c>
      <c r="C276" t="s">
        <v>1177</v>
      </c>
      <c r="D276" t="s">
        <v>1984</v>
      </c>
      <c r="E276">
        <v>2780</v>
      </c>
      <c r="F276" t="s">
        <v>393</v>
      </c>
      <c r="G276">
        <v>16</v>
      </c>
      <c r="H276" s="9">
        <v>1</v>
      </c>
      <c r="I276" t="s">
        <v>393</v>
      </c>
      <c r="J276" t="s">
        <v>393</v>
      </c>
      <c r="K276" t="s">
        <v>2192</v>
      </c>
      <c r="L276" t="s">
        <v>45</v>
      </c>
      <c r="M276" s="10"/>
      <c r="N276" s="7" t="s">
        <v>46</v>
      </c>
      <c r="O276" s="8">
        <v>1</v>
      </c>
      <c r="P276" s="8">
        <v>1</v>
      </c>
      <c r="Q276" s="7" t="s">
        <v>385</v>
      </c>
      <c r="R276" s="7" t="s">
        <v>386</v>
      </c>
      <c r="S276" s="7" t="s">
        <v>47</v>
      </c>
      <c r="T276" s="7" t="s">
        <v>47</v>
      </c>
      <c r="U276" s="7" t="s">
        <v>47</v>
      </c>
      <c r="V276" s="7" t="s">
        <v>47</v>
      </c>
      <c r="W276" s="7" t="s">
        <v>115</v>
      </c>
      <c r="X276" s="7" t="s">
        <v>336</v>
      </c>
      <c r="Y276" s="8" t="s">
        <v>47</v>
      </c>
      <c r="Z276" s="8" t="s">
        <v>47</v>
      </c>
      <c r="AA276" s="8" t="s">
        <v>47</v>
      </c>
      <c r="AB276" s="11" t="s">
        <v>47</v>
      </c>
      <c r="AC276" s="11" t="s">
        <v>47</v>
      </c>
      <c r="AD276" s="7" t="s">
        <v>47</v>
      </c>
      <c r="AF276" s="7" t="s">
        <v>47</v>
      </c>
      <c r="AG276" s="7" t="s">
        <v>47</v>
      </c>
      <c r="AH276" s="7" t="s">
        <v>47</v>
      </c>
      <c r="AI276" s="7" t="s">
        <v>47</v>
      </c>
      <c r="AL276" s="7" t="s">
        <v>47</v>
      </c>
      <c r="AO276" s="7" t="s">
        <v>47</v>
      </c>
      <c r="AP276" s="7" t="s">
        <v>47</v>
      </c>
      <c r="AQ276" s="7" t="s">
        <v>47</v>
      </c>
      <c r="AV276" s="7" t="s">
        <v>47</v>
      </c>
      <c r="AW276" s="7" t="s">
        <v>47</v>
      </c>
      <c r="AX276" s="12" t="s">
        <v>78</v>
      </c>
      <c r="AY276" s="12" t="s">
        <v>78</v>
      </c>
      <c r="BC276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6" s="7">
        <f>SUM(cna_product_database_catalog_website[[#This Row],[Box CBM]]*35.3147)</f>
        <v>0</v>
      </c>
      <c r="BE276" s="7" t="s">
        <v>47</v>
      </c>
      <c r="BI276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6" s="7">
        <f>SUM(cna_product_database_catalog_website[[#This Row],[Carton CFT]]/61024)</f>
        <v>0</v>
      </c>
      <c r="BM276" s="7" t="s">
        <v>47</v>
      </c>
      <c r="BN276" s="7" t="s">
        <v>47</v>
      </c>
      <c r="BO276" s="7" t="s">
        <v>47</v>
      </c>
      <c r="BP276" s="7" t="s">
        <v>47</v>
      </c>
      <c r="BQ276" s="7" t="s">
        <v>47</v>
      </c>
      <c r="BS276" s="7" t="s">
        <v>47</v>
      </c>
      <c r="BT276" s="7" t="s">
        <v>47</v>
      </c>
      <c r="BU276" s="7" t="s">
        <v>47</v>
      </c>
      <c r="BW276" s="7" t="s">
        <v>47</v>
      </c>
      <c r="BX276" s="7" t="s">
        <v>47</v>
      </c>
      <c r="BY276" s="7" t="s">
        <v>47</v>
      </c>
      <c r="BZ276" s="7" t="s">
        <v>47</v>
      </c>
      <c r="CA276" s="7" t="s">
        <v>47</v>
      </c>
      <c r="CB276" s="7" t="s">
        <v>47</v>
      </c>
      <c r="CC276" s="7" t="s">
        <v>47</v>
      </c>
      <c r="CD276" s="7" t="s">
        <v>47</v>
      </c>
      <c r="CE276" s="7" t="s">
        <v>47</v>
      </c>
      <c r="CF276" s="7" t="s">
        <v>47</v>
      </c>
      <c r="CG276" s="7" t="s">
        <v>47</v>
      </c>
      <c r="CH276" s="7" t="s">
        <v>47</v>
      </c>
      <c r="CI276" s="7" t="s">
        <v>47</v>
      </c>
      <c r="CJ276" s="7" t="s">
        <v>47</v>
      </c>
    </row>
    <row r="277" spans="1:88" s="7" customFormat="1" x14ac:dyDescent="0.25">
      <c r="A277" t="s">
        <v>1484</v>
      </c>
      <c r="B277" t="s">
        <v>697</v>
      </c>
      <c r="C277" t="s">
        <v>1178</v>
      </c>
      <c r="D277" t="s">
        <v>1985</v>
      </c>
      <c r="E277">
        <v>2790</v>
      </c>
      <c r="F277" t="s">
        <v>395</v>
      </c>
      <c r="G277">
        <v>19</v>
      </c>
      <c r="H277" s="9">
        <v>2.25</v>
      </c>
      <c r="I277" t="s">
        <v>395</v>
      </c>
      <c r="J277" t="s">
        <v>395</v>
      </c>
      <c r="K277" t="s">
        <v>2192</v>
      </c>
      <c r="L277" t="s">
        <v>45</v>
      </c>
      <c r="M277" s="10"/>
      <c r="N277" s="7" t="s">
        <v>46</v>
      </c>
      <c r="O277" s="8">
        <v>1</v>
      </c>
      <c r="P277" s="8">
        <v>1</v>
      </c>
      <c r="Q277" s="7" t="s">
        <v>396</v>
      </c>
      <c r="R277" s="7" t="s">
        <v>386</v>
      </c>
      <c r="S277" s="7" t="s">
        <v>47</v>
      </c>
      <c r="T277" s="7" t="s">
        <v>47</v>
      </c>
      <c r="U277" s="7" t="s">
        <v>47</v>
      </c>
      <c r="V277" s="7" t="s">
        <v>47</v>
      </c>
      <c r="W277" s="7" t="s">
        <v>115</v>
      </c>
      <c r="X277" s="7" t="s">
        <v>336</v>
      </c>
      <c r="Y277" s="8" t="s">
        <v>47</v>
      </c>
      <c r="Z277" s="8" t="s">
        <v>47</v>
      </c>
      <c r="AA277" s="8" t="s">
        <v>47</v>
      </c>
      <c r="AB277" s="11" t="s">
        <v>47</v>
      </c>
      <c r="AC277" s="11" t="s">
        <v>47</v>
      </c>
      <c r="AD277" s="7" t="s">
        <v>47</v>
      </c>
      <c r="AF277" s="7" t="s">
        <v>47</v>
      </c>
      <c r="AG277" s="7" t="s">
        <v>47</v>
      </c>
      <c r="AH277" s="7" t="s">
        <v>47</v>
      </c>
      <c r="AI277" s="7" t="s">
        <v>47</v>
      </c>
      <c r="AL277" s="7" t="s">
        <v>47</v>
      </c>
      <c r="AO277" s="7" t="s">
        <v>47</v>
      </c>
      <c r="AP277" s="7" t="s">
        <v>47</v>
      </c>
      <c r="AQ277" s="7" t="s">
        <v>47</v>
      </c>
      <c r="AV277" s="7" t="s">
        <v>47</v>
      </c>
      <c r="AW277" s="7" t="s">
        <v>47</v>
      </c>
      <c r="AX277" s="12" t="s">
        <v>78</v>
      </c>
      <c r="AY277" s="12" t="s">
        <v>78</v>
      </c>
      <c r="BC277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7" s="7">
        <f>SUM(cna_product_database_catalog_website[[#This Row],[Box CBM]]*35.3147)</f>
        <v>0</v>
      </c>
      <c r="BE277" s="7" t="s">
        <v>47</v>
      </c>
      <c r="BI277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7" s="7">
        <f>SUM(cna_product_database_catalog_website[[#This Row],[Carton CFT]]/61024)</f>
        <v>0</v>
      </c>
      <c r="BM277" s="7" t="s">
        <v>47</v>
      </c>
      <c r="BN277" s="7" t="s">
        <v>47</v>
      </c>
      <c r="BO277" s="7" t="s">
        <v>47</v>
      </c>
      <c r="BP277" s="7" t="s">
        <v>47</v>
      </c>
      <c r="BQ277" s="7" t="s">
        <v>47</v>
      </c>
      <c r="BS277" s="7" t="s">
        <v>47</v>
      </c>
      <c r="BT277" s="7" t="s">
        <v>47</v>
      </c>
      <c r="BU277" s="7" t="s">
        <v>47</v>
      </c>
      <c r="BW277" s="7" t="s">
        <v>47</v>
      </c>
      <c r="BX277" s="7" t="s">
        <v>47</v>
      </c>
      <c r="BY277" s="7" t="s">
        <v>47</v>
      </c>
      <c r="BZ277" s="7" t="s">
        <v>47</v>
      </c>
      <c r="CA277" s="7" t="s">
        <v>47</v>
      </c>
      <c r="CB277" s="7" t="s">
        <v>47</v>
      </c>
      <c r="CC277" s="7" t="s">
        <v>47</v>
      </c>
      <c r="CD277" s="7" t="s">
        <v>47</v>
      </c>
      <c r="CE277" s="7" t="s">
        <v>47</v>
      </c>
      <c r="CF277" s="7" t="s">
        <v>47</v>
      </c>
      <c r="CG277" s="7" t="s">
        <v>47</v>
      </c>
      <c r="CH277" s="7" t="s">
        <v>47</v>
      </c>
      <c r="CI277" s="7" t="s">
        <v>47</v>
      </c>
      <c r="CJ277" s="7" t="s">
        <v>47</v>
      </c>
    </row>
    <row r="278" spans="1:88" s="7" customFormat="1" x14ac:dyDescent="0.25">
      <c r="A278" t="s">
        <v>1484</v>
      </c>
      <c r="B278" t="s">
        <v>697</v>
      </c>
      <c r="C278" t="s">
        <v>1179</v>
      </c>
      <c r="D278" t="s">
        <v>1986</v>
      </c>
      <c r="E278">
        <v>2795</v>
      </c>
      <c r="F278" t="s">
        <v>397</v>
      </c>
      <c r="G278">
        <v>21</v>
      </c>
      <c r="H278" s="9">
        <v>2.75</v>
      </c>
      <c r="I278" t="s">
        <v>397</v>
      </c>
      <c r="J278" t="s">
        <v>397</v>
      </c>
      <c r="K278" t="s">
        <v>2192</v>
      </c>
      <c r="L278" t="s">
        <v>45</v>
      </c>
      <c r="M278" s="10"/>
      <c r="N278" s="7" t="s">
        <v>46</v>
      </c>
      <c r="O278" s="8">
        <v>1</v>
      </c>
      <c r="P278" s="8">
        <v>1</v>
      </c>
      <c r="Q278" s="7" t="s">
        <v>396</v>
      </c>
      <c r="R278" s="7" t="s">
        <v>386</v>
      </c>
      <c r="S278" s="7" t="s">
        <v>47</v>
      </c>
      <c r="T278" s="7" t="s">
        <v>47</v>
      </c>
      <c r="U278" s="7" t="s">
        <v>47</v>
      </c>
      <c r="V278" s="7" t="s">
        <v>47</v>
      </c>
      <c r="W278" s="7" t="s">
        <v>115</v>
      </c>
      <c r="X278" s="7" t="s">
        <v>336</v>
      </c>
      <c r="Y278" s="8" t="s">
        <v>47</v>
      </c>
      <c r="Z278" s="8" t="s">
        <v>47</v>
      </c>
      <c r="AA278" s="8" t="s">
        <v>47</v>
      </c>
      <c r="AB278" s="11" t="s">
        <v>47</v>
      </c>
      <c r="AC278" s="11" t="s">
        <v>47</v>
      </c>
      <c r="AD278" s="7" t="s">
        <v>47</v>
      </c>
      <c r="AF278" s="7" t="s">
        <v>47</v>
      </c>
      <c r="AG278" s="7" t="s">
        <v>47</v>
      </c>
      <c r="AH278" s="7" t="s">
        <v>47</v>
      </c>
      <c r="AI278" s="7" t="s">
        <v>47</v>
      </c>
      <c r="AL278" s="7" t="s">
        <v>47</v>
      </c>
      <c r="AO278" s="7" t="s">
        <v>47</v>
      </c>
      <c r="AP278" s="7" t="s">
        <v>47</v>
      </c>
      <c r="AQ278" s="7" t="s">
        <v>47</v>
      </c>
      <c r="AV278" s="7" t="s">
        <v>47</v>
      </c>
      <c r="AW278" s="7" t="s">
        <v>47</v>
      </c>
      <c r="AX278" s="12" t="s">
        <v>78</v>
      </c>
      <c r="AY278" s="12" t="s">
        <v>78</v>
      </c>
      <c r="BC278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8" s="7">
        <f>SUM(cna_product_database_catalog_website[[#This Row],[Box CBM]]*35.3147)</f>
        <v>0</v>
      </c>
      <c r="BE278" s="7" t="s">
        <v>47</v>
      </c>
      <c r="BI278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8" s="7">
        <f>SUM(cna_product_database_catalog_website[[#This Row],[Carton CFT]]/61024)</f>
        <v>0</v>
      </c>
      <c r="BM278" s="7" t="s">
        <v>47</v>
      </c>
      <c r="BN278" s="7" t="s">
        <v>47</v>
      </c>
      <c r="BO278" s="7" t="s">
        <v>47</v>
      </c>
      <c r="BP278" s="7" t="s">
        <v>47</v>
      </c>
      <c r="BQ278" s="7" t="s">
        <v>47</v>
      </c>
      <c r="BS278" s="7" t="s">
        <v>47</v>
      </c>
      <c r="BT278" s="7" t="s">
        <v>47</v>
      </c>
      <c r="BU278" s="7" t="s">
        <v>47</v>
      </c>
      <c r="BW278" s="7" t="s">
        <v>47</v>
      </c>
      <c r="BX278" s="7" t="s">
        <v>47</v>
      </c>
      <c r="BY278" s="7" t="s">
        <v>47</v>
      </c>
      <c r="BZ278" s="7" t="s">
        <v>47</v>
      </c>
      <c r="CA278" s="7" t="s">
        <v>47</v>
      </c>
      <c r="CB278" s="7" t="s">
        <v>47</v>
      </c>
      <c r="CC278" s="7" t="s">
        <v>47</v>
      </c>
      <c r="CD278" s="7" t="s">
        <v>47</v>
      </c>
      <c r="CE278" s="7" t="s">
        <v>47</v>
      </c>
      <c r="CF278" s="7" t="s">
        <v>47</v>
      </c>
      <c r="CG278" s="7" t="s">
        <v>47</v>
      </c>
      <c r="CH278" s="7" t="s">
        <v>47</v>
      </c>
      <c r="CI278" s="7" t="s">
        <v>47</v>
      </c>
      <c r="CJ278" s="7" t="s">
        <v>47</v>
      </c>
    </row>
    <row r="279" spans="1:88" s="7" customFormat="1" x14ac:dyDescent="0.25">
      <c r="A279" t="s">
        <v>1484</v>
      </c>
      <c r="B279" t="s">
        <v>698</v>
      </c>
      <c r="C279" t="s">
        <v>1180</v>
      </c>
      <c r="D279" t="s">
        <v>1987</v>
      </c>
      <c r="E279">
        <v>2800</v>
      </c>
      <c r="F279" t="s">
        <v>398</v>
      </c>
      <c r="G279">
        <v>18</v>
      </c>
      <c r="H279" s="9">
        <v>1.99</v>
      </c>
      <c r="I279" t="s">
        <v>398</v>
      </c>
      <c r="J279" t="s">
        <v>398</v>
      </c>
      <c r="K279" t="s">
        <v>2192</v>
      </c>
      <c r="L279" t="s">
        <v>45</v>
      </c>
      <c r="M279" s="10"/>
      <c r="N279" s="7" t="s">
        <v>46</v>
      </c>
      <c r="O279" s="8">
        <v>1</v>
      </c>
      <c r="P279" s="8">
        <v>1</v>
      </c>
      <c r="Q279" s="7" t="s">
        <v>394</v>
      </c>
      <c r="R279" s="7" t="s">
        <v>399</v>
      </c>
      <c r="S279" s="7" t="s">
        <v>47</v>
      </c>
      <c r="T279" s="7" t="s">
        <v>47</v>
      </c>
      <c r="U279" s="7" t="s">
        <v>47</v>
      </c>
      <c r="V279" s="7" t="s">
        <v>47</v>
      </c>
      <c r="W279" s="7" t="s">
        <v>115</v>
      </c>
      <c r="X279" s="7" t="s">
        <v>336</v>
      </c>
      <c r="Y279" s="8" t="s">
        <v>47</v>
      </c>
      <c r="Z279" s="8" t="s">
        <v>47</v>
      </c>
      <c r="AA279" s="8" t="s">
        <v>47</v>
      </c>
      <c r="AB279" s="11" t="s">
        <v>47</v>
      </c>
      <c r="AC279" s="11" t="s">
        <v>47</v>
      </c>
      <c r="AD279" s="7" t="s">
        <v>47</v>
      </c>
      <c r="AF279" s="7" t="s">
        <v>47</v>
      </c>
      <c r="AG279" s="7" t="s">
        <v>47</v>
      </c>
      <c r="AH279" s="7" t="s">
        <v>47</v>
      </c>
      <c r="AI279" s="7" t="s">
        <v>47</v>
      </c>
      <c r="AL279" s="7" t="s">
        <v>47</v>
      </c>
      <c r="AO279" s="7" t="s">
        <v>47</v>
      </c>
      <c r="AP279" s="7" t="s">
        <v>47</v>
      </c>
      <c r="AQ279" s="7" t="s">
        <v>47</v>
      </c>
      <c r="AV279" s="7" t="s">
        <v>47</v>
      </c>
      <c r="AW279" s="7" t="s">
        <v>47</v>
      </c>
      <c r="AX279" s="12" t="s">
        <v>78</v>
      </c>
      <c r="AY279" s="12" t="s">
        <v>78</v>
      </c>
      <c r="BC279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79" s="7">
        <f>SUM(cna_product_database_catalog_website[[#This Row],[Box CBM]]*35.3147)</f>
        <v>0</v>
      </c>
      <c r="BE279" s="7" t="s">
        <v>47</v>
      </c>
      <c r="BI279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79" s="7">
        <f>SUM(cna_product_database_catalog_website[[#This Row],[Carton CFT]]/61024)</f>
        <v>0</v>
      </c>
      <c r="BM279" s="7" t="s">
        <v>47</v>
      </c>
      <c r="BN279" s="7" t="s">
        <v>47</v>
      </c>
      <c r="BO279" s="7" t="s">
        <v>47</v>
      </c>
      <c r="BP279" s="7" t="s">
        <v>47</v>
      </c>
      <c r="BQ279" s="7" t="s">
        <v>47</v>
      </c>
      <c r="BS279" s="7" t="s">
        <v>47</v>
      </c>
      <c r="BT279" s="7" t="s">
        <v>47</v>
      </c>
      <c r="BU279" s="7" t="s">
        <v>47</v>
      </c>
      <c r="BW279" s="7" t="s">
        <v>47</v>
      </c>
      <c r="BX279" s="7" t="s">
        <v>47</v>
      </c>
      <c r="BY279" s="7" t="s">
        <v>47</v>
      </c>
      <c r="BZ279" s="7" t="s">
        <v>47</v>
      </c>
      <c r="CA279" s="7" t="s">
        <v>47</v>
      </c>
      <c r="CB279" s="7" t="s">
        <v>47</v>
      </c>
      <c r="CC279" s="7" t="s">
        <v>47</v>
      </c>
      <c r="CD279" s="7" t="s">
        <v>47</v>
      </c>
      <c r="CE279" s="7" t="s">
        <v>47</v>
      </c>
      <c r="CF279" s="7" t="s">
        <v>47</v>
      </c>
      <c r="CG279" s="7" t="s">
        <v>47</v>
      </c>
      <c r="CH279" s="7" t="s">
        <v>47</v>
      </c>
      <c r="CI279" s="7" t="s">
        <v>47</v>
      </c>
      <c r="CJ279" s="7" t="s">
        <v>47</v>
      </c>
    </row>
    <row r="280" spans="1:88" s="7" customFormat="1" x14ac:dyDescent="0.25">
      <c r="A280" t="s">
        <v>1484</v>
      </c>
      <c r="B280" t="s">
        <v>698</v>
      </c>
      <c r="C280" t="s">
        <v>1181</v>
      </c>
      <c r="D280" t="s">
        <v>1988</v>
      </c>
      <c r="E280">
        <v>2805</v>
      </c>
      <c r="F280" t="s">
        <v>400</v>
      </c>
      <c r="G280">
        <v>20</v>
      </c>
      <c r="H280" s="9">
        <v>2.25</v>
      </c>
      <c r="I280" t="s">
        <v>400</v>
      </c>
      <c r="J280" t="s">
        <v>401</v>
      </c>
      <c r="K280" t="s">
        <v>2192</v>
      </c>
      <c r="L280" t="s">
        <v>45</v>
      </c>
      <c r="M280" s="10"/>
      <c r="N280" s="7" t="s">
        <v>46</v>
      </c>
      <c r="O280" s="8">
        <v>1</v>
      </c>
      <c r="P280" s="8">
        <v>1</v>
      </c>
      <c r="Q280" s="7" t="s">
        <v>396</v>
      </c>
      <c r="R280" s="7" t="s">
        <v>399</v>
      </c>
      <c r="S280" s="7" t="s">
        <v>47</v>
      </c>
      <c r="T280" s="7" t="s">
        <v>47</v>
      </c>
      <c r="U280" s="7" t="s">
        <v>47</v>
      </c>
      <c r="V280" s="7" t="s">
        <v>47</v>
      </c>
      <c r="W280" s="7" t="s">
        <v>115</v>
      </c>
      <c r="X280" s="7" t="s">
        <v>336</v>
      </c>
      <c r="Y280" s="8" t="s">
        <v>47</v>
      </c>
      <c r="Z280" s="8" t="s">
        <v>47</v>
      </c>
      <c r="AA280" s="8" t="s">
        <v>47</v>
      </c>
      <c r="AB280" s="11" t="s">
        <v>47</v>
      </c>
      <c r="AC280" s="11" t="s">
        <v>47</v>
      </c>
      <c r="AD280" s="7" t="s">
        <v>47</v>
      </c>
      <c r="AF280" s="7" t="s">
        <v>47</v>
      </c>
      <c r="AG280" s="7" t="s">
        <v>47</v>
      </c>
      <c r="AH280" s="7" t="s">
        <v>47</v>
      </c>
      <c r="AI280" s="7" t="s">
        <v>47</v>
      </c>
      <c r="AL280" s="7" t="s">
        <v>47</v>
      </c>
      <c r="AO280" s="7" t="s">
        <v>47</v>
      </c>
      <c r="AP280" s="7" t="s">
        <v>47</v>
      </c>
      <c r="AQ280" s="7" t="s">
        <v>47</v>
      </c>
      <c r="AV280" s="7" t="s">
        <v>47</v>
      </c>
      <c r="AW280" s="7" t="s">
        <v>47</v>
      </c>
      <c r="AX280" s="12" t="s">
        <v>78</v>
      </c>
      <c r="AY280" s="12" t="s">
        <v>78</v>
      </c>
      <c r="BC280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0" s="7">
        <f>SUM(cna_product_database_catalog_website[[#This Row],[Box CBM]]*35.3147)</f>
        <v>0</v>
      </c>
      <c r="BE280" s="7" t="s">
        <v>47</v>
      </c>
      <c r="BI280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0" s="7">
        <f>SUM(cna_product_database_catalog_website[[#This Row],[Carton CFT]]/61024)</f>
        <v>0</v>
      </c>
      <c r="BM280" s="7" t="s">
        <v>47</v>
      </c>
      <c r="BN280" s="7" t="s">
        <v>47</v>
      </c>
      <c r="BO280" s="7" t="s">
        <v>47</v>
      </c>
      <c r="BP280" s="7" t="s">
        <v>47</v>
      </c>
      <c r="BQ280" s="7" t="s">
        <v>47</v>
      </c>
      <c r="BS280" s="7" t="s">
        <v>47</v>
      </c>
      <c r="BT280" s="7" t="s">
        <v>47</v>
      </c>
      <c r="BU280" s="7" t="s">
        <v>47</v>
      </c>
      <c r="BW280" s="7" t="s">
        <v>47</v>
      </c>
      <c r="BX280" s="7" t="s">
        <v>47</v>
      </c>
      <c r="BY280" s="7" t="s">
        <v>47</v>
      </c>
      <c r="BZ280" s="7" t="s">
        <v>47</v>
      </c>
      <c r="CA280" s="7" t="s">
        <v>47</v>
      </c>
      <c r="CB280" s="7" t="s">
        <v>47</v>
      </c>
      <c r="CC280" s="7" t="s">
        <v>47</v>
      </c>
      <c r="CD280" s="7" t="s">
        <v>47</v>
      </c>
      <c r="CE280" s="7" t="s">
        <v>47</v>
      </c>
      <c r="CF280" s="7" t="s">
        <v>47</v>
      </c>
      <c r="CG280" s="7" t="s">
        <v>47</v>
      </c>
      <c r="CH280" s="7" t="s">
        <v>47</v>
      </c>
      <c r="CI280" s="7" t="s">
        <v>47</v>
      </c>
      <c r="CJ280" s="7" t="s">
        <v>47</v>
      </c>
    </row>
    <row r="281" spans="1:88" s="7" customFormat="1" x14ac:dyDescent="0.25">
      <c r="A281" t="s">
        <v>1484</v>
      </c>
      <c r="B281" t="s">
        <v>698</v>
      </c>
      <c r="C281" t="s">
        <v>1182</v>
      </c>
      <c r="D281" t="s">
        <v>1989</v>
      </c>
      <c r="E281">
        <v>2810</v>
      </c>
      <c r="F281" t="s">
        <v>402</v>
      </c>
      <c r="G281">
        <v>283</v>
      </c>
      <c r="H281" s="9">
        <v>2.75</v>
      </c>
      <c r="I281" t="s">
        <v>402</v>
      </c>
      <c r="J281" t="s">
        <v>402</v>
      </c>
      <c r="K281" t="s">
        <v>2192</v>
      </c>
      <c r="L281" t="s">
        <v>45</v>
      </c>
      <c r="M281" s="10"/>
      <c r="N281" s="7" t="s">
        <v>46</v>
      </c>
      <c r="O281" s="8">
        <v>1</v>
      </c>
      <c r="P281" s="8">
        <v>1</v>
      </c>
      <c r="Q281" s="7" t="s">
        <v>396</v>
      </c>
      <c r="R281" s="7" t="s">
        <v>399</v>
      </c>
      <c r="S281" s="7" t="s">
        <v>47</v>
      </c>
      <c r="T281" s="7" t="s">
        <v>47</v>
      </c>
      <c r="U281" s="7" t="s">
        <v>47</v>
      </c>
      <c r="V281" s="7" t="s">
        <v>47</v>
      </c>
      <c r="W281" s="7" t="s">
        <v>115</v>
      </c>
      <c r="X281" s="7" t="s">
        <v>336</v>
      </c>
      <c r="Y281" s="8" t="s">
        <v>47</v>
      </c>
      <c r="Z281" s="8" t="s">
        <v>47</v>
      </c>
      <c r="AA281" s="8" t="s">
        <v>47</v>
      </c>
      <c r="AB281" s="11" t="s">
        <v>47</v>
      </c>
      <c r="AC281" s="11" t="s">
        <v>47</v>
      </c>
      <c r="AD281" s="7" t="s">
        <v>47</v>
      </c>
      <c r="AF281" s="7" t="s">
        <v>47</v>
      </c>
      <c r="AG281" s="7" t="s">
        <v>47</v>
      </c>
      <c r="AH281" s="7" t="s">
        <v>47</v>
      </c>
      <c r="AI281" s="7" t="s">
        <v>47</v>
      </c>
      <c r="AL281" s="7" t="s">
        <v>47</v>
      </c>
      <c r="AO281" s="7" t="s">
        <v>47</v>
      </c>
      <c r="AP281" s="7" t="s">
        <v>47</v>
      </c>
      <c r="AQ281" s="7" t="s">
        <v>47</v>
      </c>
      <c r="AV281" s="7" t="s">
        <v>47</v>
      </c>
      <c r="AW281" s="7" t="s">
        <v>47</v>
      </c>
      <c r="AX281" s="12" t="s">
        <v>78</v>
      </c>
      <c r="AY281" s="12" t="s">
        <v>78</v>
      </c>
      <c r="BC281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1" s="7">
        <f>SUM(cna_product_database_catalog_website[[#This Row],[Box CBM]]*35.3147)</f>
        <v>0</v>
      </c>
      <c r="BE281" s="7" t="s">
        <v>47</v>
      </c>
      <c r="BI281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1" s="7">
        <f>SUM(cna_product_database_catalog_website[[#This Row],[Carton CFT]]/61024)</f>
        <v>0</v>
      </c>
      <c r="BM281" s="7" t="s">
        <v>47</v>
      </c>
      <c r="BN281" s="7" t="s">
        <v>47</v>
      </c>
      <c r="BO281" s="7" t="s">
        <v>47</v>
      </c>
      <c r="BP281" s="7" t="s">
        <v>47</v>
      </c>
      <c r="BQ281" s="7" t="s">
        <v>47</v>
      </c>
      <c r="BS281" s="7" t="s">
        <v>47</v>
      </c>
      <c r="BT281" s="7" t="s">
        <v>47</v>
      </c>
      <c r="BU281" s="7" t="s">
        <v>47</v>
      </c>
      <c r="BW281" s="7" t="s">
        <v>47</v>
      </c>
      <c r="BX281" s="7" t="s">
        <v>47</v>
      </c>
      <c r="BY281" s="7" t="s">
        <v>47</v>
      </c>
      <c r="BZ281" s="7" t="s">
        <v>47</v>
      </c>
      <c r="CA281" s="7" t="s">
        <v>47</v>
      </c>
      <c r="CB281" s="7" t="s">
        <v>47</v>
      </c>
      <c r="CC281" s="7" t="s">
        <v>47</v>
      </c>
      <c r="CD281" s="7" t="s">
        <v>47</v>
      </c>
      <c r="CE281" s="7" t="s">
        <v>47</v>
      </c>
      <c r="CF281" s="7" t="s">
        <v>47</v>
      </c>
      <c r="CG281" s="7" t="s">
        <v>47</v>
      </c>
      <c r="CH281" s="7" t="s">
        <v>47</v>
      </c>
      <c r="CI281" s="7" t="s">
        <v>47</v>
      </c>
      <c r="CJ281" s="7" t="s">
        <v>47</v>
      </c>
    </row>
    <row r="282" spans="1:88" s="7" customFormat="1" x14ac:dyDescent="0.25">
      <c r="A282" t="s">
        <v>1484</v>
      </c>
      <c r="B282" t="s">
        <v>698</v>
      </c>
      <c r="C282" t="s">
        <v>1183</v>
      </c>
      <c r="D282" t="s">
        <v>1990</v>
      </c>
      <c r="E282">
        <v>2815</v>
      </c>
      <c r="F282" t="s">
        <v>403</v>
      </c>
      <c r="G282">
        <v>23</v>
      </c>
      <c r="H282" s="9">
        <v>2.75</v>
      </c>
      <c r="I282" t="s">
        <v>403</v>
      </c>
      <c r="J282" t="s">
        <v>403</v>
      </c>
      <c r="K282" t="s">
        <v>2192</v>
      </c>
      <c r="L282" t="s">
        <v>45</v>
      </c>
      <c r="M282" s="10"/>
      <c r="N282" s="7" t="s">
        <v>46</v>
      </c>
      <c r="O282" s="8">
        <v>1</v>
      </c>
      <c r="P282" s="8">
        <v>1</v>
      </c>
      <c r="Q282" s="7" t="s">
        <v>404</v>
      </c>
      <c r="R282" s="7" t="s">
        <v>399</v>
      </c>
      <c r="S282" s="7" t="s">
        <v>47</v>
      </c>
      <c r="T282" s="7" t="s">
        <v>47</v>
      </c>
      <c r="U282" s="7" t="s">
        <v>47</v>
      </c>
      <c r="V282" s="7" t="s">
        <v>47</v>
      </c>
      <c r="W282" s="7" t="s">
        <v>115</v>
      </c>
      <c r="X282" s="7" t="s">
        <v>336</v>
      </c>
      <c r="Y282" s="8" t="s">
        <v>47</v>
      </c>
      <c r="Z282" s="8" t="s">
        <v>47</v>
      </c>
      <c r="AA282" s="8" t="s">
        <v>47</v>
      </c>
      <c r="AB282" s="11" t="s">
        <v>47</v>
      </c>
      <c r="AC282" s="11" t="s">
        <v>47</v>
      </c>
      <c r="AD282" s="7" t="s">
        <v>47</v>
      </c>
      <c r="AF282" s="7" t="s">
        <v>47</v>
      </c>
      <c r="AG282" s="7" t="s">
        <v>47</v>
      </c>
      <c r="AH282" s="7" t="s">
        <v>47</v>
      </c>
      <c r="AI282" s="7" t="s">
        <v>47</v>
      </c>
      <c r="AL282" s="7" t="s">
        <v>47</v>
      </c>
      <c r="AO282" s="7" t="s">
        <v>47</v>
      </c>
      <c r="AP282" s="7" t="s">
        <v>47</v>
      </c>
      <c r="AQ282" s="7" t="s">
        <v>47</v>
      </c>
      <c r="AV282" s="7" t="s">
        <v>47</v>
      </c>
      <c r="AW282" s="7" t="s">
        <v>47</v>
      </c>
      <c r="AX282" s="12" t="s">
        <v>78</v>
      </c>
      <c r="AY282" s="12" t="s">
        <v>78</v>
      </c>
      <c r="BC282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2" s="7">
        <f>SUM(cna_product_database_catalog_website[[#This Row],[Box CBM]]*35.3147)</f>
        <v>0</v>
      </c>
      <c r="BE282" s="7" t="s">
        <v>47</v>
      </c>
      <c r="BI282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2" s="7">
        <f>SUM(cna_product_database_catalog_website[[#This Row],[Carton CFT]]/61024)</f>
        <v>0</v>
      </c>
      <c r="BM282" s="7" t="s">
        <v>47</v>
      </c>
      <c r="BN282" s="7" t="s">
        <v>47</v>
      </c>
      <c r="BO282" s="7" t="s">
        <v>47</v>
      </c>
      <c r="BP282" s="7" t="s">
        <v>47</v>
      </c>
      <c r="BQ282" s="7" t="s">
        <v>47</v>
      </c>
      <c r="BS282" s="7" t="s">
        <v>47</v>
      </c>
      <c r="BT282" s="7" t="s">
        <v>47</v>
      </c>
      <c r="BU282" s="7" t="s">
        <v>47</v>
      </c>
      <c r="BW282" s="7" t="s">
        <v>47</v>
      </c>
      <c r="BX282" s="7" t="s">
        <v>47</v>
      </c>
      <c r="BY282" s="7" t="s">
        <v>47</v>
      </c>
      <c r="BZ282" s="7" t="s">
        <v>47</v>
      </c>
      <c r="CA282" s="7" t="s">
        <v>47</v>
      </c>
      <c r="CB282" s="7" t="s">
        <v>47</v>
      </c>
      <c r="CC282" s="7" t="s">
        <v>47</v>
      </c>
      <c r="CD282" s="7" t="s">
        <v>47</v>
      </c>
      <c r="CE282" s="7" t="s">
        <v>47</v>
      </c>
      <c r="CF282" s="7" t="s">
        <v>47</v>
      </c>
      <c r="CG282" s="7" t="s">
        <v>47</v>
      </c>
      <c r="CH282" s="7" t="s">
        <v>47</v>
      </c>
      <c r="CI282" s="7" t="s">
        <v>47</v>
      </c>
      <c r="CJ282" s="7" t="s">
        <v>47</v>
      </c>
    </row>
    <row r="283" spans="1:88" s="7" customFormat="1" x14ac:dyDescent="0.25">
      <c r="A283" t="s">
        <v>1484</v>
      </c>
      <c r="B283" t="s">
        <v>699</v>
      </c>
      <c r="C283" t="s">
        <v>1184</v>
      </c>
      <c r="D283" t="s">
        <v>1991</v>
      </c>
      <c r="E283">
        <v>2900</v>
      </c>
      <c r="F283" t="s">
        <v>405</v>
      </c>
      <c r="G283">
        <v>369</v>
      </c>
      <c r="H283" s="9">
        <v>1.5</v>
      </c>
      <c r="I283" t="s">
        <v>405</v>
      </c>
      <c r="J283" t="s">
        <v>405</v>
      </c>
      <c r="K283" t="s">
        <v>2193</v>
      </c>
      <c r="L283" t="s">
        <v>45</v>
      </c>
      <c r="M283" s="10"/>
      <c r="N283" s="7" t="s">
        <v>46</v>
      </c>
      <c r="O283" s="8">
        <v>1</v>
      </c>
      <c r="P283" s="8">
        <v>1</v>
      </c>
      <c r="Q283" s="7" t="s">
        <v>406</v>
      </c>
      <c r="R283" s="7" t="s">
        <v>386</v>
      </c>
      <c r="S283" s="7" t="s">
        <v>47</v>
      </c>
      <c r="T283" s="7" t="s">
        <v>47</v>
      </c>
      <c r="U283" s="7" t="s">
        <v>47</v>
      </c>
      <c r="V283" s="7" t="s">
        <v>47</v>
      </c>
      <c r="W283" s="7" t="s">
        <v>112</v>
      </c>
      <c r="X283" s="7" t="s">
        <v>336</v>
      </c>
      <c r="Y283" s="8" t="s">
        <v>47</v>
      </c>
      <c r="Z283" s="8" t="s">
        <v>47</v>
      </c>
      <c r="AA283" s="8" t="s">
        <v>47</v>
      </c>
      <c r="AB283" s="11" t="s">
        <v>47</v>
      </c>
      <c r="AC283" s="11" t="s">
        <v>47</v>
      </c>
      <c r="AD283" s="7" t="s">
        <v>47</v>
      </c>
      <c r="AF283" s="7" t="s">
        <v>47</v>
      </c>
      <c r="AG283" s="7" t="s">
        <v>47</v>
      </c>
      <c r="AH283" s="7" t="s">
        <v>47</v>
      </c>
      <c r="AI283" s="7" t="s">
        <v>47</v>
      </c>
      <c r="AL283" s="7" t="s">
        <v>47</v>
      </c>
      <c r="AO283" s="7" t="s">
        <v>47</v>
      </c>
      <c r="AP283" s="7" t="s">
        <v>47</v>
      </c>
      <c r="AQ283" s="7" t="s">
        <v>47</v>
      </c>
      <c r="AV283" s="7" t="s">
        <v>47</v>
      </c>
      <c r="AW283" s="7" t="s">
        <v>47</v>
      </c>
      <c r="AX283" s="12" t="s">
        <v>89</v>
      </c>
      <c r="AY283" s="12" t="s">
        <v>57</v>
      </c>
      <c r="BC283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3" s="7">
        <f>SUM(cna_product_database_catalog_website[[#This Row],[Box CBM]]*35.3147)</f>
        <v>0</v>
      </c>
      <c r="BE283" s="7" t="s">
        <v>47</v>
      </c>
      <c r="BI283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3" s="7">
        <f>SUM(cna_product_database_catalog_website[[#This Row],[Carton CFT]]/61024)</f>
        <v>0</v>
      </c>
      <c r="BM283" s="7" t="s">
        <v>47</v>
      </c>
      <c r="BN283" s="7" t="s">
        <v>47</v>
      </c>
      <c r="BO283" s="7" t="s">
        <v>47</v>
      </c>
      <c r="BP283" s="7" t="s">
        <v>47</v>
      </c>
      <c r="BQ283" s="7" t="s">
        <v>47</v>
      </c>
      <c r="BS283" s="7" t="s">
        <v>47</v>
      </c>
      <c r="BT283" s="7" t="s">
        <v>47</v>
      </c>
      <c r="BU283" s="7" t="s">
        <v>47</v>
      </c>
      <c r="BW283" s="7" t="s">
        <v>47</v>
      </c>
      <c r="BX283" s="7" t="s">
        <v>47</v>
      </c>
      <c r="BY283" s="7" t="s">
        <v>47</v>
      </c>
      <c r="BZ283" s="7" t="s">
        <v>47</v>
      </c>
      <c r="CA283" s="7" t="s">
        <v>47</v>
      </c>
      <c r="CB283" s="7" t="s">
        <v>47</v>
      </c>
      <c r="CC283" s="7" t="s">
        <v>47</v>
      </c>
      <c r="CD283" s="7" t="s">
        <v>47</v>
      </c>
      <c r="CE283" s="7" t="s">
        <v>47</v>
      </c>
      <c r="CF283" s="7" t="s">
        <v>47</v>
      </c>
      <c r="CG283" s="7" t="s">
        <v>47</v>
      </c>
      <c r="CH283" s="7" t="s">
        <v>47</v>
      </c>
      <c r="CI283" s="7" t="s">
        <v>47</v>
      </c>
      <c r="CJ283" s="7" t="s">
        <v>47</v>
      </c>
    </row>
    <row r="284" spans="1:88" s="7" customFormat="1" x14ac:dyDescent="0.25">
      <c r="A284" t="s">
        <v>1484</v>
      </c>
      <c r="B284" t="s">
        <v>699</v>
      </c>
      <c r="C284" t="s">
        <v>1185</v>
      </c>
      <c r="D284" t="s">
        <v>1992</v>
      </c>
      <c r="E284">
        <v>2910</v>
      </c>
      <c r="F284" t="s">
        <v>407</v>
      </c>
      <c r="G284">
        <v>589</v>
      </c>
      <c r="H284" s="9">
        <v>1.5</v>
      </c>
      <c r="I284" t="s">
        <v>407</v>
      </c>
      <c r="J284" t="s">
        <v>407</v>
      </c>
      <c r="K284" t="s">
        <v>2194</v>
      </c>
      <c r="L284" t="s">
        <v>45</v>
      </c>
      <c r="M284" s="10"/>
      <c r="N284" s="7" t="s">
        <v>46</v>
      </c>
      <c r="O284" s="8">
        <v>1</v>
      </c>
      <c r="P284" s="8">
        <v>1</v>
      </c>
      <c r="Q284" s="7" t="s">
        <v>334</v>
      </c>
      <c r="R284" s="7" t="s">
        <v>386</v>
      </c>
      <c r="S284" s="7" t="s">
        <v>47</v>
      </c>
      <c r="T284" s="7" t="s">
        <v>47</v>
      </c>
      <c r="U284" s="7" t="s">
        <v>47</v>
      </c>
      <c r="V284" s="7" t="s">
        <v>47</v>
      </c>
      <c r="W284" s="7" t="s">
        <v>112</v>
      </c>
      <c r="X284" s="7" t="s">
        <v>336</v>
      </c>
      <c r="Y284" s="8" t="s">
        <v>47</v>
      </c>
      <c r="Z284" s="8" t="s">
        <v>47</v>
      </c>
      <c r="AA284" s="8" t="s">
        <v>47</v>
      </c>
      <c r="AB284" s="11" t="s">
        <v>47</v>
      </c>
      <c r="AC284" s="11" t="s">
        <v>47</v>
      </c>
      <c r="AD284" s="7" t="s">
        <v>47</v>
      </c>
      <c r="AF284" s="7" t="s">
        <v>47</v>
      </c>
      <c r="AG284" s="7" t="s">
        <v>47</v>
      </c>
      <c r="AH284" s="7" t="s">
        <v>47</v>
      </c>
      <c r="AI284" s="7" t="s">
        <v>47</v>
      </c>
      <c r="AL284" s="7" t="s">
        <v>47</v>
      </c>
      <c r="AO284" s="7" t="s">
        <v>47</v>
      </c>
      <c r="AP284" s="7" t="s">
        <v>47</v>
      </c>
      <c r="AQ284" s="7" t="s">
        <v>47</v>
      </c>
      <c r="AV284" s="7" t="s">
        <v>47</v>
      </c>
      <c r="AW284" s="7" t="s">
        <v>47</v>
      </c>
      <c r="AX284" s="12" t="s">
        <v>89</v>
      </c>
      <c r="AY284" s="12" t="s">
        <v>57</v>
      </c>
      <c r="BC284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4" s="7">
        <f>SUM(cna_product_database_catalog_website[[#This Row],[Box CBM]]*35.3147)</f>
        <v>0</v>
      </c>
      <c r="BE284" s="7" t="s">
        <v>47</v>
      </c>
      <c r="BI284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4" s="7">
        <f>SUM(cna_product_database_catalog_website[[#This Row],[Carton CFT]]/61024)</f>
        <v>0</v>
      </c>
      <c r="BM284" s="7" t="s">
        <v>47</v>
      </c>
      <c r="BN284" s="7" t="s">
        <v>47</v>
      </c>
      <c r="BO284" s="7" t="s">
        <v>47</v>
      </c>
      <c r="BP284" s="7" t="s">
        <v>47</v>
      </c>
      <c r="BQ284" s="7" t="s">
        <v>47</v>
      </c>
      <c r="BS284" s="7" t="s">
        <v>47</v>
      </c>
      <c r="BT284" s="7" t="s">
        <v>47</v>
      </c>
      <c r="BU284" s="7" t="s">
        <v>47</v>
      </c>
      <c r="BW284" s="7" t="s">
        <v>47</v>
      </c>
      <c r="BX284" s="7" t="s">
        <v>47</v>
      </c>
      <c r="BY284" s="7" t="s">
        <v>47</v>
      </c>
      <c r="BZ284" s="7" t="s">
        <v>47</v>
      </c>
      <c r="CA284" s="7" t="s">
        <v>47</v>
      </c>
      <c r="CB284" s="7" t="s">
        <v>47</v>
      </c>
      <c r="CC284" s="7" t="s">
        <v>47</v>
      </c>
      <c r="CD284" s="7" t="s">
        <v>47</v>
      </c>
      <c r="CE284" s="7" t="s">
        <v>47</v>
      </c>
      <c r="CF284" s="7" t="s">
        <v>47</v>
      </c>
      <c r="CG284" s="7" t="s">
        <v>47</v>
      </c>
      <c r="CH284" s="7" t="s">
        <v>47</v>
      </c>
      <c r="CI284" s="7" t="s">
        <v>47</v>
      </c>
      <c r="CJ284" s="7" t="s">
        <v>47</v>
      </c>
    </row>
    <row r="285" spans="1:88" s="7" customFormat="1" x14ac:dyDescent="0.25">
      <c r="A285" t="s">
        <v>1484</v>
      </c>
      <c r="B285" t="s">
        <v>699</v>
      </c>
      <c r="C285" t="s">
        <v>1186</v>
      </c>
      <c r="D285" t="s">
        <v>1993</v>
      </c>
      <c r="E285">
        <v>2915</v>
      </c>
      <c r="F285" t="s">
        <v>408</v>
      </c>
      <c r="G285">
        <v>376</v>
      </c>
      <c r="H285" s="9">
        <v>1.9</v>
      </c>
      <c r="I285" t="s">
        <v>408</v>
      </c>
      <c r="J285" t="s">
        <v>408</v>
      </c>
      <c r="K285" t="s">
        <v>2193</v>
      </c>
      <c r="L285" t="s">
        <v>45</v>
      </c>
      <c r="M285" s="10"/>
      <c r="N285" s="7" t="s">
        <v>46</v>
      </c>
      <c r="O285" s="8">
        <v>1</v>
      </c>
      <c r="P285" s="8">
        <v>1</v>
      </c>
      <c r="Q285" s="7" t="s">
        <v>409</v>
      </c>
      <c r="R285" s="7" t="s">
        <v>50</v>
      </c>
      <c r="S285" s="7" t="s">
        <v>47</v>
      </c>
      <c r="T285" s="7" t="s">
        <v>47</v>
      </c>
      <c r="U285" s="7" t="s">
        <v>47</v>
      </c>
      <c r="V285" s="7" t="s">
        <v>47</v>
      </c>
      <c r="W285" s="7" t="s">
        <v>112</v>
      </c>
      <c r="X285" s="7" t="s">
        <v>336</v>
      </c>
      <c r="Y285" s="8" t="s">
        <v>47</v>
      </c>
      <c r="Z285" s="8" t="s">
        <v>47</v>
      </c>
      <c r="AA285" s="8" t="s">
        <v>47</v>
      </c>
      <c r="AB285" s="11" t="s">
        <v>47</v>
      </c>
      <c r="AC285" s="11" t="s">
        <v>47</v>
      </c>
      <c r="AD285" s="7" t="s">
        <v>47</v>
      </c>
      <c r="AF285" s="7" t="s">
        <v>47</v>
      </c>
      <c r="AG285" s="7" t="s">
        <v>47</v>
      </c>
      <c r="AH285" s="7" t="s">
        <v>47</v>
      </c>
      <c r="AI285" s="7" t="s">
        <v>47</v>
      </c>
      <c r="AL285" s="7" t="s">
        <v>47</v>
      </c>
      <c r="AO285" s="7" t="s">
        <v>47</v>
      </c>
      <c r="AP285" s="7" t="s">
        <v>47</v>
      </c>
      <c r="AQ285" s="7" t="s">
        <v>47</v>
      </c>
      <c r="AV285" s="7" t="s">
        <v>47</v>
      </c>
      <c r="AW285" s="7" t="s">
        <v>47</v>
      </c>
      <c r="AX285" s="12" t="s">
        <v>89</v>
      </c>
      <c r="AY285" s="12" t="s">
        <v>57</v>
      </c>
      <c r="BC285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5" s="7">
        <f>SUM(cna_product_database_catalog_website[[#This Row],[Box CBM]]*35.3147)</f>
        <v>0</v>
      </c>
      <c r="BE285" s="7" t="s">
        <v>47</v>
      </c>
      <c r="BI285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5" s="7">
        <f>SUM(cna_product_database_catalog_website[[#This Row],[Carton CFT]]/61024)</f>
        <v>0</v>
      </c>
      <c r="BM285" s="7" t="s">
        <v>47</v>
      </c>
      <c r="BN285" s="7" t="s">
        <v>47</v>
      </c>
      <c r="BO285" s="7" t="s">
        <v>47</v>
      </c>
      <c r="BP285" s="7" t="s">
        <v>47</v>
      </c>
      <c r="BQ285" s="7" t="s">
        <v>47</v>
      </c>
      <c r="BS285" s="7" t="s">
        <v>47</v>
      </c>
      <c r="BT285" s="7" t="s">
        <v>47</v>
      </c>
      <c r="BU285" s="7" t="s">
        <v>47</v>
      </c>
      <c r="BW285" s="7" t="s">
        <v>47</v>
      </c>
      <c r="BX285" s="7" t="s">
        <v>47</v>
      </c>
      <c r="BY285" s="7" t="s">
        <v>47</v>
      </c>
      <c r="BZ285" s="7" t="s">
        <v>47</v>
      </c>
      <c r="CA285" s="7" t="s">
        <v>47</v>
      </c>
      <c r="CB285" s="7" t="s">
        <v>47</v>
      </c>
      <c r="CC285" s="7" t="s">
        <v>47</v>
      </c>
      <c r="CD285" s="7" t="s">
        <v>47</v>
      </c>
      <c r="CE285" s="7" t="s">
        <v>47</v>
      </c>
      <c r="CF285" s="7" t="s">
        <v>47</v>
      </c>
      <c r="CG285" s="7" t="s">
        <v>47</v>
      </c>
      <c r="CH285" s="7" t="s">
        <v>47</v>
      </c>
      <c r="CI285" s="7" t="s">
        <v>47</v>
      </c>
      <c r="CJ285" s="7" t="s">
        <v>47</v>
      </c>
    </row>
    <row r="286" spans="1:88" s="7" customFormat="1" x14ac:dyDescent="0.25">
      <c r="A286" t="s">
        <v>1484</v>
      </c>
      <c r="B286" t="s">
        <v>699</v>
      </c>
      <c r="C286" t="s">
        <v>1187</v>
      </c>
      <c r="D286" t="s">
        <v>1994</v>
      </c>
      <c r="E286">
        <v>2920</v>
      </c>
      <c r="F286" t="s">
        <v>410</v>
      </c>
      <c r="G286">
        <v>610</v>
      </c>
      <c r="H286" s="9">
        <v>1.8</v>
      </c>
      <c r="I286" t="s">
        <v>410</v>
      </c>
      <c r="J286" t="s">
        <v>410</v>
      </c>
      <c r="K286" t="s">
        <v>2195</v>
      </c>
      <c r="L286" t="s">
        <v>45</v>
      </c>
      <c r="M286" s="10"/>
      <c r="N286" s="7" t="s">
        <v>46</v>
      </c>
      <c r="O286" s="8">
        <v>1</v>
      </c>
      <c r="P286" s="8">
        <v>1</v>
      </c>
      <c r="Q286" s="7" t="s">
        <v>104</v>
      </c>
      <c r="R286" s="7" t="s">
        <v>50</v>
      </c>
      <c r="S286" s="7" t="s">
        <v>47</v>
      </c>
      <c r="T286" s="7" t="s">
        <v>47</v>
      </c>
      <c r="U286" s="7" t="s">
        <v>47</v>
      </c>
      <c r="V286" s="7" t="s">
        <v>47</v>
      </c>
      <c r="W286" s="7" t="s">
        <v>411</v>
      </c>
      <c r="X286" s="7" t="s">
        <v>336</v>
      </c>
      <c r="Y286" s="8" t="s">
        <v>47</v>
      </c>
      <c r="Z286" s="8" t="s">
        <v>47</v>
      </c>
      <c r="AA286" s="8" t="s">
        <v>47</v>
      </c>
      <c r="AB286" s="11" t="s">
        <v>47</v>
      </c>
      <c r="AC286" s="11" t="s">
        <v>47</v>
      </c>
      <c r="AD286" s="7" t="s">
        <v>47</v>
      </c>
      <c r="AF286" s="7" t="s">
        <v>47</v>
      </c>
      <c r="AG286" s="7" t="s">
        <v>47</v>
      </c>
      <c r="AH286" s="7" t="s">
        <v>47</v>
      </c>
      <c r="AI286" s="7" t="s">
        <v>47</v>
      </c>
      <c r="AL286" s="7" t="s">
        <v>47</v>
      </c>
      <c r="AO286" s="7" t="s">
        <v>47</v>
      </c>
      <c r="AP286" s="7" t="s">
        <v>47</v>
      </c>
      <c r="AQ286" s="7" t="s">
        <v>47</v>
      </c>
      <c r="AV286" s="7" t="s">
        <v>47</v>
      </c>
      <c r="AW286" s="7" t="s">
        <v>47</v>
      </c>
      <c r="AX286" s="12" t="s">
        <v>89</v>
      </c>
      <c r="AY286" s="12" t="s">
        <v>57</v>
      </c>
      <c r="BC286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6" s="7">
        <f>SUM(cna_product_database_catalog_website[[#This Row],[Box CBM]]*35.3147)</f>
        <v>0</v>
      </c>
      <c r="BE286" s="7" t="s">
        <v>47</v>
      </c>
      <c r="BI286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6" s="7">
        <f>SUM(cna_product_database_catalog_website[[#This Row],[Carton CFT]]/61024)</f>
        <v>0</v>
      </c>
      <c r="BM286" s="7" t="s">
        <v>47</v>
      </c>
      <c r="BN286" s="7" t="s">
        <v>47</v>
      </c>
      <c r="BO286" s="7" t="s">
        <v>47</v>
      </c>
      <c r="BP286" s="7" t="s">
        <v>47</v>
      </c>
      <c r="BQ286" s="7" t="s">
        <v>47</v>
      </c>
      <c r="BS286" s="7" t="s">
        <v>47</v>
      </c>
      <c r="BT286" s="7" t="s">
        <v>47</v>
      </c>
      <c r="BU286" s="7" t="s">
        <v>47</v>
      </c>
      <c r="BW286" s="7" t="s">
        <v>47</v>
      </c>
      <c r="BX286" s="7" t="s">
        <v>47</v>
      </c>
      <c r="BY286" s="7" t="s">
        <v>47</v>
      </c>
      <c r="BZ286" s="7" t="s">
        <v>47</v>
      </c>
      <c r="CA286" s="7" t="s">
        <v>47</v>
      </c>
      <c r="CB286" s="7" t="s">
        <v>47</v>
      </c>
      <c r="CC286" s="7" t="s">
        <v>47</v>
      </c>
      <c r="CD286" s="7" t="s">
        <v>47</v>
      </c>
      <c r="CE286" s="7" t="s">
        <v>47</v>
      </c>
      <c r="CF286" s="7" t="s">
        <v>47</v>
      </c>
      <c r="CG286" s="7" t="s">
        <v>47</v>
      </c>
      <c r="CH286" s="7" t="s">
        <v>47</v>
      </c>
      <c r="CI286" s="7" t="s">
        <v>47</v>
      </c>
      <c r="CJ286" s="7" t="s">
        <v>47</v>
      </c>
    </row>
    <row r="287" spans="1:88" s="7" customFormat="1" x14ac:dyDescent="0.25">
      <c r="A287" t="s">
        <v>1484</v>
      </c>
      <c r="B287" t="s">
        <v>699</v>
      </c>
      <c r="C287" t="s">
        <v>1188</v>
      </c>
      <c r="D287" t="s">
        <v>1995</v>
      </c>
      <c r="E287">
        <v>2925</v>
      </c>
      <c r="F287" t="s">
        <v>412</v>
      </c>
      <c r="G287">
        <v>195</v>
      </c>
      <c r="H287" s="9">
        <v>1.8</v>
      </c>
      <c r="I287" t="s">
        <v>412</v>
      </c>
      <c r="J287" t="s">
        <v>412</v>
      </c>
      <c r="K287" t="s">
        <v>2195</v>
      </c>
      <c r="L287" t="s">
        <v>45</v>
      </c>
      <c r="M287" s="10"/>
      <c r="N287" s="7" t="s">
        <v>46</v>
      </c>
      <c r="O287" s="8">
        <v>1</v>
      </c>
      <c r="P287" s="8">
        <v>1</v>
      </c>
      <c r="Q287" s="7" t="s">
        <v>343</v>
      </c>
      <c r="R287" s="7" t="s">
        <v>50</v>
      </c>
      <c r="S287" s="7" t="s">
        <v>47</v>
      </c>
      <c r="T287" s="7" t="s">
        <v>47</v>
      </c>
      <c r="U287" s="7" t="s">
        <v>47</v>
      </c>
      <c r="V287" s="7" t="s">
        <v>47</v>
      </c>
      <c r="W287" s="7" t="s">
        <v>411</v>
      </c>
      <c r="X287" s="7" t="s">
        <v>336</v>
      </c>
      <c r="Y287" s="8" t="s">
        <v>47</v>
      </c>
      <c r="Z287" s="8" t="s">
        <v>47</v>
      </c>
      <c r="AA287" s="8" t="s">
        <v>47</v>
      </c>
      <c r="AB287" s="11" t="s">
        <v>47</v>
      </c>
      <c r="AC287" s="11" t="s">
        <v>47</v>
      </c>
      <c r="AD287" s="7" t="s">
        <v>47</v>
      </c>
      <c r="AF287" s="7" t="s">
        <v>47</v>
      </c>
      <c r="AG287" s="7" t="s">
        <v>47</v>
      </c>
      <c r="AH287" s="7" t="s">
        <v>47</v>
      </c>
      <c r="AI287" s="7" t="s">
        <v>47</v>
      </c>
      <c r="AL287" s="7" t="s">
        <v>47</v>
      </c>
      <c r="AO287" s="7" t="s">
        <v>47</v>
      </c>
      <c r="AP287" s="7" t="s">
        <v>47</v>
      </c>
      <c r="AQ287" s="7" t="s">
        <v>47</v>
      </c>
      <c r="AV287" s="7" t="s">
        <v>47</v>
      </c>
      <c r="AW287" s="7" t="s">
        <v>47</v>
      </c>
      <c r="AX287" s="12" t="s">
        <v>89</v>
      </c>
      <c r="AY287" s="12" t="s">
        <v>57</v>
      </c>
      <c r="BC287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7" s="7">
        <f>SUM(cna_product_database_catalog_website[[#This Row],[Box CBM]]*35.3147)</f>
        <v>0</v>
      </c>
      <c r="BE287" s="7" t="s">
        <v>47</v>
      </c>
      <c r="BI287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7" s="7">
        <f>SUM(cna_product_database_catalog_website[[#This Row],[Carton CFT]]/61024)</f>
        <v>0</v>
      </c>
      <c r="BM287" s="7" t="s">
        <v>47</v>
      </c>
      <c r="BN287" s="7" t="s">
        <v>47</v>
      </c>
      <c r="BO287" s="7" t="s">
        <v>47</v>
      </c>
      <c r="BP287" s="7" t="s">
        <v>47</v>
      </c>
      <c r="BQ287" s="7" t="s">
        <v>47</v>
      </c>
      <c r="BS287" s="7" t="s">
        <v>47</v>
      </c>
      <c r="BT287" s="7" t="s">
        <v>47</v>
      </c>
      <c r="BU287" s="7" t="s">
        <v>47</v>
      </c>
      <c r="BW287" s="7" t="s">
        <v>47</v>
      </c>
      <c r="BX287" s="7" t="s">
        <v>47</v>
      </c>
      <c r="BY287" s="7" t="s">
        <v>47</v>
      </c>
      <c r="BZ287" s="7" t="s">
        <v>47</v>
      </c>
      <c r="CA287" s="7" t="s">
        <v>47</v>
      </c>
      <c r="CB287" s="7" t="s">
        <v>47</v>
      </c>
      <c r="CC287" s="7" t="s">
        <v>47</v>
      </c>
      <c r="CD287" s="7" t="s">
        <v>47</v>
      </c>
      <c r="CE287" s="7" t="s">
        <v>47</v>
      </c>
      <c r="CF287" s="7" t="s">
        <v>47</v>
      </c>
      <c r="CG287" s="7" t="s">
        <v>47</v>
      </c>
      <c r="CH287" s="7" t="s">
        <v>47</v>
      </c>
      <c r="CI287" s="7" t="s">
        <v>47</v>
      </c>
      <c r="CJ287" s="7" t="s">
        <v>47</v>
      </c>
    </row>
    <row r="288" spans="1:88" s="7" customFormat="1" x14ac:dyDescent="0.25">
      <c r="A288" t="s">
        <v>1484</v>
      </c>
      <c r="B288" t="s">
        <v>699</v>
      </c>
      <c r="C288" t="s">
        <v>1189</v>
      </c>
      <c r="D288" t="s">
        <v>1996</v>
      </c>
      <c r="E288">
        <v>2930</v>
      </c>
      <c r="F288" t="s">
        <v>413</v>
      </c>
      <c r="G288">
        <v>35</v>
      </c>
      <c r="H288" s="9">
        <v>1.8</v>
      </c>
      <c r="I288" t="s">
        <v>413</v>
      </c>
      <c r="J288" t="s">
        <v>413</v>
      </c>
      <c r="K288" t="s">
        <v>2191</v>
      </c>
      <c r="L288" t="s">
        <v>45</v>
      </c>
      <c r="M288" s="10"/>
      <c r="N288" s="7" t="s">
        <v>46</v>
      </c>
      <c r="O288" s="8">
        <v>1</v>
      </c>
      <c r="P288" s="8">
        <v>1</v>
      </c>
      <c r="Q288" s="7" t="s">
        <v>352</v>
      </c>
      <c r="R288" s="7" t="s">
        <v>50</v>
      </c>
      <c r="S288" s="7" t="s">
        <v>47</v>
      </c>
      <c r="T288" s="7" t="s">
        <v>47</v>
      </c>
      <c r="U288" s="7" t="s">
        <v>47</v>
      </c>
      <c r="V288" s="7" t="s">
        <v>47</v>
      </c>
      <c r="W288" s="7" t="s">
        <v>376</v>
      </c>
      <c r="X288" s="7" t="s">
        <v>336</v>
      </c>
      <c r="Y288" s="8" t="s">
        <v>47</v>
      </c>
      <c r="Z288" s="8" t="s">
        <v>47</v>
      </c>
      <c r="AA288" s="8" t="s">
        <v>47</v>
      </c>
      <c r="AB288" s="11" t="s">
        <v>47</v>
      </c>
      <c r="AC288" s="11" t="s">
        <v>47</v>
      </c>
      <c r="AD288" s="7" t="s">
        <v>47</v>
      </c>
      <c r="AF288" s="7" t="s">
        <v>47</v>
      </c>
      <c r="AG288" s="7" t="s">
        <v>47</v>
      </c>
      <c r="AH288" s="7" t="s">
        <v>47</v>
      </c>
      <c r="AI288" s="7" t="s">
        <v>47</v>
      </c>
      <c r="AL288" s="7" t="s">
        <v>47</v>
      </c>
      <c r="AO288" s="7" t="s">
        <v>47</v>
      </c>
      <c r="AP288" s="7" t="s">
        <v>47</v>
      </c>
      <c r="AQ288" s="7" t="s">
        <v>47</v>
      </c>
      <c r="AV288" s="7" t="s">
        <v>47</v>
      </c>
      <c r="AW288" s="7" t="s">
        <v>47</v>
      </c>
      <c r="AX288" s="12" t="s">
        <v>89</v>
      </c>
      <c r="AY288" s="12" t="s">
        <v>57</v>
      </c>
      <c r="BC288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8" s="7">
        <f>SUM(cna_product_database_catalog_website[[#This Row],[Box CBM]]*35.3147)</f>
        <v>0</v>
      </c>
      <c r="BE288" s="7" t="s">
        <v>47</v>
      </c>
      <c r="BI288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8" s="7">
        <f>SUM(cna_product_database_catalog_website[[#This Row],[Carton CFT]]/61024)</f>
        <v>0</v>
      </c>
      <c r="BM288" s="7" t="s">
        <v>47</v>
      </c>
      <c r="BN288" s="7" t="s">
        <v>47</v>
      </c>
      <c r="BO288" s="7" t="s">
        <v>47</v>
      </c>
      <c r="BP288" s="7" t="s">
        <v>47</v>
      </c>
      <c r="BQ288" s="7" t="s">
        <v>47</v>
      </c>
      <c r="BS288" s="7" t="s">
        <v>47</v>
      </c>
      <c r="BT288" s="7" t="s">
        <v>47</v>
      </c>
      <c r="BU288" s="7" t="s">
        <v>47</v>
      </c>
      <c r="BW288" s="7" t="s">
        <v>47</v>
      </c>
      <c r="BX288" s="7" t="s">
        <v>47</v>
      </c>
      <c r="BY288" s="7" t="s">
        <v>47</v>
      </c>
      <c r="BZ288" s="7" t="s">
        <v>47</v>
      </c>
      <c r="CA288" s="7" t="s">
        <v>47</v>
      </c>
      <c r="CB288" s="7" t="s">
        <v>47</v>
      </c>
      <c r="CC288" s="7" t="s">
        <v>47</v>
      </c>
      <c r="CD288" s="7" t="s">
        <v>47</v>
      </c>
      <c r="CE288" s="7" t="s">
        <v>47</v>
      </c>
      <c r="CF288" s="7" t="s">
        <v>47</v>
      </c>
      <c r="CG288" s="7" t="s">
        <v>47</v>
      </c>
      <c r="CH288" s="7" t="s">
        <v>47</v>
      </c>
      <c r="CI288" s="7" t="s">
        <v>47</v>
      </c>
      <c r="CJ288" s="7" t="s">
        <v>47</v>
      </c>
    </row>
    <row r="289" spans="1:88" s="7" customFormat="1" x14ac:dyDescent="0.25">
      <c r="A289" t="s">
        <v>1484</v>
      </c>
      <c r="B289" t="s">
        <v>699</v>
      </c>
      <c r="C289" t="s">
        <v>1190</v>
      </c>
      <c r="D289" t="s">
        <v>1997</v>
      </c>
      <c r="E289">
        <v>2935</v>
      </c>
      <c r="F289" t="s">
        <v>414</v>
      </c>
      <c r="G289">
        <v>103</v>
      </c>
      <c r="H289" s="9">
        <v>1.8</v>
      </c>
      <c r="I289" t="s">
        <v>414</v>
      </c>
      <c r="J289" t="s">
        <v>414</v>
      </c>
      <c r="K289" t="s">
        <v>2191</v>
      </c>
      <c r="L289" t="s">
        <v>45</v>
      </c>
      <c r="M289" s="10"/>
      <c r="N289" s="7" t="s">
        <v>46</v>
      </c>
      <c r="O289" s="8">
        <v>1</v>
      </c>
      <c r="P289" s="8">
        <v>1</v>
      </c>
      <c r="Q289" s="7" t="s">
        <v>343</v>
      </c>
      <c r="R289" s="7" t="s">
        <v>50</v>
      </c>
      <c r="S289" s="7" t="s">
        <v>47</v>
      </c>
      <c r="T289" s="7" t="s">
        <v>47</v>
      </c>
      <c r="U289" s="7" t="s">
        <v>47</v>
      </c>
      <c r="V289" s="7" t="s">
        <v>47</v>
      </c>
      <c r="W289" s="7" t="s">
        <v>415</v>
      </c>
      <c r="X289" s="7" t="s">
        <v>336</v>
      </c>
      <c r="Y289" s="8" t="s">
        <v>47</v>
      </c>
      <c r="Z289" s="8" t="s">
        <v>47</v>
      </c>
      <c r="AA289" s="8" t="s">
        <v>47</v>
      </c>
      <c r="AB289" s="11" t="s">
        <v>47</v>
      </c>
      <c r="AC289" s="11" t="s">
        <v>47</v>
      </c>
      <c r="AD289" s="7" t="s">
        <v>47</v>
      </c>
      <c r="AF289" s="7" t="s">
        <v>47</v>
      </c>
      <c r="AG289" s="7" t="s">
        <v>47</v>
      </c>
      <c r="AH289" s="7" t="s">
        <v>47</v>
      </c>
      <c r="AI289" s="7" t="s">
        <v>47</v>
      </c>
      <c r="AL289" s="7" t="s">
        <v>47</v>
      </c>
      <c r="AO289" s="7" t="s">
        <v>47</v>
      </c>
      <c r="AP289" s="7" t="s">
        <v>47</v>
      </c>
      <c r="AQ289" s="7" t="s">
        <v>47</v>
      </c>
      <c r="AV289" s="7" t="s">
        <v>47</v>
      </c>
      <c r="AW289" s="7" t="s">
        <v>47</v>
      </c>
      <c r="AX289" s="12" t="s">
        <v>89</v>
      </c>
      <c r="AY289" s="12" t="s">
        <v>57</v>
      </c>
      <c r="BC289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89" s="7">
        <f>SUM(cna_product_database_catalog_website[[#This Row],[Box CBM]]*35.3147)</f>
        <v>0</v>
      </c>
      <c r="BE289" s="7" t="s">
        <v>47</v>
      </c>
      <c r="BI289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89" s="7">
        <f>SUM(cna_product_database_catalog_website[[#This Row],[Carton CFT]]/61024)</f>
        <v>0</v>
      </c>
      <c r="BM289" s="7" t="s">
        <v>47</v>
      </c>
      <c r="BN289" s="7" t="s">
        <v>47</v>
      </c>
      <c r="BO289" s="7" t="s">
        <v>47</v>
      </c>
      <c r="BP289" s="7" t="s">
        <v>47</v>
      </c>
      <c r="BQ289" s="7" t="s">
        <v>47</v>
      </c>
      <c r="BS289" s="7" t="s">
        <v>47</v>
      </c>
      <c r="BT289" s="7" t="s">
        <v>47</v>
      </c>
      <c r="BU289" s="7" t="s">
        <v>47</v>
      </c>
      <c r="BW289" s="7" t="s">
        <v>47</v>
      </c>
      <c r="BX289" s="7" t="s">
        <v>47</v>
      </c>
      <c r="BY289" s="7" t="s">
        <v>47</v>
      </c>
      <c r="BZ289" s="7" t="s">
        <v>47</v>
      </c>
      <c r="CA289" s="7" t="s">
        <v>47</v>
      </c>
      <c r="CB289" s="7" t="s">
        <v>47</v>
      </c>
      <c r="CC289" s="7" t="s">
        <v>47</v>
      </c>
      <c r="CD289" s="7" t="s">
        <v>47</v>
      </c>
      <c r="CE289" s="7" t="s">
        <v>47</v>
      </c>
      <c r="CF289" s="7" t="s">
        <v>47</v>
      </c>
      <c r="CG289" s="7" t="s">
        <v>47</v>
      </c>
      <c r="CH289" s="7" t="s">
        <v>47</v>
      </c>
      <c r="CI289" s="7" t="s">
        <v>47</v>
      </c>
      <c r="CJ289" s="7" t="s">
        <v>47</v>
      </c>
    </row>
    <row r="290" spans="1:88" s="7" customFormat="1" x14ac:dyDescent="0.25">
      <c r="A290" t="s">
        <v>1484</v>
      </c>
      <c r="B290" t="s">
        <v>699</v>
      </c>
      <c r="C290" t="s">
        <v>1191</v>
      </c>
      <c r="D290" t="s">
        <v>1998</v>
      </c>
      <c r="E290">
        <v>2940</v>
      </c>
      <c r="F290" t="s">
        <v>416</v>
      </c>
      <c r="G290">
        <v>212</v>
      </c>
      <c r="H290" s="9">
        <v>1.8</v>
      </c>
      <c r="I290" t="s">
        <v>416</v>
      </c>
      <c r="J290" t="s">
        <v>416</v>
      </c>
      <c r="K290" t="s">
        <v>2191</v>
      </c>
      <c r="L290" t="s">
        <v>45</v>
      </c>
      <c r="M290" s="10"/>
      <c r="N290" s="7" t="s">
        <v>46</v>
      </c>
      <c r="O290" s="8">
        <v>1</v>
      </c>
      <c r="P290" s="8">
        <v>1</v>
      </c>
      <c r="Q290" s="7" t="s">
        <v>334</v>
      </c>
      <c r="R290" s="7" t="s">
        <v>50</v>
      </c>
      <c r="S290" s="7" t="s">
        <v>47</v>
      </c>
      <c r="T290" s="7" t="s">
        <v>47</v>
      </c>
      <c r="U290" s="7" t="s">
        <v>47</v>
      </c>
      <c r="V290" s="7" t="s">
        <v>47</v>
      </c>
      <c r="W290" s="7" t="s">
        <v>376</v>
      </c>
      <c r="X290" s="7" t="s">
        <v>336</v>
      </c>
      <c r="Y290" s="8" t="s">
        <v>47</v>
      </c>
      <c r="Z290" s="8" t="s">
        <v>47</v>
      </c>
      <c r="AA290" s="8" t="s">
        <v>47</v>
      </c>
      <c r="AB290" s="11" t="s">
        <v>47</v>
      </c>
      <c r="AC290" s="11" t="s">
        <v>47</v>
      </c>
      <c r="AD290" s="7" t="s">
        <v>47</v>
      </c>
      <c r="AF290" s="7" t="s">
        <v>47</v>
      </c>
      <c r="AG290" s="7" t="s">
        <v>47</v>
      </c>
      <c r="AH290" s="7" t="s">
        <v>47</v>
      </c>
      <c r="AI290" s="7" t="s">
        <v>47</v>
      </c>
      <c r="AL290" s="7" t="s">
        <v>47</v>
      </c>
      <c r="AO290" s="7" t="s">
        <v>47</v>
      </c>
      <c r="AP290" s="7" t="s">
        <v>47</v>
      </c>
      <c r="AQ290" s="7" t="s">
        <v>47</v>
      </c>
      <c r="AV290" s="7" t="s">
        <v>47</v>
      </c>
      <c r="AW290" s="7" t="s">
        <v>47</v>
      </c>
      <c r="AX290" s="12" t="s">
        <v>89</v>
      </c>
      <c r="AY290" s="12" t="s">
        <v>57</v>
      </c>
      <c r="BC290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0" s="7">
        <f>SUM(cna_product_database_catalog_website[[#This Row],[Box CBM]]*35.3147)</f>
        <v>0</v>
      </c>
      <c r="BE290" s="7" t="s">
        <v>47</v>
      </c>
      <c r="BI290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0" s="7">
        <f>SUM(cna_product_database_catalog_website[[#This Row],[Carton CFT]]/61024)</f>
        <v>0</v>
      </c>
      <c r="BM290" s="7" t="s">
        <v>47</v>
      </c>
      <c r="BN290" s="7" t="s">
        <v>47</v>
      </c>
      <c r="BO290" s="7" t="s">
        <v>47</v>
      </c>
      <c r="BP290" s="7" t="s">
        <v>47</v>
      </c>
      <c r="BQ290" s="7" t="s">
        <v>47</v>
      </c>
      <c r="BS290" s="7" t="s">
        <v>47</v>
      </c>
      <c r="BT290" s="7" t="s">
        <v>47</v>
      </c>
      <c r="BU290" s="7" t="s">
        <v>47</v>
      </c>
      <c r="BW290" s="7" t="s">
        <v>47</v>
      </c>
      <c r="BX290" s="7" t="s">
        <v>47</v>
      </c>
      <c r="BY290" s="7" t="s">
        <v>47</v>
      </c>
      <c r="BZ290" s="7" t="s">
        <v>47</v>
      </c>
      <c r="CA290" s="7" t="s">
        <v>47</v>
      </c>
      <c r="CB290" s="7" t="s">
        <v>47</v>
      </c>
      <c r="CC290" s="7" t="s">
        <v>47</v>
      </c>
      <c r="CD290" s="7" t="s">
        <v>47</v>
      </c>
      <c r="CE290" s="7" t="s">
        <v>47</v>
      </c>
      <c r="CF290" s="7" t="s">
        <v>47</v>
      </c>
      <c r="CG290" s="7" t="s">
        <v>47</v>
      </c>
      <c r="CH290" s="7" t="s">
        <v>47</v>
      </c>
      <c r="CI290" s="7" t="s">
        <v>47</v>
      </c>
      <c r="CJ290" s="7" t="s">
        <v>47</v>
      </c>
    </row>
    <row r="291" spans="1:88" s="7" customFormat="1" x14ac:dyDescent="0.25">
      <c r="A291" t="s">
        <v>1484</v>
      </c>
      <c r="B291" t="s">
        <v>699</v>
      </c>
      <c r="C291" t="s">
        <v>1192</v>
      </c>
      <c r="D291" t="s">
        <v>1999</v>
      </c>
      <c r="E291">
        <v>2945</v>
      </c>
      <c r="F291" t="s">
        <v>417</v>
      </c>
      <c r="G291">
        <v>141</v>
      </c>
      <c r="H291" s="9">
        <v>1.8</v>
      </c>
      <c r="I291" t="s">
        <v>417</v>
      </c>
      <c r="J291" t="s">
        <v>417</v>
      </c>
      <c r="K291" t="s">
        <v>2191</v>
      </c>
      <c r="L291" t="s">
        <v>45</v>
      </c>
      <c r="M291" s="10"/>
      <c r="N291" s="7" t="s">
        <v>46</v>
      </c>
      <c r="O291" s="8">
        <v>1</v>
      </c>
      <c r="P291" s="8">
        <v>1</v>
      </c>
      <c r="Q291" s="7" t="s">
        <v>338</v>
      </c>
      <c r="R291" s="7" t="s">
        <v>50</v>
      </c>
      <c r="S291" s="7" t="s">
        <v>47</v>
      </c>
      <c r="T291" s="7" t="s">
        <v>47</v>
      </c>
      <c r="U291" s="7" t="s">
        <v>47</v>
      </c>
      <c r="V291" s="7" t="s">
        <v>47</v>
      </c>
      <c r="W291" s="7" t="s">
        <v>376</v>
      </c>
      <c r="X291" s="7" t="s">
        <v>336</v>
      </c>
      <c r="Y291" s="8" t="s">
        <v>47</v>
      </c>
      <c r="Z291" s="8" t="s">
        <v>47</v>
      </c>
      <c r="AA291" s="8" t="s">
        <v>47</v>
      </c>
      <c r="AB291" s="11" t="s">
        <v>47</v>
      </c>
      <c r="AC291" s="11" t="s">
        <v>47</v>
      </c>
      <c r="AD291" s="7" t="s">
        <v>47</v>
      </c>
      <c r="AF291" s="7" t="s">
        <v>47</v>
      </c>
      <c r="AG291" s="7" t="s">
        <v>47</v>
      </c>
      <c r="AH291" s="7" t="s">
        <v>47</v>
      </c>
      <c r="AI291" s="7" t="s">
        <v>47</v>
      </c>
      <c r="AL291" s="7" t="s">
        <v>47</v>
      </c>
      <c r="AO291" s="7" t="s">
        <v>47</v>
      </c>
      <c r="AP291" s="7" t="s">
        <v>47</v>
      </c>
      <c r="AQ291" s="7" t="s">
        <v>47</v>
      </c>
      <c r="AV291" s="7" t="s">
        <v>47</v>
      </c>
      <c r="AW291" s="7" t="s">
        <v>47</v>
      </c>
      <c r="AX291" s="12" t="s">
        <v>89</v>
      </c>
      <c r="AY291" s="12" t="s">
        <v>57</v>
      </c>
      <c r="BC291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1" s="7">
        <f>SUM(cna_product_database_catalog_website[[#This Row],[Box CBM]]*35.3147)</f>
        <v>0</v>
      </c>
      <c r="BE291" s="7" t="s">
        <v>47</v>
      </c>
      <c r="BI291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1" s="7">
        <f>SUM(cna_product_database_catalog_website[[#This Row],[Carton CFT]]/61024)</f>
        <v>0</v>
      </c>
      <c r="BM291" s="7" t="s">
        <v>47</v>
      </c>
      <c r="BN291" s="7" t="s">
        <v>47</v>
      </c>
      <c r="BO291" s="7" t="s">
        <v>47</v>
      </c>
      <c r="BP291" s="7" t="s">
        <v>47</v>
      </c>
      <c r="BQ291" s="7" t="s">
        <v>47</v>
      </c>
      <c r="BS291" s="7" t="s">
        <v>47</v>
      </c>
      <c r="BT291" s="7" t="s">
        <v>47</v>
      </c>
      <c r="BU291" s="7" t="s">
        <v>47</v>
      </c>
      <c r="BW291" s="7" t="s">
        <v>47</v>
      </c>
      <c r="BX291" s="7" t="s">
        <v>47</v>
      </c>
      <c r="BY291" s="7" t="s">
        <v>47</v>
      </c>
      <c r="BZ291" s="7" t="s">
        <v>47</v>
      </c>
      <c r="CA291" s="7" t="s">
        <v>47</v>
      </c>
      <c r="CB291" s="7" t="s">
        <v>47</v>
      </c>
      <c r="CC291" s="7" t="s">
        <v>47</v>
      </c>
      <c r="CD291" s="7" t="s">
        <v>47</v>
      </c>
      <c r="CE291" s="7" t="s">
        <v>47</v>
      </c>
      <c r="CF291" s="7" t="s">
        <v>47</v>
      </c>
      <c r="CG291" s="7" t="s">
        <v>47</v>
      </c>
      <c r="CH291" s="7" t="s">
        <v>47</v>
      </c>
      <c r="CI291" s="7" t="s">
        <v>47</v>
      </c>
      <c r="CJ291" s="7" t="s">
        <v>47</v>
      </c>
    </row>
    <row r="292" spans="1:88" s="7" customFormat="1" x14ac:dyDescent="0.25">
      <c r="A292" t="s">
        <v>1484</v>
      </c>
      <c r="B292" t="s">
        <v>897</v>
      </c>
      <c r="C292" t="s">
        <v>1193</v>
      </c>
      <c r="D292" t="s">
        <v>2000</v>
      </c>
      <c r="E292">
        <v>3000</v>
      </c>
      <c r="F292" t="s">
        <v>346</v>
      </c>
      <c r="G292">
        <v>89</v>
      </c>
      <c r="H292" s="9">
        <v>2.75</v>
      </c>
      <c r="I292" t="s">
        <v>346</v>
      </c>
      <c r="J292" t="s">
        <v>346</v>
      </c>
      <c r="K292" t="s">
        <v>2196</v>
      </c>
      <c r="L292" t="s">
        <v>45</v>
      </c>
      <c r="M292" s="10"/>
      <c r="N292" s="7" t="s">
        <v>46</v>
      </c>
      <c r="O292" s="8">
        <v>1</v>
      </c>
      <c r="P292" s="8">
        <v>1</v>
      </c>
      <c r="Q292" s="7" t="s">
        <v>334</v>
      </c>
      <c r="R292" s="7" t="s">
        <v>50</v>
      </c>
      <c r="S292" s="7" t="s">
        <v>47</v>
      </c>
      <c r="T292" s="7" t="s">
        <v>47</v>
      </c>
      <c r="U292" s="7" t="s">
        <v>47</v>
      </c>
      <c r="V292" s="7" t="s">
        <v>47</v>
      </c>
      <c r="W292" s="7" t="s">
        <v>345</v>
      </c>
      <c r="X292" s="7" t="s">
        <v>336</v>
      </c>
      <c r="Y292" s="8" t="s">
        <v>47</v>
      </c>
      <c r="Z292" s="8" t="s">
        <v>47</v>
      </c>
      <c r="AA292" s="8" t="s">
        <v>47</v>
      </c>
      <c r="AB292" s="11" t="s">
        <v>47</v>
      </c>
      <c r="AC292" s="11" t="s">
        <v>47</v>
      </c>
      <c r="AD292" s="7" t="s">
        <v>47</v>
      </c>
      <c r="AF292" s="7" t="s">
        <v>47</v>
      </c>
      <c r="AG292" s="7" t="s">
        <v>47</v>
      </c>
      <c r="AH292" s="7" t="s">
        <v>47</v>
      </c>
      <c r="AI292" s="7" t="s">
        <v>47</v>
      </c>
      <c r="AL292" s="7" t="s">
        <v>47</v>
      </c>
      <c r="AO292" s="7" t="s">
        <v>47</v>
      </c>
      <c r="AP292" s="7" t="s">
        <v>47</v>
      </c>
      <c r="AQ292" s="7" t="s">
        <v>47</v>
      </c>
      <c r="AV292" s="7" t="s">
        <v>47</v>
      </c>
      <c r="AW292" s="7" t="s">
        <v>47</v>
      </c>
      <c r="AX292" s="12" t="s">
        <v>78</v>
      </c>
      <c r="AY292" s="12" t="s">
        <v>78</v>
      </c>
      <c r="BC292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2" s="7">
        <f>SUM(cna_product_database_catalog_website[[#This Row],[Box CBM]]*35.3147)</f>
        <v>0</v>
      </c>
      <c r="BE292" s="7" t="s">
        <v>47</v>
      </c>
      <c r="BI292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2" s="7">
        <f>SUM(cna_product_database_catalog_website[[#This Row],[Carton CFT]]/61024)</f>
        <v>0</v>
      </c>
      <c r="BM292" s="7" t="s">
        <v>47</v>
      </c>
      <c r="BN292" s="7" t="s">
        <v>47</v>
      </c>
      <c r="BO292" s="7" t="s">
        <v>47</v>
      </c>
      <c r="BP292" s="7" t="s">
        <v>47</v>
      </c>
      <c r="BQ292" s="7" t="s">
        <v>47</v>
      </c>
      <c r="BS292" s="7" t="s">
        <v>47</v>
      </c>
      <c r="BT292" s="7" t="s">
        <v>47</v>
      </c>
      <c r="BU292" s="7" t="s">
        <v>47</v>
      </c>
      <c r="BW292" s="7" t="s">
        <v>47</v>
      </c>
      <c r="BX292" s="7" t="s">
        <v>47</v>
      </c>
      <c r="BY292" s="7" t="s">
        <v>47</v>
      </c>
      <c r="BZ292" s="7" t="s">
        <v>47</v>
      </c>
      <c r="CA292" s="7" t="s">
        <v>47</v>
      </c>
      <c r="CB292" s="7" t="s">
        <v>47</v>
      </c>
      <c r="CC292" s="7" t="s">
        <v>47</v>
      </c>
      <c r="CD292" s="7" t="s">
        <v>47</v>
      </c>
      <c r="CE292" s="7" t="s">
        <v>47</v>
      </c>
      <c r="CF292" s="7" t="s">
        <v>47</v>
      </c>
      <c r="CG292" s="7" t="s">
        <v>47</v>
      </c>
      <c r="CH292" s="7" t="s">
        <v>47</v>
      </c>
      <c r="CI292" s="7" t="s">
        <v>47</v>
      </c>
      <c r="CJ292" s="7" t="s">
        <v>47</v>
      </c>
    </row>
    <row r="293" spans="1:88" s="7" customFormat="1" x14ac:dyDescent="0.25">
      <c r="A293" t="s">
        <v>1484</v>
      </c>
      <c r="B293" t="s">
        <v>897</v>
      </c>
      <c r="C293" t="s">
        <v>1194</v>
      </c>
      <c r="D293" t="s">
        <v>2001</v>
      </c>
      <c r="E293">
        <v>3005</v>
      </c>
      <c r="F293" t="s">
        <v>418</v>
      </c>
      <c r="G293">
        <v>50</v>
      </c>
      <c r="H293" s="9">
        <v>2.75</v>
      </c>
      <c r="I293" t="s">
        <v>418</v>
      </c>
      <c r="J293" t="s">
        <v>418</v>
      </c>
      <c r="K293" t="s">
        <v>2196</v>
      </c>
      <c r="L293" t="s">
        <v>45</v>
      </c>
      <c r="M293" s="10"/>
      <c r="N293" s="7" t="s">
        <v>46</v>
      </c>
      <c r="O293" s="8">
        <v>1</v>
      </c>
      <c r="P293" s="8">
        <v>1</v>
      </c>
      <c r="Q293" s="7" t="s">
        <v>379</v>
      </c>
      <c r="R293" s="7" t="s">
        <v>50</v>
      </c>
      <c r="S293" s="7" t="s">
        <v>47</v>
      </c>
      <c r="T293" s="7" t="s">
        <v>47</v>
      </c>
      <c r="U293" s="7" t="s">
        <v>47</v>
      </c>
      <c r="V293" s="7" t="s">
        <v>47</v>
      </c>
      <c r="W293" s="7" t="s">
        <v>345</v>
      </c>
      <c r="X293" s="7" t="s">
        <v>336</v>
      </c>
      <c r="Y293" s="8" t="s">
        <v>47</v>
      </c>
      <c r="Z293" s="8" t="s">
        <v>47</v>
      </c>
      <c r="AA293" s="8" t="s">
        <v>47</v>
      </c>
      <c r="AB293" s="11" t="s">
        <v>47</v>
      </c>
      <c r="AC293" s="11" t="s">
        <v>47</v>
      </c>
      <c r="AD293" s="7" t="s">
        <v>47</v>
      </c>
      <c r="AF293" s="7" t="s">
        <v>47</v>
      </c>
      <c r="AG293" s="7" t="s">
        <v>47</v>
      </c>
      <c r="AH293" s="7" t="s">
        <v>47</v>
      </c>
      <c r="AI293" s="7" t="s">
        <v>47</v>
      </c>
      <c r="AL293" s="7" t="s">
        <v>47</v>
      </c>
      <c r="AO293" s="7" t="s">
        <v>47</v>
      </c>
      <c r="AP293" s="7" t="s">
        <v>47</v>
      </c>
      <c r="AQ293" s="7" t="s">
        <v>47</v>
      </c>
      <c r="AV293" s="7" t="s">
        <v>47</v>
      </c>
      <c r="AW293" s="7" t="s">
        <v>47</v>
      </c>
      <c r="AX293" s="12" t="s">
        <v>78</v>
      </c>
      <c r="AY293" s="12" t="s">
        <v>78</v>
      </c>
      <c r="BC293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3" s="7">
        <f>SUM(cna_product_database_catalog_website[[#This Row],[Box CBM]]*35.3147)</f>
        <v>0</v>
      </c>
      <c r="BE293" s="7" t="s">
        <v>47</v>
      </c>
      <c r="BI293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3" s="7">
        <f>SUM(cna_product_database_catalog_website[[#This Row],[Carton CFT]]/61024)</f>
        <v>0</v>
      </c>
      <c r="BM293" s="7" t="s">
        <v>47</v>
      </c>
      <c r="BN293" s="7" t="s">
        <v>47</v>
      </c>
      <c r="BO293" s="7" t="s">
        <v>47</v>
      </c>
      <c r="BP293" s="7" t="s">
        <v>47</v>
      </c>
      <c r="BQ293" s="7" t="s">
        <v>47</v>
      </c>
      <c r="BS293" s="7" t="s">
        <v>47</v>
      </c>
      <c r="BT293" s="7" t="s">
        <v>47</v>
      </c>
      <c r="BU293" s="7" t="s">
        <v>47</v>
      </c>
      <c r="BW293" s="7" t="s">
        <v>47</v>
      </c>
      <c r="BX293" s="7" t="s">
        <v>47</v>
      </c>
      <c r="BY293" s="7" t="s">
        <v>47</v>
      </c>
      <c r="BZ293" s="7" t="s">
        <v>47</v>
      </c>
      <c r="CA293" s="7" t="s">
        <v>47</v>
      </c>
      <c r="CB293" s="7" t="s">
        <v>47</v>
      </c>
      <c r="CC293" s="7" t="s">
        <v>47</v>
      </c>
      <c r="CD293" s="7" t="s">
        <v>47</v>
      </c>
      <c r="CE293" s="7" t="s">
        <v>47</v>
      </c>
      <c r="CF293" s="7" t="s">
        <v>47</v>
      </c>
      <c r="CG293" s="7" t="s">
        <v>47</v>
      </c>
      <c r="CH293" s="7" t="s">
        <v>47</v>
      </c>
      <c r="CI293" s="7" t="s">
        <v>47</v>
      </c>
      <c r="CJ293" s="7" t="s">
        <v>47</v>
      </c>
    </row>
    <row r="294" spans="1:88" s="7" customFormat="1" x14ac:dyDescent="0.25">
      <c r="A294" t="s">
        <v>1484</v>
      </c>
      <c r="B294" t="s">
        <v>897</v>
      </c>
      <c r="C294" t="s">
        <v>1195</v>
      </c>
      <c r="D294" t="s">
        <v>2002</v>
      </c>
      <c r="E294">
        <v>3010</v>
      </c>
      <c r="F294" t="s">
        <v>419</v>
      </c>
      <c r="G294">
        <v>51</v>
      </c>
      <c r="H294" s="9">
        <v>2.75</v>
      </c>
      <c r="I294" t="s">
        <v>419</v>
      </c>
      <c r="J294" t="s">
        <v>419</v>
      </c>
      <c r="K294" t="s">
        <v>2196</v>
      </c>
      <c r="L294" t="s">
        <v>45</v>
      </c>
      <c r="M294" s="10"/>
      <c r="N294" s="7" t="s">
        <v>46</v>
      </c>
      <c r="O294" s="8">
        <v>1</v>
      </c>
      <c r="P294" s="8">
        <v>1</v>
      </c>
      <c r="Q294" s="7" t="s">
        <v>390</v>
      </c>
      <c r="R294" s="7" t="s">
        <v>50</v>
      </c>
      <c r="S294" s="7" t="s">
        <v>47</v>
      </c>
      <c r="T294" s="7" t="s">
        <v>47</v>
      </c>
      <c r="U294" s="7" t="s">
        <v>47</v>
      </c>
      <c r="V294" s="7" t="s">
        <v>47</v>
      </c>
      <c r="W294" s="7" t="s">
        <v>345</v>
      </c>
      <c r="X294" s="7" t="s">
        <v>336</v>
      </c>
      <c r="Y294" s="8" t="s">
        <v>47</v>
      </c>
      <c r="Z294" s="8" t="s">
        <v>47</v>
      </c>
      <c r="AA294" s="8" t="s">
        <v>47</v>
      </c>
      <c r="AB294" s="11" t="s">
        <v>47</v>
      </c>
      <c r="AC294" s="11" t="s">
        <v>47</v>
      </c>
      <c r="AD294" s="7" t="s">
        <v>47</v>
      </c>
      <c r="AF294" s="7" t="s">
        <v>47</v>
      </c>
      <c r="AG294" s="7" t="s">
        <v>47</v>
      </c>
      <c r="AH294" s="7" t="s">
        <v>47</v>
      </c>
      <c r="AI294" s="7" t="s">
        <v>47</v>
      </c>
      <c r="AL294" s="7" t="s">
        <v>47</v>
      </c>
      <c r="AO294" s="7" t="s">
        <v>47</v>
      </c>
      <c r="AP294" s="7" t="s">
        <v>47</v>
      </c>
      <c r="AQ294" s="7" t="s">
        <v>47</v>
      </c>
      <c r="AV294" s="7" t="s">
        <v>47</v>
      </c>
      <c r="AW294" s="7" t="s">
        <v>47</v>
      </c>
      <c r="AX294" s="12" t="s">
        <v>78</v>
      </c>
      <c r="AY294" s="12" t="s">
        <v>78</v>
      </c>
      <c r="BC294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4" s="7">
        <f>SUM(cna_product_database_catalog_website[[#This Row],[Box CBM]]*35.3147)</f>
        <v>0</v>
      </c>
      <c r="BE294" s="7" t="s">
        <v>47</v>
      </c>
      <c r="BI294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4" s="7">
        <f>SUM(cna_product_database_catalog_website[[#This Row],[Carton CFT]]/61024)</f>
        <v>0</v>
      </c>
      <c r="BM294" s="7" t="s">
        <v>47</v>
      </c>
      <c r="BN294" s="7" t="s">
        <v>47</v>
      </c>
      <c r="BO294" s="7" t="s">
        <v>47</v>
      </c>
      <c r="BP294" s="7" t="s">
        <v>47</v>
      </c>
      <c r="BQ294" s="7" t="s">
        <v>47</v>
      </c>
      <c r="BS294" s="7" t="s">
        <v>47</v>
      </c>
      <c r="BT294" s="7" t="s">
        <v>47</v>
      </c>
      <c r="BU294" s="7" t="s">
        <v>47</v>
      </c>
      <c r="BW294" s="7" t="s">
        <v>47</v>
      </c>
      <c r="BX294" s="7" t="s">
        <v>47</v>
      </c>
      <c r="BY294" s="7" t="s">
        <v>47</v>
      </c>
      <c r="BZ294" s="7" t="s">
        <v>47</v>
      </c>
      <c r="CA294" s="7" t="s">
        <v>47</v>
      </c>
      <c r="CB294" s="7" t="s">
        <v>47</v>
      </c>
      <c r="CC294" s="7" t="s">
        <v>47</v>
      </c>
      <c r="CD294" s="7" t="s">
        <v>47</v>
      </c>
      <c r="CE294" s="7" t="s">
        <v>47</v>
      </c>
      <c r="CF294" s="7" t="s">
        <v>47</v>
      </c>
      <c r="CG294" s="7" t="s">
        <v>47</v>
      </c>
      <c r="CH294" s="7" t="s">
        <v>47</v>
      </c>
      <c r="CI294" s="7" t="s">
        <v>47</v>
      </c>
      <c r="CJ294" s="7" t="s">
        <v>47</v>
      </c>
    </row>
    <row r="295" spans="1:88" s="7" customFormat="1" x14ac:dyDescent="0.25">
      <c r="A295" t="s">
        <v>1484</v>
      </c>
      <c r="B295" t="s">
        <v>897</v>
      </c>
      <c r="C295" t="s">
        <v>1196</v>
      </c>
      <c r="D295" t="s">
        <v>2003</v>
      </c>
      <c r="E295">
        <v>3100</v>
      </c>
      <c r="F295" t="s">
        <v>420</v>
      </c>
      <c r="G295">
        <v>60</v>
      </c>
      <c r="H295" s="9">
        <v>2.75</v>
      </c>
      <c r="I295" t="s">
        <v>420</v>
      </c>
      <c r="J295" t="s">
        <v>420</v>
      </c>
      <c r="K295" t="s">
        <v>2197</v>
      </c>
      <c r="L295" t="s">
        <v>45</v>
      </c>
      <c r="M295" s="10"/>
      <c r="N295" s="7" t="s">
        <v>46</v>
      </c>
      <c r="O295" s="8">
        <v>1</v>
      </c>
      <c r="P295" s="8">
        <v>1</v>
      </c>
      <c r="Q295" s="7" t="s">
        <v>343</v>
      </c>
      <c r="R295" s="7" t="s">
        <v>50</v>
      </c>
      <c r="S295" s="7" t="s">
        <v>47</v>
      </c>
      <c r="T295" s="7" t="s">
        <v>47</v>
      </c>
      <c r="U295" s="7" t="s">
        <v>47</v>
      </c>
      <c r="V295" s="7" t="s">
        <v>47</v>
      </c>
      <c r="W295" s="7" t="s">
        <v>421</v>
      </c>
      <c r="X295" s="7" t="s">
        <v>336</v>
      </c>
      <c r="Y295" s="8" t="s">
        <v>47</v>
      </c>
      <c r="Z295" s="8" t="s">
        <v>47</v>
      </c>
      <c r="AA295" s="8" t="s">
        <v>47</v>
      </c>
      <c r="AB295" s="11" t="s">
        <v>47</v>
      </c>
      <c r="AC295" s="11" t="s">
        <v>47</v>
      </c>
      <c r="AD295" s="7" t="s">
        <v>47</v>
      </c>
      <c r="AF295" s="7" t="s">
        <v>47</v>
      </c>
      <c r="AG295" s="7" t="s">
        <v>47</v>
      </c>
      <c r="AH295" s="7" t="s">
        <v>47</v>
      </c>
      <c r="AI295" s="7" t="s">
        <v>47</v>
      </c>
      <c r="AL295" s="7" t="s">
        <v>47</v>
      </c>
      <c r="AO295" s="7" t="s">
        <v>47</v>
      </c>
      <c r="AP295" s="7" t="s">
        <v>47</v>
      </c>
      <c r="AQ295" s="7" t="s">
        <v>47</v>
      </c>
      <c r="AV295" s="7" t="s">
        <v>47</v>
      </c>
      <c r="AW295" s="7" t="s">
        <v>47</v>
      </c>
      <c r="AX295" s="12" t="s">
        <v>78</v>
      </c>
      <c r="AY295" s="12" t="s">
        <v>78</v>
      </c>
      <c r="BC295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5" s="7">
        <f>SUM(cna_product_database_catalog_website[[#This Row],[Box CBM]]*35.3147)</f>
        <v>0</v>
      </c>
      <c r="BE295" s="7" t="s">
        <v>47</v>
      </c>
      <c r="BI295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5" s="7">
        <f>SUM(cna_product_database_catalog_website[[#This Row],[Carton CFT]]/61024)</f>
        <v>0</v>
      </c>
      <c r="BM295" s="7" t="s">
        <v>47</v>
      </c>
      <c r="BN295" s="7" t="s">
        <v>47</v>
      </c>
      <c r="BO295" s="7" t="s">
        <v>47</v>
      </c>
      <c r="BP295" s="7" t="s">
        <v>47</v>
      </c>
      <c r="BQ295" s="7" t="s">
        <v>47</v>
      </c>
      <c r="BS295" s="7" t="s">
        <v>47</v>
      </c>
      <c r="BT295" s="7" t="s">
        <v>47</v>
      </c>
      <c r="BU295" s="7" t="s">
        <v>47</v>
      </c>
      <c r="BW295" s="7" t="s">
        <v>47</v>
      </c>
      <c r="BX295" s="7" t="s">
        <v>47</v>
      </c>
      <c r="BY295" s="7" t="s">
        <v>47</v>
      </c>
      <c r="BZ295" s="7" t="s">
        <v>47</v>
      </c>
      <c r="CA295" s="7" t="s">
        <v>47</v>
      </c>
      <c r="CB295" s="7" t="s">
        <v>47</v>
      </c>
      <c r="CC295" s="7" t="s">
        <v>47</v>
      </c>
      <c r="CD295" s="7" t="s">
        <v>47</v>
      </c>
      <c r="CE295" s="7" t="s">
        <v>47</v>
      </c>
      <c r="CF295" s="7" t="s">
        <v>47</v>
      </c>
      <c r="CG295" s="7" t="s">
        <v>47</v>
      </c>
      <c r="CH295" s="7" t="s">
        <v>47</v>
      </c>
      <c r="CI295" s="7" t="s">
        <v>47</v>
      </c>
      <c r="CJ295" s="7" t="s">
        <v>47</v>
      </c>
    </row>
    <row r="296" spans="1:88" s="7" customFormat="1" x14ac:dyDescent="0.25">
      <c r="A296" t="s">
        <v>1484</v>
      </c>
      <c r="B296" t="s">
        <v>897</v>
      </c>
      <c r="C296" t="s">
        <v>1197</v>
      </c>
      <c r="D296" t="s">
        <v>2004</v>
      </c>
      <c r="E296">
        <v>3105</v>
      </c>
      <c r="F296" t="s">
        <v>422</v>
      </c>
      <c r="G296">
        <v>62</v>
      </c>
      <c r="H296" s="9">
        <v>2.75</v>
      </c>
      <c r="I296" t="s">
        <v>422</v>
      </c>
      <c r="J296" t="s">
        <v>422</v>
      </c>
      <c r="K296" t="s">
        <v>2197</v>
      </c>
      <c r="L296" t="s">
        <v>45</v>
      </c>
      <c r="M296" s="10"/>
      <c r="N296" s="7" t="s">
        <v>46</v>
      </c>
      <c r="O296" s="8">
        <v>1</v>
      </c>
      <c r="P296" s="8">
        <v>1</v>
      </c>
      <c r="Q296" s="7" t="s">
        <v>334</v>
      </c>
      <c r="R296" s="7" t="s">
        <v>50</v>
      </c>
      <c r="S296" s="7" t="s">
        <v>47</v>
      </c>
      <c r="T296" s="7" t="s">
        <v>47</v>
      </c>
      <c r="U296" s="7" t="s">
        <v>47</v>
      </c>
      <c r="V296" s="7" t="s">
        <v>47</v>
      </c>
      <c r="W296" s="7" t="s">
        <v>421</v>
      </c>
      <c r="X296" s="7" t="s">
        <v>336</v>
      </c>
      <c r="Y296" s="8" t="s">
        <v>47</v>
      </c>
      <c r="Z296" s="8" t="s">
        <v>47</v>
      </c>
      <c r="AA296" s="8" t="s">
        <v>47</v>
      </c>
      <c r="AB296" s="11" t="s">
        <v>47</v>
      </c>
      <c r="AC296" s="11" t="s">
        <v>47</v>
      </c>
      <c r="AD296" s="7" t="s">
        <v>47</v>
      </c>
      <c r="AF296" s="7" t="s">
        <v>47</v>
      </c>
      <c r="AG296" s="7" t="s">
        <v>47</v>
      </c>
      <c r="AH296" s="7" t="s">
        <v>47</v>
      </c>
      <c r="AI296" s="7" t="s">
        <v>47</v>
      </c>
      <c r="AL296" s="7" t="s">
        <v>47</v>
      </c>
      <c r="AO296" s="7" t="s">
        <v>47</v>
      </c>
      <c r="AP296" s="7" t="s">
        <v>47</v>
      </c>
      <c r="AQ296" s="7" t="s">
        <v>47</v>
      </c>
      <c r="AV296" s="7" t="s">
        <v>47</v>
      </c>
      <c r="AW296" s="7" t="s">
        <v>47</v>
      </c>
      <c r="AX296" s="12" t="s">
        <v>78</v>
      </c>
      <c r="AY296" s="12" t="s">
        <v>78</v>
      </c>
      <c r="BC296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6" s="7">
        <f>SUM(cna_product_database_catalog_website[[#This Row],[Box CBM]]*35.3147)</f>
        <v>0</v>
      </c>
      <c r="BE296" s="7" t="s">
        <v>47</v>
      </c>
      <c r="BI296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6" s="7">
        <f>SUM(cna_product_database_catalog_website[[#This Row],[Carton CFT]]/61024)</f>
        <v>0</v>
      </c>
      <c r="BM296" s="7" t="s">
        <v>47</v>
      </c>
      <c r="BN296" s="7" t="s">
        <v>47</v>
      </c>
      <c r="BO296" s="7" t="s">
        <v>47</v>
      </c>
      <c r="BP296" s="7" t="s">
        <v>47</v>
      </c>
      <c r="BQ296" s="7" t="s">
        <v>47</v>
      </c>
      <c r="BS296" s="7" t="s">
        <v>47</v>
      </c>
      <c r="BT296" s="7" t="s">
        <v>47</v>
      </c>
      <c r="BU296" s="7" t="s">
        <v>47</v>
      </c>
      <c r="BW296" s="7" t="s">
        <v>47</v>
      </c>
      <c r="BX296" s="7" t="s">
        <v>47</v>
      </c>
      <c r="BY296" s="7" t="s">
        <v>47</v>
      </c>
      <c r="BZ296" s="7" t="s">
        <v>47</v>
      </c>
      <c r="CA296" s="7" t="s">
        <v>47</v>
      </c>
      <c r="CB296" s="7" t="s">
        <v>47</v>
      </c>
      <c r="CC296" s="7" t="s">
        <v>47</v>
      </c>
      <c r="CD296" s="7" t="s">
        <v>47</v>
      </c>
      <c r="CE296" s="7" t="s">
        <v>47</v>
      </c>
      <c r="CF296" s="7" t="s">
        <v>47</v>
      </c>
      <c r="CG296" s="7" t="s">
        <v>47</v>
      </c>
      <c r="CH296" s="7" t="s">
        <v>47</v>
      </c>
      <c r="CI296" s="7" t="s">
        <v>47</v>
      </c>
      <c r="CJ296" s="7" t="s">
        <v>47</v>
      </c>
    </row>
    <row r="297" spans="1:88" s="7" customFormat="1" x14ac:dyDescent="0.25">
      <c r="A297" t="s">
        <v>1484</v>
      </c>
      <c r="B297" t="s">
        <v>897</v>
      </c>
      <c r="C297" t="s">
        <v>1198</v>
      </c>
      <c r="D297" t="s">
        <v>2005</v>
      </c>
      <c r="E297">
        <v>3110</v>
      </c>
      <c r="F297" t="s">
        <v>423</v>
      </c>
      <c r="G297">
        <v>63</v>
      </c>
      <c r="H297" s="9">
        <v>2.75</v>
      </c>
      <c r="I297" t="s">
        <v>423</v>
      </c>
      <c r="J297" t="s">
        <v>423</v>
      </c>
      <c r="K297" t="s">
        <v>2197</v>
      </c>
      <c r="L297" t="s">
        <v>45</v>
      </c>
      <c r="M297" s="10"/>
      <c r="N297" s="7" t="s">
        <v>46</v>
      </c>
      <c r="O297" s="8">
        <v>1</v>
      </c>
      <c r="P297" s="8">
        <v>1</v>
      </c>
      <c r="Q297" s="7" t="s">
        <v>338</v>
      </c>
      <c r="R297" s="7" t="s">
        <v>50</v>
      </c>
      <c r="S297" s="7" t="s">
        <v>47</v>
      </c>
      <c r="T297" s="7" t="s">
        <v>47</v>
      </c>
      <c r="U297" s="7" t="s">
        <v>47</v>
      </c>
      <c r="V297" s="7" t="s">
        <v>47</v>
      </c>
      <c r="W297" s="7" t="s">
        <v>421</v>
      </c>
      <c r="X297" s="7" t="s">
        <v>336</v>
      </c>
      <c r="Y297" s="8" t="s">
        <v>47</v>
      </c>
      <c r="Z297" s="8" t="s">
        <v>47</v>
      </c>
      <c r="AA297" s="8" t="s">
        <v>47</v>
      </c>
      <c r="AB297" s="11" t="s">
        <v>47</v>
      </c>
      <c r="AC297" s="11" t="s">
        <v>47</v>
      </c>
      <c r="AD297" s="7" t="s">
        <v>47</v>
      </c>
      <c r="AF297" s="7" t="s">
        <v>47</v>
      </c>
      <c r="AG297" s="7" t="s">
        <v>47</v>
      </c>
      <c r="AH297" s="7" t="s">
        <v>47</v>
      </c>
      <c r="AI297" s="7" t="s">
        <v>47</v>
      </c>
      <c r="AL297" s="7" t="s">
        <v>47</v>
      </c>
      <c r="AO297" s="7" t="s">
        <v>47</v>
      </c>
      <c r="AP297" s="7" t="s">
        <v>47</v>
      </c>
      <c r="AQ297" s="7" t="s">
        <v>47</v>
      </c>
      <c r="AV297" s="7" t="s">
        <v>47</v>
      </c>
      <c r="AW297" s="7" t="s">
        <v>47</v>
      </c>
      <c r="AX297" s="12" t="s">
        <v>78</v>
      </c>
      <c r="AY297" s="12" t="s">
        <v>78</v>
      </c>
      <c r="BC297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7" s="7">
        <f>SUM(cna_product_database_catalog_website[[#This Row],[Box CBM]]*35.3147)</f>
        <v>0</v>
      </c>
      <c r="BE297" s="7" t="s">
        <v>47</v>
      </c>
      <c r="BI297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7" s="7">
        <f>SUM(cna_product_database_catalog_website[[#This Row],[Carton CFT]]/61024)</f>
        <v>0</v>
      </c>
      <c r="BM297" s="7" t="s">
        <v>47</v>
      </c>
      <c r="BN297" s="7" t="s">
        <v>47</v>
      </c>
      <c r="BO297" s="7" t="s">
        <v>47</v>
      </c>
      <c r="BP297" s="7" t="s">
        <v>47</v>
      </c>
      <c r="BQ297" s="7" t="s">
        <v>47</v>
      </c>
      <c r="BS297" s="7" t="s">
        <v>47</v>
      </c>
      <c r="BT297" s="7" t="s">
        <v>47</v>
      </c>
      <c r="BU297" s="7" t="s">
        <v>47</v>
      </c>
      <c r="BW297" s="7" t="s">
        <v>47</v>
      </c>
      <c r="BX297" s="7" t="s">
        <v>47</v>
      </c>
      <c r="BY297" s="7" t="s">
        <v>47</v>
      </c>
      <c r="BZ297" s="7" t="s">
        <v>47</v>
      </c>
      <c r="CA297" s="7" t="s">
        <v>47</v>
      </c>
      <c r="CB297" s="7" t="s">
        <v>47</v>
      </c>
      <c r="CC297" s="7" t="s">
        <v>47</v>
      </c>
      <c r="CD297" s="7" t="s">
        <v>47</v>
      </c>
      <c r="CE297" s="7" t="s">
        <v>47</v>
      </c>
      <c r="CF297" s="7" t="s">
        <v>47</v>
      </c>
      <c r="CG297" s="7" t="s">
        <v>47</v>
      </c>
      <c r="CH297" s="7" t="s">
        <v>47</v>
      </c>
      <c r="CI297" s="7" t="s">
        <v>47</v>
      </c>
      <c r="CJ297" s="7" t="s">
        <v>47</v>
      </c>
    </row>
    <row r="298" spans="1:88" s="7" customFormat="1" x14ac:dyDescent="0.25">
      <c r="A298" t="s">
        <v>1484</v>
      </c>
      <c r="B298" t="s">
        <v>897</v>
      </c>
      <c r="C298" t="s">
        <v>1199</v>
      </c>
      <c r="D298" t="s">
        <v>2006</v>
      </c>
      <c r="E298">
        <v>3115</v>
      </c>
      <c r="F298" t="s">
        <v>424</v>
      </c>
      <c r="G298">
        <v>64</v>
      </c>
      <c r="H298" s="9">
        <v>2.75</v>
      </c>
      <c r="I298" t="s">
        <v>424</v>
      </c>
      <c r="J298" t="s">
        <v>424</v>
      </c>
      <c r="K298" t="s">
        <v>2197</v>
      </c>
      <c r="L298" t="s">
        <v>45</v>
      </c>
      <c r="M298" s="10"/>
      <c r="N298" s="7" t="s">
        <v>46</v>
      </c>
      <c r="O298" s="8">
        <v>1</v>
      </c>
      <c r="P298" s="8">
        <v>1</v>
      </c>
      <c r="Q298" s="7" t="s">
        <v>379</v>
      </c>
      <c r="R298" s="7" t="s">
        <v>50</v>
      </c>
      <c r="S298" s="7" t="s">
        <v>47</v>
      </c>
      <c r="T298" s="7" t="s">
        <v>47</v>
      </c>
      <c r="U298" s="7" t="s">
        <v>47</v>
      </c>
      <c r="V298" s="7" t="s">
        <v>47</v>
      </c>
      <c r="W298" s="7" t="s">
        <v>421</v>
      </c>
      <c r="X298" s="7" t="s">
        <v>336</v>
      </c>
      <c r="Y298" s="8" t="s">
        <v>47</v>
      </c>
      <c r="Z298" s="8" t="s">
        <v>47</v>
      </c>
      <c r="AA298" s="8" t="s">
        <v>47</v>
      </c>
      <c r="AB298" s="11" t="s">
        <v>47</v>
      </c>
      <c r="AC298" s="11" t="s">
        <v>47</v>
      </c>
      <c r="AD298" s="7" t="s">
        <v>47</v>
      </c>
      <c r="AF298" s="7" t="s">
        <v>47</v>
      </c>
      <c r="AG298" s="7" t="s">
        <v>47</v>
      </c>
      <c r="AH298" s="7" t="s">
        <v>47</v>
      </c>
      <c r="AI298" s="7" t="s">
        <v>47</v>
      </c>
      <c r="AL298" s="7" t="s">
        <v>47</v>
      </c>
      <c r="AO298" s="7" t="s">
        <v>47</v>
      </c>
      <c r="AP298" s="7" t="s">
        <v>47</v>
      </c>
      <c r="AQ298" s="7" t="s">
        <v>47</v>
      </c>
      <c r="AV298" s="7" t="s">
        <v>47</v>
      </c>
      <c r="AW298" s="7" t="s">
        <v>47</v>
      </c>
      <c r="AX298" s="12" t="s">
        <v>78</v>
      </c>
      <c r="AY298" s="12" t="s">
        <v>78</v>
      </c>
      <c r="BC298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8" s="7">
        <f>SUM(cna_product_database_catalog_website[[#This Row],[Box CBM]]*35.3147)</f>
        <v>0</v>
      </c>
      <c r="BE298" s="7" t="s">
        <v>47</v>
      </c>
      <c r="BI298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8" s="7">
        <f>SUM(cna_product_database_catalog_website[[#This Row],[Carton CFT]]/61024)</f>
        <v>0</v>
      </c>
      <c r="BM298" s="7" t="s">
        <v>47</v>
      </c>
      <c r="BN298" s="7" t="s">
        <v>47</v>
      </c>
      <c r="BO298" s="7" t="s">
        <v>47</v>
      </c>
      <c r="BP298" s="7" t="s">
        <v>47</v>
      </c>
      <c r="BQ298" s="7" t="s">
        <v>47</v>
      </c>
      <c r="BS298" s="7" t="s">
        <v>47</v>
      </c>
      <c r="BT298" s="7" t="s">
        <v>47</v>
      </c>
      <c r="BU298" s="7" t="s">
        <v>47</v>
      </c>
      <c r="BW298" s="7" t="s">
        <v>47</v>
      </c>
      <c r="BX298" s="7" t="s">
        <v>47</v>
      </c>
      <c r="BY298" s="7" t="s">
        <v>47</v>
      </c>
      <c r="BZ298" s="7" t="s">
        <v>47</v>
      </c>
      <c r="CA298" s="7" t="s">
        <v>47</v>
      </c>
      <c r="CB298" s="7" t="s">
        <v>47</v>
      </c>
      <c r="CC298" s="7" t="s">
        <v>47</v>
      </c>
      <c r="CD298" s="7" t="s">
        <v>47</v>
      </c>
      <c r="CE298" s="7" t="s">
        <v>47</v>
      </c>
      <c r="CF298" s="7" t="s">
        <v>47</v>
      </c>
      <c r="CG298" s="7" t="s">
        <v>47</v>
      </c>
      <c r="CH298" s="7" t="s">
        <v>47</v>
      </c>
      <c r="CI298" s="7" t="s">
        <v>47</v>
      </c>
      <c r="CJ298" s="7" t="s">
        <v>47</v>
      </c>
    </row>
    <row r="299" spans="1:88" s="7" customFormat="1" x14ac:dyDescent="0.25">
      <c r="A299" t="s">
        <v>1484</v>
      </c>
      <c r="B299" t="s">
        <v>897</v>
      </c>
      <c r="C299" t="s">
        <v>1200</v>
      </c>
      <c r="D299" t="s">
        <v>2007</v>
      </c>
      <c r="E299">
        <v>3120</v>
      </c>
      <c r="F299" t="s">
        <v>425</v>
      </c>
      <c r="G299">
        <v>67</v>
      </c>
      <c r="H299" s="9">
        <v>4.5</v>
      </c>
      <c r="I299" t="s">
        <v>425</v>
      </c>
      <c r="J299" t="s">
        <v>425</v>
      </c>
      <c r="K299" t="s">
        <v>2197</v>
      </c>
      <c r="L299" t="s">
        <v>45</v>
      </c>
      <c r="M299" s="10"/>
      <c r="N299" s="7" t="s">
        <v>46</v>
      </c>
      <c r="O299" s="8">
        <v>1</v>
      </c>
      <c r="P299" s="8">
        <v>1</v>
      </c>
      <c r="Q299" s="7" t="s">
        <v>390</v>
      </c>
      <c r="R299" s="7" t="s">
        <v>50</v>
      </c>
      <c r="S299" s="7" t="s">
        <v>47</v>
      </c>
      <c r="T299" s="7" t="s">
        <v>47</v>
      </c>
      <c r="U299" s="7" t="s">
        <v>47</v>
      </c>
      <c r="V299" s="7" t="s">
        <v>47</v>
      </c>
      <c r="W299" s="7" t="s">
        <v>421</v>
      </c>
      <c r="X299" s="7" t="s">
        <v>336</v>
      </c>
      <c r="Y299" s="8" t="s">
        <v>47</v>
      </c>
      <c r="Z299" s="8" t="s">
        <v>47</v>
      </c>
      <c r="AA299" s="8" t="s">
        <v>47</v>
      </c>
      <c r="AB299" s="11" t="s">
        <v>47</v>
      </c>
      <c r="AC299" s="11" t="s">
        <v>47</v>
      </c>
      <c r="AD299" s="7" t="s">
        <v>47</v>
      </c>
      <c r="AF299" s="7" t="s">
        <v>47</v>
      </c>
      <c r="AG299" s="7" t="s">
        <v>47</v>
      </c>
      <c r="AH299" s="7" t="s">
        <v>47</v>
      </c>
      <c r="AI299" s="7" t="s">
        <v>47</v>
      </c>
      <c r="AL299" s="7" t="s">
        <v>47</v>
      </c>
      <c r="AO299" s="7" t="s">
        <v>47</v>
      </c>
      <c r="AP299" s="7" t="s">
        <v>47</v>
      </c>
      <c r="AQ299" s="7" t="s">
        <v>47</v>
      </c>
      <c r="AV299" s="7" t="s">
        <v>47</v>
      </c>
      <c r="AW299" s="7" t="s">
        <v>47</v>
      </c>
      <c r="AX299" s="12" t="s">
        <v>78</v>
      </c>
      <c r="AY299" s="12" t="s">
        <v>78</v>
      </c>
      <c r="BC299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299" s="7">
        <f>SUM(cna_product_database_catalog_website[[#This Row],[Box CBM]]*35.3147)</f>
        <v>0</v>
      </c>
      <c r="BE299" s="7" t="s">
        <v>47</v>
      </c>
      <c r="BI299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299" s="7">
        <f>SUM(cna_product_database_catalog_website[[#This Row],[Carton CFT]]/61024)</f>
        <v>0</v>
      </c>
      <c r="BM299" s="7" t="s">
        <v>47</v>
      </c>
      <c r="BN299" s="7" t="s">
        <v>47</v>
      </c>
      <c r="BO299" s="7" t="s">
        <v>47</v>
      </c>
      <c r="BP299" s="7" t="s">
        <v>47</v>
      </c>
      <c r="BQ299" s="7" t="s">
        <v>47</v>
      </c>
      <c r="BS299" s="7" t="s">
        <v>47</v>
      </c>
      <c r="BT299" s="7" t="s">
        <v>47</v>
      </c>
      <c r="BU299" s="7" t="s">
        <v>47</v>
      </c>
      <c r="BW299" s="7" t="s">
        <v>47</v>
      </c>
      <c r="BX299" s="7" t="s">
        <v>47</v>
      </c>
      <c r="BY299" s="7" t="s">
        <v>47</v>
      </c>
      <c r="BZ299" s="7" t="s">
        <v>47</v>
      </c>
      <c r="CA299" s="7" t="s">
        <v>47</v>
      </c>
      <c r="CB299" s="7" t="s">
        <v>47</v>
      </c>
      <c r="CC299" s="7" t="s">
        <v>47</v>
      </c>
      <c r="CD299" s="7" t="s">
        <v>47</v>
      </c>
      <c r="CE299" s="7" t="s">
        <v>47</v>
      </c>
      <c r="CF299" s="7" t="s">
        <v>47</v>
      </c>
      <c r="CG299" s="7" t="s">
        <v>47</v>
      </c>
      <c r="CH299" s="7" t="s">
        <v>47</v>
      </c>
      <c r="CI299" s="7" t="s">
        <v>47</v>
      </c>
      <c r="CJ299" s="7" t="s">
        <v>47</v>
      </c>
    </row>
    <row r="300" spans="1:88" s="7" customFormat="1" x14ac:dyDescent="0.25">
      <c r="A300" t="s">
        <v>1484</v>
      </c>
      <c r="B300" t="s">
        <v>700</v>
      </c>
      <c r="C300" t="s">
        <v>1201</v>
      </c>
      <c r="D300" t="s">
        <v>2008</v>
      </c>
      <c r="E300">
        <v>3215</v>
      </c>
      <c r="F300" t="s">
        <v>427</v>
      </c>
      <c r="G300">
        <v>525</v>
      </c>
      <c r="H300" s="9">
        <v>3.25</v>
      </c>
      <c r="I300" t="s">
        <v>427</v>
      </c>
      <c r="J300" t="s">
        <v>427</v>
      </c>
      <c r="K300" t="s">
        <v>2198</v>
      </c>
      <c r="L300" t="s">
        <v>45</v>
      </c>
      <c r="M300" s="10"/>
      <c r="N300" s="7" t="s">
        <v>46</v>
      </c>
      <c r="O300" s="8">
        <v>1</v>
      </c>
      <c r="P300" s="8">
        <v>1</v>
      </c>
      <c r="Q300" s="7" t="s">
        <v>383</v>
      </c>
      <c r="R300" s="7" t="s">
        <v>50</v>
      </c>
      <c r="S300" s="7" t="s">
        <v>428</v>
      </c>
      <c r="T300" s="7" t="s">
        <v>47</v>
      </c>
      <c r="U300" s="7" t="s">
        <v>341</v>
      </c>
      <c r="V300" s="7" t="s">
        <v>47</v>
      </c>
      <c r="W300" s="7" t="s">
        <v>68</v>
      </c>
      <c r="X300" s="7" t="s">
        <v>336</v>
      </c>
      <c r="Y300" s="8" t="s">
        <v>47</v>
      </c>
      <c r="Z300" s="8" t="s">
        <v>47</v>
      </c>
      <c r="AA300" s="8" t="s">
        <v>47</v>
      </c>
      <c r="AB300" s="11" t="s">
        <v>47</v>
      </c>
      <c r="AC300" s="11" t="s">
        <v>47</v>
      </c>
      <c r="AD300" s="7" t="s">
        <v>47</v>
      </c>
      <c r="AF300" s="7" t="s">
        <v>47</v>
      </c>
      <c r="AG300" s="7" t="s">
        <v>47</v>
      </c>
      <c r="AH300" s="7" t="s">
        <v>47</v>
      </c>
      <c r="AI300" s="7" t="s">
        <v>47</v>
      </c>
      <c r="AL300" s="7" t="s">
        <v>47</v>
      </c>
      <c r="AO300" s="7" t="s">
        <v>47</v>
      </c>
      <c r="AP300" s="7" t="s">
        <v>47</v>
      </c>
      <c r="AQ300" s="7" t="s">
        <v>47</v>
      </c>
      <c r="AV300" s="7" t="s">
        <v>426</v>
      </c>
      <c r="AW300" s="7" t="s">
        <v>47</v>
      </c>
      <c r="AX300" s="12" t="s">
        <v>64</v>
      </c>
      <c r="AY300" s="12" t="s">
        <v>64</v>
      </c>
      <c r="BC300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0" s="7">
        <f>SUM(cna_product_database_catalog_website[[#This Row],[Box CBM]]*35.3147)</f>
        <v>0</v>
      </c>
      <c r="BE300" s="7" t="s">
        <v>47</v>
      </c>
      <c r="BI300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0" s="7">
        <f>SUM(cna_product_database_catalog_website[[#This Row],[Carton CFT]]/61024)</f>
        <v>0</v>
      </c>
      <c r="BM300" s="7" t="s">
        <v>47</v>
      </c>
      <c r="BN300" s="7" t="s">
        <v>47</v>
      </c>
      <c r="BO300" s="7" t="s">
        <v>47</v>
      </c>
      <c r="BP300" s="7" t="s">
        <v>47</v>
      </c>
      <c r="BQ300" s="7" t="s">
        <v>47</v>
      </c>
      <c r="BS300" s="7" t="s">
        <v>47</v>
      </c>
      <c r="BT300" s="7" t="s">
        <v>47</v>
      </c>
      <c r="BU300" s="7" t="s">
        <v>47</v>
      </c>
      <c r="BW300" s="7" t="s">
        <v>47</v>
      </c>
      <c r="BX300" s="7" t="s">
        <v>47</v>
      </c>
      <c r="BY300" s="7" t="s">
        <v>47</v>
      </c>
      <c r="BZ300" s="7" t="s">
        <v>47</v>
      </c>
      <c r="CA300" s="7" t="s">
        <v>47</v>
      </c>
      <c r="CB300" s="7" t="s">
        <v>47</v>
      </c>
      <c r="CC300" s="7" t="s">
        <v>47</v>
      </c>
      <c r="CD300" s="7" t="s">
        <v>47</v>
      </c>
      <c r="CE300" s="7" t="s">
        <v>47</v>
      </c>
      <c r="CF300" s="7" t="s">
        <v>47</v>
      </c>
      <c r="CG300" s="7" t="s">
        <v>47</v>
      </c>
      <c r="CH300" s="7" t="s">
        <v>47</v>
      </c>
      <c r="CI300" s="7" t="s">
        <v>47</v>
      </c>
      <c r="CJ300" s="7" t="s">
        <v>47</v>
      </c>
    </row>
    <row r="301" spans="1:88" s="7" customFormat="1" x14ac:dyDescent="0.25">
      <c r="A301" t="s">
        <v>1484</v>
      </c>
      <c r="B301" t="s">
        <v>700</v>
      </c>
      <c r="C301" t="s">
        <v>1202</v>
      </c>
      <c r="D301" t="s">
        <v>2009</v>
      </c>
      <c r="E301">
        <v>3220</v>
      </c>
      <c r="F301" t="s">
        <v>429</v>
      </c>
      <c r="G301">
        <v>529</v>
      </c>
      <c r="H301" s="9">
        <v>3.25</v>
      </c>
      <c r="I301" t="s">
        <v>429</v>
      </c>
      <c r="J301" t="s">
        <v>429</v>
      </c>
      <c r="K301" t="s">
        <v>2199</v>
      </c>
      <c r="L301" t="s">
        <v>45</v>
      </c>
      <c r="M301" s="10"/>
      <c r="N301" s="7" t="s">
        <v>46</v>
      </c>
      <c r="O301" s="8">
        <v>1</v>
      </c>
      <c r="P301" s="8">
        <v>1</v>
      </c>
      <c r="Q301" s="7" t="s">
        <v>334</v>
      </c>
      <c r="R301" s="7" t="s">
        <v>50</v>
      </c>
      <c r="S301" s="7" t="s">
        <v>199</v>
      </c>
      <c r="T301" s="7" t="s">
        <v>47</v>
      </c>
      <c r="U301" s="7" t="s">
        <v>341</v>
      </c>
      <c r="V301" s="7" t="s">
        <v>47</v>
      </c>
      <c r="W301" s="7" t="s">
        <v>68</v>
      </c>
      <c r="X301" s="7" t="s">
        <v>336</v>
      </c>
      <c r="Y301" s="8" t="s">
        <v>47</v>
      </c>
      <c r="Z301" s="8" t="s">
        <v>47</v>
      </c>
      <c r="AA301" s="8" t="s">
        <v>47</v>
      </c>
      <c r="AB301" s="11" t="s">
        <v>47</v>
      </c>
      <c r="AC301" s="11" t="s">
        <v>47</v>
      </c>
      <c r="AD301" s="7" t="s">
        <v>47</v>
      </c>
      <c r="AF301" s="7" t="s">
        <v>47</v>
      </c>
      <c r="AG301" s="7" t="s">
        <v>47</v>
      </c>
      <c r="AH301" s="7" t="s">
        <v>47</v>
      </c>
      <c r="AI301" s="7" t="s">
        <v>47</v>
      </c>
      <c r="AL301" s="7" t="s">
        <v>47</v>
      </c>
      <c r="AO301" s="7" t="s">
        <v>47</v>
      </c>
      <c r="AP301" s="7" t="s">
        <v>47</v>
      </c>
      <c r="AQ301" s="7" t="s">
        <v>47</v>
      </c>
      <c r="AV301" s="7" t="s">
        <v>426</v>
      </c>
      <c r="AW301" s="7" t="s">
        <v>47</v>
      </c>
      <c r="AX301" s="12" t="s">
        <v>64</v>
      </c>
      <c r="AY301" s="12" t="s">
        <v>64</v>
      </c>
      <c r="BC301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1" s="7">
        <f>SUM(cna_product_database_catalog_website[[#This Row],[Box CBM]]*35.3147)</f>
        <v>0</v>
      </c>
      <c r="BE301" s="7" t="s">
        <v>47</v>
      </c>
      <c r="BI301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1" s="7">
        <f>SUM(cna_product_database_catalog_website[[#This Row],[Carton CFT]]/61024)</f>
        <v>0</v>
      </c>
      <c r="BM301" s="7" t="s">
        <v>47</v>
      </c>
      <c r="BN301" s="7" t="s">
        <v>47</v>
      </c>
      <c r="BO301" s="7" t="s">
        <v>47</v>
      </c>
      <c r="BP301" s="7" t="s">
        <v>47</v>
      </c>
      <c r="BQ301" s="7" t="s">
        <v>47</v>
      </c>
      <c r="BS301" s="7" t="s">
        <v>47</v>
      </c>
      <c r="BT301" s="7" t="s">
        <v>47</v>
      </c>
      <c r="BU301" s="7" t="s">
        <v>47</v>
      </c>
      <c r="BW301" s="7" t="s">
        <v>47</v>
      </c>
      <c r="BX301" s="7" t="s">
        <v>47</v>
      </c>
      <c r="BY301" s="7" t="s">
        <v>47</v>
      </c>
      <c r="BZ301" s="7" t="s">
        <v>47</v>
      </c>
      <c r="CA301" s="7" t="s">
        <v>47</v>
      </c>
      <c r="CB301" s="7" t="s">
        <v>47</v>
      </c>
      <c r="CC301" s="7" t="s">
        <v>47</v>
      </c>
      <c r="CD301" s="7" t="s">
        <v>47</v>
      </c>
      <c r="CE301" s="7" t="s">
        <v>47</v>
      </c>
      <c r="CF301" s="7" t="s">
        <v>47</v>
      </c>
      <c r="CG301" s="7" t="s">
        <v>47</v>
      </c>
      <c r="CH301" s="7" t="s">
        <v>47</v>
      </c>
      <c r="CI301" s="7" t="s">
        <v>47</v>
      </c>
      <c r="CJ301" s="7" t="s">
        <v>47</v>
      </c>
    </row>
    <row r="302" spans="1:88" s="7" customFormat="1" x14ac:dyDescent="0.25">
      <c r="A302" t="s">
        <v>1484</v>
      </c>
      <c r="B302" t="s">
        <v>700</v>
      </c>
      <c r="C302" t="s">
        <v>1203</v>
      </c>
      <c r="D302" t="s">
        <v>2010</v>
      </c>
      <c r="E302">
        <v>3230</v>
      </c>
      <c r="F302" t="s">
        <v>430</v>
      </c>
      <c r="G302">
        <v>129</v>
      </c>
      <c r="H302" s="9">
        <v>3.25</v>
      </c>
      <c r="I302" t="s">
        <v>430</v>
      </c>
      <c r="J302" t="s">
        <v>430</v>
      </c>
      <c r="K302" t="s">
        <v>2199</v>
      </c>
      <c r="L302" t="s">
        <v>45</v>
      </c>
      <c r="M302" s="10"/>
      <c r="N302" s="7" t="s">
        <v>46</v>
      </c>
      <c r="O302" s="8">
        <v>1</v>
      </c>
      <c r="P302" s="8">
        <v>1</v>
      </c>
      <c r="Q302" s="7" t="s">
        <v>383</v>
      </c>
      <c r="R302" s="7" t="s">
        <v>50</v>
      </c>
      <c r="S302" s="7" t="s">
        <v>219</v>
      </c>
      <c r="T302" s="7" t="s">
        <v>47</v>
      </c>
      <c r="U302" s="7" t="s">
        <v>341</v>
      </c>
      <c r="V302" s="7" t="s">
        <v>47</v>
      </c>
      <c r="W302" s="7" t="s">
        <v>68</v>
      </c>
      <c r="X302" s="7" t="s">
        <v>336</v>
      </c>
      <c r="Y302" s="8" t="s">
        <v>47</v>
      </c>
      <c r="Z302" s="8" t="s">
        <v>47</v>
      </c>
      <c r="AA302" s="8" t="s">
        <v>47</v>
      </c>
      <c r="AB302" s="11" t="s">
        <v>47</v>
      </c>
      <c r="AC302" s="11" t="s">
        <v>47</v>
      </c>
      <c r="AD302" s="7" t="s">
        <v>47</v>
      </c>
      <c r="AF302" s="7" t="s">
        <v>47</v>
      </c>
      <c r="AG302" s="7" t="s">
        <v>47</v>
      </c>
      <c r="AH302" s="7" t="s">
        <v>47</v>
      </c>
      <c r="AI302" s="7" t="s">
        <v>47</v>
      </c>
      <c r="AL302" s="7" t="s">
        <v>47</v>
      </c>
      <c r="AO302" s="7" t="s">
        <v>47</v>
      </c>
      <c r="AP302" s="7" t="s">
        <v>47</v>
      </c>
      <c r="AQ302" s="7" t="s">
        <v>47</v>
      </c>
      <c r="AV302" s="7" t="s">
        <v>426</v>
      </c>
      <c r="AW302" s="7" t="s">
        <v>47</v>
      </c>
      <c r="AX302" s="12" t="s">
        <v>64</v>
      </c>
      <c r="AY302" s="12" t="s">
        <v>64</v>
      </c>
      <c r="BC302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2" s="7">
        <f>SUM(cna_product_database_catalog_website[[#This Row],[Box CBM]]*35.3147)</f>
        <v>0</v>
      </c>
      <c r="BE302" s="7" t="s">
        <v>47</v>
      </c>
      <c r="BI302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2" s="7">
        <f>SUM(cna_product_database_catalog_website[[#This Row],[Carton CFT]]/61024)</f>
        <v>0</v>
      </c>
      <c r="BM302" s="7" t="s">
        <v>47</v>
      </c>
      <c r="BN302" s="7" t="s">
        <v>47</v>
      </c>
      <c r="BO302" s="7" t="s">
        <v>47</v>
      </c>
      <c r="BP302" s="7" t="s">
        <v>47</v>
      </c>
      <c r="BQ302" s="7" t="s">
        <v>47</v>
      </c>
      <c r="BS302" s="7" t="s">
        <v>47</v>
      </c>
      <c r="BT302" s="7" t="s">
        <v>47</v>
      </c>
      <c r="BU302" s="7" t="s">
        <v>47</v>
      </c>
      <c r="BW302" s="7" t="s">
        <v>47</v>
      </c>
      <c r="BX302" s="7" t="s">
        <v>47</v>
      </c>
      <c r="BY302" s="7" t="s">
        <v>47</v>
      </c>
      <c r="BZ302" s="7" t="s">
        <v>47</v>
      </c>
      <c r="CA302" s="7" t="s">
        <v>47</v>
      </c>
      <c r="CB302" s="7" t="s">
        <v>47</v>
      </c>
      <c r="CC302" s="7" t="s">
        <v>47</v>
      </c>
      <c r="CD302" s="7" t="s">
        <v>47</v>
      </c>
      <c r="CE302" s="7" t="s">
        <v>47</v>
      </c>
      <c r="CF302" s="7" t="s">
        <v>47</v>
      </c>
      <c r="CG302" s="7" t="s">
        <v>47</v>
      </c>
      <c r="CH302" s="7" t="s">
        <v>47</v>
      </c>
      <c r="CI302" s="7" t="s">
        <v>47</v>
      </c>
      <c r="CJ302" s="7" t="s">
        <v>47</v>
      </c>
    </row>
    <row r="303" spans="1:88" s="7" customFormat="1" x14ac:dyDescent="0.25">
      <c r="A303" t="s">
        <v>930</v>
      </c>
      <c r="B303" t="s">
        <v>701</v>
      </c>
      <c r="C303" t="s">
        <v>1204</v>
      </c>
      <c r="D303" t="s">
        <v>2011</v>
      </c>
      <c r="E303">
        <v>3500</v>
      </c>
      <c r="F303" t="s">
        <v>431</v>
      </c>
      <c r="G303">
        <v>594</v>
      </c>
      <c r="H303" s="9">
        <v>2.25</v>
      </c>
      <c r="I303" t="s">
        <v>431</v>
      </c>
      <c r="J303" t="s">
        <v>431</v>
      </c>
      <c r="K303" t="s">
        <v>2200</v>
      </c>
      <c r="L303" t="s">
        <v>45</v>
      </c>
      <c r="M303" s="10"/>
      <c r="N303" s="7" t="s">
        <v>46</v>
      </c>
      <c r="O303" s="8">
        <v>1</v>
      </c>
      <c r="P303" s="8">
        <v>1</v>
      </c>
      <c r="Q303" s="7" t="s">
        <v>432</v>
      </c>
      <c r="R303" s="7" t="s">
        <v>433</v>
      </c>
      <c r="S303" s="7" t="s">
        <v>101</v>
      </c>
      <c r="T303" s="7" t="s">
        <v>213</v>
      </c>
      <c r="U303" s="7" t="s">
        <v>434</v>
      </c>
      <c r="V303" s="7" t="s">
        <v>435</v>
      </c>
      <c r="W303" s="7" t="s">
        <v>68</v>
      </c>
      <c r="X303" s="7" t="s">
        <v>59</v>
      </c>
      <c r="Y303" s="8" t="s">
        <v>47</v>
      </c>
      <c r="Z303" s="8" t="s">
        <v>552</v>
      </c>
      <c r="AA303" s="8" t="s">
        <v>69</v>
      </c>
      <c r="AB303" s="11" t="s">
        <v>47</v>
      </c>
      <c r="AC303" s="11" t="s">
        <v>47</v>
      </c>
      <c r="AD303" s="7" t="s">
        <v>53</v>
      </c>
      <c r="AF303" s="7" t="s">
        <v>47</v>
      </c>
      <c r="AG303" s="7" t="s">
        <v>436</v>
      </c>
      <c r="AH303" s="7" t="s">
        <v>47</v>
      </c>
      <c r="AI303" s="7" t="s">
        <v>47</v>
      </c>
      <c r="AL303" s="7" t="s">
        <v>47</v>
      </c>
      <c r="AO303" s="7" t="s">
        <v>437</v>
      </c>
      <c r="AP303" s="7" t="s">
        <v>45</v>
      </c>
      <c r="AQ303" s="7" t="s">
        <v>47</v>
      </c>
      <c r="AV303" s="7" t="s">
        <v>438</v>
      </c>
      <c r="AW303" s="7" t="s">
        <v>47</v>
      </c>
      <c r="AX303" s="12" t="s">
        <v>78</v>
      </c>
      <c r="AY303" s="12" t="s">
        <v>57</v>
      </c>
      <c r="BC303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3" s="7">
        <f>SUM(cna_product_database_catalog_website[[#This Row],[Box CBM]]*35.3147)</f>
        <v>0</v>
      </c>
      <c r="BE303" s="7" t="s">
        <v>47</v>
      </c>
      <c r="BI303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3" s="7">
        <f>SUM(cna_product_database_catalog_website[[#This Row],[Carton CFT]]/61024)</f>
        <v>0</v>
      </c>
      <c r="BM303" s="7" t="s">
        <v>47</v>
      </c>
      <c r="BN303" s="7" t="s">
        <v>47</v>
      </c>
      <c r="BO303" s="7" t="s">
        <v>47</v>
      </c>
      <c r="BP303" s="7" t="s">
        <v>47</v>
      </c>
      <c r="BQ303" s="7" t="s">
        <v>47</v>
      </c>
      <c r="BS303" s="7" t="s">
        <v>47</v>
      </c>
      <c r="BT303" s="7" t="s">
        <v>47</v>
      </c>
      <c r="BU303" s="7" t="s">
        <v>47</v>
      </c>
      <c r="BW303" s="7" t="s">
        <v>47</v>
      </c>
      <c r="BX303" s="7" t="s">
        <v>47</v>
      </c>
      <c r="BY303" s="7" t="s">
        <v>47</v>
      </c>
      <c r="BZ303" s="7" t="s">
        <v>47</v>
      </c>
      <c r="CA303" s="7" t="s">
        <v>47</v>
      </c>
      <c r="CB303" s="7" t="s">
        <v>47</v>
      </c>
      <c r="CC303" s="7" t="s">
        <v>47</v>
      </c>
      <c r="CD303" s="7" t="s">
        <v>47</v>
      </c>
      <c r="CE303" s="7" t="s">
        <v>47</v>
      </c>
      <c r="CF303" s="7" t="s">
        <v>47</v>
      </c>
      <c r="CG303" s="7" t="s">
        <v>47</v>
      </c>
      <c r="CH303" s="7" t="s">
        <v>47</v>
      </c>
      <c r="CI303" s="7" t="s">
        <v>47</v>
      </c>
      <c r="CJ303" s="7" t="s">
        <v>47</v>
      </c>
    </row>
    <row r="304" spans="1:88" s="7" customFormat="1" x14ac:dyDescent="0.25">
      <c r="A304" t="s">
        <v>930</v>
      </c>
      <c r="B304" t="s">
        <v>701</v>
      </c>
      <c r="C304" t="s">
        <v>1205</v>
      </c>
      <c r="D304" t="s">
        <v>2012</v>
      </c>
      <c r="E304">
        <v>3505</v>
      </c>
      <c r="F304" t="s">
        <v>439</v>
      </c>
      <c r="G304">
        <v>595</v>
      </c>
      <c r="H304" s="9">
        <v>2.25</v>
      </c>
      <c r="I304" t="s">
        <v>439</v>
      </c>
      <c r="J304" t="s">
        <v>439</v>
      </c>
      <c r="K304" t="s">
        <v>2200</v>
      </c>
      <c r="L304" t="s">
        <v>45</v>
      </c>
      <c r="M304" s="10"/>
      <c r="N304" s="7" t="s">
        <v>46</v>
      </c>
      <c r="O304" s="8">
        <v>1</v>
      </c>
      <c r="P304" s="8">
        <v>1</v>
      </c>
      <c r="Q304" s="7" t="s">
        <v>432</v>
      </c>
      <c r="R304" s="7" t="s">
        <v>433</v>
      </c>
      <c r="S304" s="7" t="s">
        <v>101</v>
      </c>
      <c r="T304" s="7" t="s">
        <v>440</v>
      </c>
      <c r="U304" s="7" t="s">
        <v>434</v>
      </c>
      <c r="V304" s="7" t="s">
        <v>435</v>
      </c>
      <c r="W304" s="7" t="s">
        <v>68</v>
      </c>
      <c r="X304" s="7" t="s">
        <v>441</v>
      </c>
      <c r="Y304" s="8" t="s">
        <v>47</v>
      </c>
      <c r="Z304" s="8" t="s">
        <v>552</v>
      </c>
      <c r="AA304" s="8" t="s">
        <v>69</v>
      </c>
      <c r="AB304" s="11" t="s">
        <v>47</v>
      </c>
      <c r="AC304" s="11" t="s">
        <v>47</v>
      </c>
      <c r="AD304" s="7" t="s">
        <v>53</v>
      </c>
      <c r="AF304" s="7" t="s">
        <v>47</v>
      </c>
      <c r="AG304" s="7" t="s">
        <v>436</v>
      </c>
      <c r="AH304" s="7" t="s">
        <v>47</v>
      </c>
      <c r="AI304" s="7" t="s">
        <v>47</v>
      </c>
      <c r="AL304" s="7" t="s">
        <v>47</v>
      </c>
      <c r="AO304" s="7" t="s">
        <v>437</v>
      </c>
      <c r="AP304" s="7" t="s">
        <v>47</v>
      </c>
      <c r="AQ304" s="7" t="s">
        <v>47</v>
      </c>
      <c r="AV304" s="7" t="s">
        <v>438</v>
      </c>
      <c r="AW304" s="7" t="s">
        <v>47</v>
      </c>
      <c r="AX304" s="12" t="s">
        <v>78</v>
      </c>
      <c r="AY304" s="12" t="s">
        <v>57</v>
      </c>
      <c r="BC304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4" s="7">
        <f>SUM(cna_product_database_catalog_website[[#This Row],[Box CBM]]*35.3147)</f>
        <v>0</v>
      </c>
      <c r="BE304" s="7" t="s">
        <v>47</v>
      </c>
      <c r="BI304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4" s="7">
        <f>SUM(cna_product_database_catalog_website[[#This Row],[Carton CFT]]/61024)</f>
        <v>0</v>
      </c>
      <c r="BM304" s="7" t="s">
        <v>47</v>
      </c>
      <c r="BN304" s="7" t="s">
        <v>47</v>
      </c>
      <c r="BO304" s="7" t="s">
        <v>47</v>
      </c>
      <c r="BP304" s="7" t="s">
        <v>47</v>
      </c>
      <c r="BQ304" s="7" t="s">
        <v>47</v>
      </c>
      <c r="BS304" s="7" t="s">
        <v>47</v>
      </c>
      <c r="BT304" s="7" t="s">
        <v>47</v>
      </c>
      <c r="BU304" s="7" t="s">
        <v>47</v>
      </c>
      <c r="BW304" s="7" t="s">
        <v>47</v>
      </c>
      <c r="BX304" s="7" t="s">
        <v>47</v>
      </c>
      <c r="BY304" s="7" t="s">
        <v>47</v>
      </c>
      <c r="BZ304" s="7" t="s">
        <v>47</v>
      </c>
      <c r="CA304" s="7" t="s">
        <v>47</v>
      </c>
      <c r="CB304" s="7" t="s">
        <v>47</v>
      </c>
      <c r="CC304" s="7" t="s">
        <v>47</v>
      </c>
      <c r="CD304" s="7" t="s">
        <v>47</v>
      </c>
      <c r="CE304" s="7" t="s">
        <v>47</v>
      </c>
      <c r="CF304" s="7" t="s">
        <v>47</v>
      </c>
      <c r="CG304" s="7" t="s">
        <v>47</v>
      </c>
      <c r="CH304" s="7" t="s">
        <v>47</v>
      </c>
      <c r="CI304" s="7" t="s">
        <v>47</v>
      </c>
      <c r="CJ304" s="7" t="s">
        <v>47</v>
      </c>
    </row>
    <row r="305" spans="1:88" s="7" customFormat="1" x14ac:dyDescent="0.25">
      <c r="A305" t="s">
        <v>930</v>
      </c>
      <c r="B305" t="s">
        <v>701</v>
      </c>
      <c r="C305" t="s">
        <v>1205</v>
      </c>
      <c r="D305" t="s">
        <v>2012</v>
      </c>
      <c r="E305">
        <v>3510</v>
      </c>
      <c r="F305" t="s">
        <v>442</v>
      </c>
      <c r="G305">
        <v>144</v>
      </c>
      <c r="H305" s="9">
        <v>2.25</v>
      </c>
      <c r="I305" t="s">
        <v>442</v>
      </c>
      <c r="J305" t="s">
        <v>442</v>
      </c>
      <c r="K305" t="s">
        <v>2201</v>
      </c>
      <c r="L305" t="s">
        <v>45</v>
      </c>
      <c r="M305" s="10"/>
      <c r="N305" s="7" t="s">
        <v>46</v>
      </c>
      <c r="O305" s="8">
        <v>1</v>
      </c>
      <c r="P305" s="8">
        <v>1</v>
      </c>
      <c r="Q305" s="7" t="s">
        <v>432</v>
      </c>
      <c r="R305" s="7" t="s">
        <v>433</v>
      </c>
      <c r="S305" s="7" t="s">
        <v>101</v>
      </c>
      <c r="T305" s="7" t="s">
        <v>213</v>
      </c>
      <c r="U305" s="7" t="s">
        <v>434</v>
      </c>
      <c r="V305" s="7" t="s">
        <v>435</v>
      </c>
      <c r="W305" s="7" t="s">
        <v>443</v>
      </c>
      <c r="X305" s="7" t="s">
        <v>441</v>
      </c>
      <c r="Y305" s="8" t="s">
        <v>47</v>
      </c>
      <c r="Z305" s="8" t="s">
        <v>552</v>
      </c>
      <c r="AA305" s="8" t="s">
        <v>69</v>
      </c>
      <c r="AB305" s="11" t="s">
        <v>47</v>
      </c>
      <c r="AC305" s="11" t="s">
        <v>47</v>
      </c>
      <c r="AD305" s="7" t="s">
        <v>53</v>
      </c>
      <c r="AF305" s="7" t="s">
        <v>47</v>
      </c>
      <c r="AG305" s="7" t="s">
        <v>444</v>
      </c>
      <c r="AH305" s="7" t="s">
        <v>47</v>
      </c>
      <c r="AI305" s="7" t="s">
        <v>47</v>
      </c>
      <c r="AL305" s="7" t="s">
        <v>47</v>
      </c>
      <c r="AO305" s="7" t="s">
        <v>437</v>
      </c>
      <c r="AP305" s="7" t="s">
        <v>47</v>
      </c>
      <c r="AQ305" s="7" t="s">
        <v>47</v>
      </c>
      <c r="AV305" s="7" t="s">
        <v>438</v>
      </c>
      <c r="AW305" s="7" t="s">
        <v>47</v>
      </c>
      <c r="AX305" s="12" t="s">
        <v>78</v>
      </c>
      <c r="AY305" s="12" t="s">
        <v>57</v>
      </c>
      <c r="BC305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5" s="7">
        <f>SUM(cna_product_database_catalog_website[[#This Row],[Box CBM]]*35.3147)</f>
        <v>0</v>
      </c>
      <c r="BE305" s="7" t="s">
        <v>47</v>
      </c>
      <c r="BI305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5" s="7">
        <f>SUM(cna_product_database_catalog_website[[#This Row],[Carton CFT]]/61024)</f>
        <v>0</v>
      </c>
      <c r="BM305" s="7" t="s">
        <v>47</v>
      </c>
      <c r="BN305" s="7" t="s">
        <v>47</v>
      </c>
      <c r="BO305" s="7" t="s">
        <v>47</v>
      </c>
      <c r="BP305" s="7" t="s">
        <v>47</v>
      </c>
      <c r="BQ305" s="7" t="s">
        <v>47</v>
      </c>
      <c r="BS305" s="7" t="s">
        <v>47</v>
      </c>
      <c r="BT305" s="7" t="s">
        <v>47</v>
      </c>
      <c r="BU305" s="7" t="s">
        <v>47</v>
      </c>
      <c r="BW305" s="7" t="s">
        <v>47</v>
      </c>
      <c r="BX305" s="7" t="s">
        <v>47</v>
      </c>
      <c r="BY305" s="7" t="s">
        <v>47</v>
      </c>
      <c r="BZ305" s="7" t="s">
        <v>47</v>
      </c>
      <c r="CA305" s="7" t="s">
        <v>47</v>
      </c>
      <c r="CB305" s="7" t="s">
        <v>47</v>
      </c>
      <c r="CC305" s="7" t="s">
        <v>47</v>
      </c>
      <c r="CD305" s="7" t="s">
        <v>47</v>
      </c>
      <c r="CE305" s="7" t="s">
        <v>47</v>
      </c>
      <c r="CF305" s="7" t="s">
        <v>47</v>
      </c>
      <c r="CG305" s="7" t="s">
        <v>47</v>
      </c>
      <c r="CH305" s="7" t="s">
        <v>47</v>
      </c>
      <c r="CI305" s="7" t="s">
        <v>47</v>
      </c>
      <c r="CJ305" s="7" t="s">
        <v>47</v>
      </c>
    </row>
    <row r="306" spans="1:88" s="7" customFormat="1" x14ac:dyDescent="0.25">
      <c r="A306" t="s">
        <v>930</v>
      </c>
      <c r="B306" t="s">
        <v>702</v>
      </c>
      <c r="C306" t="s">
        <v>1206</v>
      </c>
      <c r="D306" t="s">
        <v>2013</v>
      </c>
      <c r="E306">
        <v>3550</v>
      </c>
      <c r="F306" t="s">
        <v>445</v>
      </c>
      <c r="G306">
        <v>674</v>
      </c>
      <c r="H306" s="9">
        <v>2</v>
      </c>
      <c r="I306" t="s">
        <v>445</v>
      </c>
      <c r="J306" t="s">
        <v>445</v>
      </c>
      <c r="K306" t="s">
        <v>2202</v>
      </c>
      <c r="L306" t="s">
        <v>45</v>
      </c>
      <c r="M306" s="10"/>
      <c r="N306" s="7" t="s">
        <v>46</v>
      </c>
      <c r="O306" s="8">
        <v>1</v>
      </c>
      <c r="P306" s="8">
        <v>1</v>
      </c>
      <c r="Q306" s="7" t="s">
        <v>92</v>
      </c>
      <c r="R306" s="7" t="s">
        <v>50</v>
      </c>
      <c r="S306" s="7" t="s">
        <v>47</v>
      </c>
      <c r="T306" s="7" t="s">
        <v>47</v>
      </c>
      <c r="U306" s="7" t="s">
        <v>47</v>
      </c>
      <c r="V306" s="7" t="s">
        <v>47</v>
      </c>
      <c r="W306" s="7" t="s">
        <v>68</v>
      </c>
      <c r="X306" s="7" t="s">
        <v>59</v>
      </c>
      <c r="Y306" s="8" t="s">
        <v>47</v>
      </c>
      <c r="Z306" s="8" t="s">
        <v>446</v>
      </c>
      <c r="AA306" s="8" t="s">
        <v>47</v>
      </c>
      <c r="AB306" s="11" t="s">
        <v>47</v>
      </c>
      <c r="AC306" s="11" t="s">
        <v>47</v>
      </c>
      <c r="AD306" s="7" t="s">
        <v>47</v>
      </c>
      <c r="AF306" s="7" t="s">
        <v>47</v>
      </c>
      <c r="AG306" s="7" t="s">
        <v>47</v>
      </c>
      <c r="AH306" s="7" t="s">
        <v>47</v>
      </c>
      <c r="AI306" s="7" t="s">
        <v>47</v>
      </c>
      <c r="AL306" s="7" t="s">
        <v>47</v>
      </c>
      <c r="AO306" s="7" t="s">
        <v>47</v>
      </c>
      <c r="AP306" s="7" t="s">
        <v>47</v>
      </c>
      <c r="AQ306" s="7" t="s">
        <v>47</v>
      </c>
      <c r="AV306" s="7" t="s">
        <v>447</v>
      </c>
      <c r="AW306" s="7" t="s">
        <v>47</v>
      </c>
      <c r="AX306" s="12" t="s">
        <v>78</v>
      </c>
      <c r="AY306" s="12" t="s">
        <v>47</v>
      </c>
      <c r="BC306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6" s="7">
        <f>SUM(cna_product_database_catalog_website[[#This Row],[Box CBM]]*35.3147)</f>
        <v>0</v>
      </c>
      <c r="BE306" s="7" t="s">
        <v>47</v>
      </c>
      <c r="BI306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6" s="7">
        <f>SUM(cna_product_database_catalog_website[[#This Row],[Carton CFT]]/61024)</f>
        <v>0</v>
      </c>
      <c r="BM306" s="7" t="s">
        <v>47</v>
      </c>
      <c r="BN306" s="7" t="s">
        <v>47</v>
      </c>
      <c r="BO306" s="7" t="s">
        <v>47</v>
      </c>
      <c r="BP306" s="7" t="s">
        <v>47</v>
      </c>
      <c r="BQ306" s="7" t="s">
        <v>47</v>
      </c>
      <c r="BS306" s="7" t="s">
        <v>47</v>
      </c>
      <c r="BT306" s="7" t="s">
        <v>47</v>
      </c>
      <c r="BU306" s="7" t="s">
        <v>47</v>
      </c>
      <c r="BW306" s="7" t="s">
        <v>47</v>
      </c>
      <c r="BX306" s="7" t="s">
        <v>47</v>
      </c>
      <c r="BY306" s="7" t="s">
        <v>47</v>
      </c>
      <c r="BZ306" s="7" t="s">
        <v>47</v>
      </c>
      <c r="CA306" s="7" t="s">
        <v>47</v>
      </c>
      <c r="CB306" s="7" t="s">
        <v>47</v>
      </c>
      <c r="CC306" s="7" t="s">
        <v>47</v>
      </c>
      <c r="CD306" s="7" t="s">
        <v>47</v>
      </c>
      <c r="CE306" s="7" t="s">
        <v>47</v>
      </c>
      <c r="CF306" s="7" t="s">
        <v>47</v>
      </c>
      <c r="CG306" s="7" t="s">
        <v>47</v>
      </c>
      <c r="CH306" s="7" t="s">
        <v>47</v>
      </c>
      <c r="CI306" s="7" t="s">
        <v>47</v>
      </c>
      <c r="CJ306" s="7" t="s">
        <v>47</v>
      </c>
    </row>
    <row r="307" spans="1:88" s="7" customFormat="1" x14ac:dyDescent="0.25">
      <c r="A307" t="s">
        <v>930</v>
      </c>
      <c r="B307" t="s">
        <v>702</v>
      </c>
      <c r="C307" t="s">
        <v>1207</v>
      </c>
      <c r="D307" t="s">
        <v>2014</v>
      </c>
      <c r="E307">
        <v>3560</v>
      </c>
      <c r="F307" t="s">
        <v>448</v>
      </c>
      <c r="G307">
        <v>700</v>
      </c>
      <c r="H307" s="9">
        <v>4</v>
      </c>
      <c r="I307" t="s">
        <v>448</v>
      </c>
      <c r="J307" t="s">
        <v>448</v>
      </c>
      <c r="K307" t="s">
        <v>2203</v>
      </c>
      <c r="L307" t="s">
        <v>45</v>
      </c>
      <c r="M307" s="10"/>
      <c r="N307" s="7" t="s">
        <v>46</v>
      </c>
      <c r="O307" s="8">
        <v>1</v>
      </c>
      <c r="P307" s="8">
        <v>1</v>
      </c>
      <c r="Q307" s="7" t="s">
        <v>129</v>
      </c>
      <c r="R307" s="7" t="s">
        <v>50</v>
      </c>
      <c r="S307" s="7" t="s">
        <v>47</v>
      </c>
      <c r="T307" s="7" t="s">
        <v>47</v>
      </c>
      <c r="U307" s="7" t="s">
        <v>47</v>
      </c>
      <c r="V307" s="7" t="s">
        <v>47</v>
      </c>
      <c r="W307" s="7" t="s">
        <v>68</v>
      </c>
      <c r="X307" s="7" t="s">
        <v>59</v>
      </c>
      <c r="Y307" s="8" t="s">
        <v>47</v>
      </c>
      <c r="Z307" s="8" t="s">
        <v>47</v>
      </c>
      <c r="AA307" s="8" t="s">
        <v>47</v>
      </c>
      <c r="AB307" s="11" t="s">
        <v>47</v>
      </c>
      <c r="AC307" s="11" t="s">
        <v>47</v>
      </c>
      <c r="AD307" s="7" t="s">
        <v>47</v>
      </c>
      <c r="AF307" s="7" t="s">
        <v>47</v>
      </c>
      <c r="AG307" s="7" t="s">
        <v>47</v>
      </c>
      <c r="AH307" s="7" t="s">
        <v>47</v>
      </c>
      <c r="AI307" s="7" t="s">
        <v>47</v>
      </c>
      <c r="AL307" s="7" t="s">
        <v>47</v>
      </c>
      <c r="AO307" s="7" t="s">
        <v>47</v>
      </c>
      <c r="AP307" s="7" t="s">
        <v>47</v>
      </c>
      <c r="AQ307" s="7" t="s">
        <v>47</v>
      </c>
      <c r="AV307" s="7" t="s">
        <v>449</v>
      </c>
      <c r="AW307" s="7" t="s">
        <v>47</v>
      </c>
      <c r="AX307" s="12" t="s">
        <v>126</v>
      </c>
      <c r="AY307" s="12" t="s">
        <v>47</v>
      </c>
      <c r="BC307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7" s="7">
        <f>SUM(cna_product_database_catalog_website[[#This Row],[Box CBM]]*35.3147)</f>
        <v>0</v>
      </c>
      <c r="BE307" s="7" t="s">
        <v>47</v>
      </c>
      <c r="BI307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7" s="7">
        <f>SUM(cna_product_database_catalog_website[[#This Row],[Carton CFT]]/61024)</f>
        <v>0</v>
      </c>
      <c r="BM307" s="7" t="s">
        <v>47</v>
      </c>
      <c r="BN307" s="7" t="s">
        <v>47</v>
      </c>
      <c r="BO307" s="7" t="s">
        <v>47</v>
      </c>
      <c r="BP307" s="7" t="s">
        <v>47</v>
      </c>
      <c r="BQ307" s="7" t="s">
        <v>47</v>
      </c>
      <c r="BS307" s="7" t="s">
        <v>47</v>
      </c>
      <c r="BT307" s="7" t="s">
        <v>47</v>
      </c>
      <c r="BU307" s="7" t="s">
        <v>47</v>
      </c>
      <c r="BW307" s="7" t="s">
        <v>47</v>
      </c>
      <c r="BX307" s="7" t="s">
        <v>47</v>
      </c>
      <c r="BY307" s="7" t="s">
        <v>47</v>
      </c>
      <c r="BZ307" s="7" t="s">
        <v>47</v>
      </c>
      <c r="CA307" s="7" t="s">
        <v>47</v>
      </c>
      <c r="CB307" s="7" t="s">
        <v>47</v>
      </c>
      <c r="CC307" s="7" t="s">
        <v>47</v>
      </c>
      <c r="CD307" s="7" t="s">
        <v>47</v>
      </c>
      <c r="CE307" s="7" t="s">
        <v>47</v>
      </c>
      <c r="CF307" s="7" t="s">
        <v>47</v>
      </c>
      <c r="CG307" s="7" t="s">
        <v>47</v>
      </c>
      <c r="CH307" s="7" t="s">
        <v>47</v>
      </c>
      <c r="CI307" s="7" t="s">
        <v>47</v>
      </c>
      <c r="CJ307" s="7" t="s">
        <v>47</v>
      </c>
    </row>
    <row r="308" spans="1:88" s="7" customFormat="1" x14ac:dyDescent="0.25">
      <c r="A308" t="s">
        <v>930</v>
      </c>
      <c r="B308" t="s">
        <v>703</v>
      </c>
      <c r="C308" t="s">
        <v>1210</v>
      </c>
      <c r="D308" t="s">
        <v>2015</v>
      </c>
      <c r="E308">
        <v>3570</v>
      </c>
      <c r="F308" t="s">
        <v>450</v>
      </c>
      <c r="G308">
        <v>55</v>
      </c>
      <c r="H308" s="9">
        <v>1.4</v>
      </c>
      <c r="I308" t="s">
        <v>450</v>
      </c>
      <c r="J308" t="s">
        <v>450</v>
      </c>
      <c r="K308" t="s">
        <v>2204</v>
      </c>
      <c r="L308" t="s">
        <v>45</v>
      </c>
      <c r="M308" s="10"/>
      <c r="N308" s="7" t="s">
        <v>46</v>
      </c>
      <c r="O308" s="8">
        <v>1</v>
      </c>
      <c r="P308" s="8">
        <v>1</v>
      </c>
      <c r="Q308" s="7" t="s">
        <v>74</v>
      </c>
      <c r="R308" s="7" t="s">
        <v>451</v>
      </c>
      <c r="S308" s="7" t="s">
        <v>47</v>
      </c>
      <c r="T308" s="7" t="s">
        <v>47</v>
      </c>
      <c r="U308" s="7" t="s">
        <v>47</v>
      </c>
      <c r="V308" s="7" t="s">
        <v>47</v>
      </c>
      <c r="W308" s="7" t="s">
        <v>47</v>
      </c>
      <c r="X308" s="7" t="s">
        <v>47</v>
      </c>
      <c r="Y308" s="8" t="s">
        <v>47</v>
      </c>
      <c r="Z308" s="8" t="s">
        <v>47</v>
      </c>
      <c r="AA308" s="8" t="s">
        <v>47</v>
      </c>
      <c r="AB308" s="11" t="s">
        <v>47</v>
      </c>
      <c r="AC308" s="11" t="s">
        <v>47</v>
      </c>
      <c r="AD308" s="7" t="s">
        <v>47</v>
      </c>
      <c r="AF308" s="7" t="s">
        <v>47</v>
      </c>
      <c r="AG308" s="7" t="s">
        <v>47</v>
      </c>
      <c r="AH308" s="7" t="s">
        <v>47</v>
      </c>
      <c r="AI308" s="7" t="s">
        <v>47</v>
      </c>
      <c r="AL308" s="7" t="s">
        <v>47</v>
      </c>
      <c r="AO308" s="7" t="s">
        <v>47</v>
      </c>
      <c r="AP308" s="7" t="s">
        <v>47</v>
      </c>
      <c r="AQ308" s="7" t="s">
        <v>47</v>
      </c>
      <c r="AV308" s="7" t="s">
        <v>452</v>
      </c>
      <c r="AW308" s="7" t="s">
        <v>47</v>
      </c>
      <c r="AX308" s="12" t="s">
        <v>78</v>
      </c>
      <c r="AY308" s="12" t="s">
        <v>47</v>
      </c>
      <c r="BC308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8" s="7">
        <f>SUM(cna_product_database_catalog_website[[#This Row],[Box CBM]]*35.3147)</f>
        <v>0</v>
      </c>
      <c r="BE308" s="7" t="s">
        <v>47</v>
      </c>
      <c r="BI308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8" s="7">
        <f>SUM(cna_product_database_catalog_website[[#This Row],[Carton CFT]]/61024)</f>
        <v>0</v>
      </c>
      <c r="BM308" s="7" t="s">
        <v>47</v>
      </c>
      <c r="BN308" s="7" t="s">
        <v>47</v>
      </c>
      <c r="BO308" s="7" t="s">
        <v>47</v>
      </c>
      <c r="BP308" s="7" t="s">
        <v>47</v>
      </c>
      <c r="BQ308" s="7" t="s">
        <v>47</v>
      </c>
      <c r="BS308" s="7" t="s">
        <v>47</v>
      </c>
      <c r="BT308" s="7" t="s">
        <v>47</v>
      </c>
      <c r="BU308" s="7" t="s">
        <v>47</v>
      </c>
      <c r="BW308" s="7" t="s">
        <v>47</v>
      </c>
      <c r="BX308" s="7" t="s">
        <v>47</v>
      </c>
      <c r="BY308" s="7" t="s">
        <v>47</v>
      </c>
      <c r="BZ308" s="7" t="s">
        <v>47</v>
      </c>
      <c r="CA308" s="7" t="s">
        <v>47</v>
      </c>
      <c r="CB308" s="7" t="s">
        <v>47</v>
      </c>
      <c r="CC308" s="7" t="s">
        <v>47</v>
      </c>
      <c r="CD308" s="7" t="s">
        <v>47</v>
      </c>
      <c r="CE308" s="7" t="s">
        <v>47</v>
      </c>
      <c r="CF308" s="7" t="s">
        <v>47</v>
      </c>
      <c r="CG308" s="7" t="s">
        <v>47</v>
      </c>
      <c r="CH308" s="7" t="s">
        <v>47</v>
      </c>
      <c r="CI308" s="7" t="s">
        <v>47</v>
      </c>
      <c r="CJ308" s="7" t="s">
        <v>47</v>
      </c>
    </row>
    <row r="309" spans="1:88" s="7" customFormat="1" x14ac:dyDescent="0.25">
      <c r="A309" t="s">
        <v>930</v>
      </c>
      <c r="B309" t="s">
        <v>703</v>
      </c>
      <c r="C309" t="s">
        <v>1209</v>
      </c>
      <c r="D309" t="s">
        <v>2016</v>
      </c>
      <c r="E309">
        <v>3575</v>
      </c>
      <c r="F309" t="s">
        <v>453</v>
      </c>
      <c r="G309">
        <v>285</v>
      </c>
      <c r="H309" s="9">
        <v>1.4</v>
      </c>
      <c r="I309" t="s">
        <v>453</v>
      </c>
      <c r="J309" t="s">
        <v>453</v>
      </c>
      <c r="K309" t="s">
        <v>2204</v>
      </c>
      <c r="L309" t="s">
        <v>45</v>
      </c>
      <c r="M309" s="10"/>
      <c r="N309" s="7" t="s">
        <v>46</v>
      </c>
      <c r="O309" s="8">
        <v>1</v>
      </c>
      <c r="P309" s="8">
        <v>1</v>
      </c>
      <c r="Q309" s="7" t="s">
        <v>74</v>
      </c>
      <c r="R309" s="7" t="s">
        <v>451</v>
      </c>
      <c r="S309" s="7" t="s">
        <v>47</v>
      </c>
      <c r="T309" s="7" t="s">
        <v>47</v>
      </c>
      <c r="U309" s="7" t="s">
        <v>47</v>
      </c>
      <c r="V309" s="7" t="s">
        <v>47</v>
      </c>
      <c r="W309" s="7" t="s">
        <v>47</v>
      </c>
      <c r="X309" s="7" t="s">
        <v>47</v>
      </c>
      <c r="Y309" s="8" t="s">
        <v>47</v>
      </c>
      <c r="Z309" s="8" t="s">
        <v>47</v>
      </c>
      <c r="AA309" s="8" t="s">
        <v>47</v>
      </c>
      <c r="AB309" s="11" t="s">
        <v>47</v>
      </c>
      <c r="AC309" s="11" t="s">
        <v>47</v>
      </c>
      <c r="AD309" s="7" t="s">
        <v>47</v>
      </c>
      <c r="AF309" s="7" t="s">
        <v>47</v>
      </c>
      <c r="AG309" s="7" t="s">
        <v>47</v>
      </c>
      <c r="AH309" s="7" t="s">
        <v>47</v>
      </c>
      <c r="AI309" s="7" t="s">
        <v>47</v>
      </c>
      <c r="AL309" s="7" t="s">
        <v>47</v>
      </c>
      <c r="AO309" s="7" t="s">
        <v>47</v>
      </c>
      <c r="AP309" s="7" t="s">
        <v>47</v>
      </c>
      <c r="AQ309" s="7" t="s">
        <v>47</v>
      </c>
      <c r="AV309" s="7" t="s">
        <v>452</v>
      </c>
      <c r="AW309" s="7" t="s">
        <v>47</v>
      </c>
      <c r="AX309" s="12" t="s">
        <v>78</v>
      </c>
      <c r="AY309" s="12" t="s">
        <v>47</v>
      </c>
      <c r="BC309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09" s="7">
        <f>SUM(cna_product_database_catalog_website[[#This Row],[Box CBM]]*35.3147)</f>
        <v>0</v>
      </c>
      <c r="BE309" s="7" t="s">
        <v>47</v>
      </c>
      <c r="BI309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09" s="7">
        <f>SUM(cna_product_database_catalog_website[[#This Row],[Carton CFT]]/61024)</f>
        <v>0</v>
      </c>
      <c r="BM309" s="7" t="s">
        <v>47</v>
      </c>
      <c r="BN309" s="7" t="s">
        <v>47</v>
      </c>
      <c r="BO309" s="7" t="s">
        <v>47</v>
      </c>
      <c r="BP309" s="7" t="s">
        <v>47</v>
      </c>
      <c r="BQ309" s="7" t="s">
        <v>47</v>
      </c>
      <c r="BS309" s="7" t="s">
        <v>47</v>
      </c>
      <c r="BT309" s="7" t="s">
        <v>47</v>
      </c>
      <c r="BU309" s="7" t="s">
        <v>47</v>
      </c>
      <c r="BW309" s="7" t="s">
        <v>47</v>
      </c>
      <c r="BX309" s="7" t="s">
        <v>47</v>
      </c>
      <c r="BY309" s="7" t="s">
        <v>47</v>
      </c>
      <c r="BZ309" s="7" t="s">
        <v>47</v>
      </c>
      <c r="CA309" s="7" t="s">
        <v>47</v>
      </c>
      <c r="CB309" s="7" t="s">
        <v>47</v>
      </c>
      <c r="CC309" s="7" t="s">
        <v>47</v>
      </c>
      <c r="CD309" s="7" t="s">
        <v>47</v>
      </c>
      <c r="CE309" s="7" t="s">
        <v>47</v>
      </c>
      <c r="CF309" s="7" t="s">
        <v>47</v>
      </c>
      <c r="CG309" s="7" t="s">
        <v>47</v>
      </c>
      <c r="CH309" s="7" t="s">
        <v>47</v>
      </c>
      <c r="CI309" s="7" t="s">
        <v>47</v>
      </c>
      <c r="CJ309" s="7" t="s">
        <v>47</v>
      </c>
    </row>
    <row r="310" spans="1:88" s="7" customFormat="1" x14ac:dyDescent="0.25">
      <c r="A310" t="s">
        <v>930</v>
      </c>
      <c r="B310" t="s">
        <v>703</v>
      </c>
      <c r="C310" t="s">
        <v>1208</v>
      </c>
      <c r="D310" t="s">
        <v>2017</v>
      </c>
      <c r="E310">
        <v>3580</v>
      </c>
      <c r="F310" t="s">
        <v>454</v>
      </c>
      <c r="G310">
        <v>154</v>
      </c>
      <c r="H310" s="9">
        <v>1.4</v>
      </c>
      <c r="I310" t="s">
        <v>454</v>
      </c>
      <c r="J310" t="s">
        <v>454</v>
      </c>
      <c r="K310" t="s">
        <v>2204</v>
      </c>
      <c r="L310" t="s">
        <v>45</v>
      </c>
      <c r="M310" s="10"/>
      <c r="N310" s="7" t="s">
        <v>46</v>
      </c>
      <c r="O310" s="8">
        <v>1</v>
      </c>
      <c r="P310" s="8">
        <v>1</v>
      </c>
      <c r="Q310" s="7" t="s">
        <v>123</v>
      </c>
      <c r="R310" s="7" t="s">
        <v>451</v>
      </c>
      <c r="S310" s="7" t="s">
        <v>47</v>
      </c>
      <c r="T310" s="7" t="s">
        <v>47</v>
      </c>
      <c r="U310" s="7" t="s">
        <v>47</v>
      </c>
      <c r="V310" s="7" t="s">
        <v>47</v>
      </c>
      <c r="W310" s="7" t="s">
        <v>47</v>
      </c>
      <c r="X310" s="7" t="s">
        <v>47</v>
      </c>
      <c r="Y310" s="8" t="s">
        <v>47</v>
      </c>
      <c r="Z310" s="8" t="s">
        <v>47</v>
      </c>
      <c r="AA310" s="8" t="s">
        <v>47</v>
      </c>
      <c r="AB310" s="11" t="s">
        <v>47</v>
      </c>
      <c r="AC310" s="11" t="s">
        <v>47</v>
      </c>
      <c r="AD310" s="7" t="s">
        <v>47</v>
      </c>
      <c r="AF310" s="7" t="s">
        <v>47</v>
      </c>
      <c r="AG310" s="7" t="s">
        <v>47</v>
      </c>
      <c r="AH310" s="7" t="s">
        <v>47</v>
      </c>
      <c r="AI310" s="7" t="s">
        <v>47</v>
      </c>
      <c r="AL310" s="7" t="s">
        <v>47</v>
      </c>
      <c r="AO310" s="7" t="s">
        <v>47</v>
      </c>
      <c r="AP310" s="7" t="s">
        <v>47</v>
      </c>
      <c r="AQ310" s="7" t="s">
        <v>47</v>
      </c>
      <c r="AV310" s="7" t="s">
        <v>455</v>
      </c>
      <c r="AW310" s="7" t="s">
        <v>47</v>
      </c>
      <c r="AX310" s="12" t="s">
        <v>78</v>
      </c>
      <c r="AY310" s="12" t="s">
        <v>47</v>
      </c>
      <c r="BC310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0" s="7">
        <f>SUM(cna_product_database_catalog_website[[#This Row],[Box CBM]]*35.3147)</f>
        <v>0</v>
      </c>
      <c r="BE310" s="7" t="s">
        <v>47</v>
      </c>
      <c r="BI310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0" s="7">
        <f>SUM(cna_product_database_catalog_website[[#This Row],[Carton CFT]]/61024)</f>
        <v>0</v>
      </c>
      <c r="BM310" s="7" t="s">
        <v>47</v>
      </c>
      <c r="BN310" s="7" t="s">
        <v>47</v>
      </c>
      <c r="BO310" s="7" t="s">
        <v>47</v>
      </c>
      <c r="BP310" s="7" t="s">
        <v>47</v>
      </c>
      <c r="BQ310" s="7" t="s">
        <v>47</v>
      </c>
      <c r="BS310" s="7" t="s">
        <v>47</v>
      </c>
      <c r="BT310" s="7" t="s">
        <v>47</v>
      </c>
      <c r="BU310" s="7" t="s">
        <v>47</v>
      </c>
      <c r="BW310" s="7" t="s">
        <v>47</v>
      </c>
      <c r="BX310" s="7" t="s">
        <v>47</v>
      </c>
      <c r="BY310" s="7" t="s">
        <v>47</v>
      </c>
      <c r="BZ310" s="7" t="s">
        <v>47</v>
      </c>
      <c r="CA310" s="7" t="s">
        <v>47</v>
      </c>
      <c r="CB310" s="7" t="s">
        <v>47</v>
      </c>
      <c r="CC310" s="7" t="s">
        <v>47</v>
      </c>
      <c r="CD310" s="7" t="s">
        <v>47</v>
      </c>
      <c r="CE310" s="7" t="s">
        <v>47</v>
      </c>
      <c r="CF310" s="7" t="s">
        <v>47</v>
      </c>
      <c r="CG310" s="7" t="s">
        <v>47</v>
      </c>
      <c r="CH310" s="7" t="s">
        <v>47</v>
      </c>
      <c r="CI310" s="7" t="s">
        <v>47</v>
      </c>
      <c r="CJ310" s="7" t="s">
        <v>47</v>
      </c>
    </row>
    <row r="311" spans="1:88" s="7" customFormat="1" x14ac:dyDescent="0.25">
      <c r="A311" t="s">
        <v>930</v>
      </c>
      <c r="B311" t="s">
        <v>703</v>
      </c>
      <c r="C311" t="s">
        <v>1211</v>
      </c>
      <c r="D311" t="s">
        <v>2018</v>
      </c>
      <c r="E311">
        <v>3585</v>
      </c>
      <c r="F311" t="s">
        <v>456</v>
      </c>
      <c r="G311">
        <v>156</v>
      </c>
      <c r="H311" s="9">
        <v>1.4</v>
      </c>
      <c r="I311" t="s">
        <v>456</v>
      </c>
      <c r="J311" t="s">
        <v>456</v>
      </c>
      <c r="K311" t="s">
        <v>2204</v>
      </c>
      <c r="L311" t="s">
        <v>45</v>
      </c>
      <c r="M311" s="10"/>
      <c r="N311" s="7" t="s">
        <v>46</v>
      </c>
      <c r="O311" s="8">
        <v>1</v>
      </c>
      <c r="P311" s="8">
        <v>1</v>
      </c>
      <c r="Q311" s="7" t="s">
        <v>92</v>
      </c>
      <c r="R311" s="7" t="s">
        <v>451</v>
      </c>
      <c r="S311" s="7" t="s">
        <v>47</v>
      </c>
      <c r="T311" s="7" t="s">
        <v>47</v>
      </c>
      <c r="U311" s="7" t="s">
        <v>47</v>
      </c>
      <c r="V311" s="7" t="s">
        <v>47</v>
      </c>
      <c r="W311" s="7" t="s">
        <v>47</v>
      </c>
      <c r="X311" s="7" t="s">
        <v>47</v>
      </c>
      <c r="Y311" s="8" t="s">
        <v>47</v>
      </c>
      <c r="Z311" s="8" t="s">
        <v>47</v>
      </c>
      <c r="AA311" s="8" t="s">
        <v>47</v>
      </c>
      <c r="AB311" s="11" t="s">
        <v>47</v>
      </c>
      <c r="AC311" s="11" t="s">
        <v>47</v>
      </c>
      <c r="AD311" s="7" t="s">
        <v>47</v>
      </c>
      <c r="AF311" s="7" t="s">
        <v>47</v>
      </c>
      <c r="AG311" s="7" t="s">
        <v>47</v>
      </c>
      <c r="AH311" s="7" t="s">
        <v>47</v>
      </c>
      <c r="AI311" s="7" t="s">
        <v>47</v>
      </c>
      <c r="AL311" s="7" t="s">
        <v>47</v>
      </c>
      <c r="AO311" s="7" t="s">
        <v>47</v>
      </c>
      <c r="AP311" s="7" t="s">
        <v>47</v>
      </c>
      <c r="AQ311" s="7" t="s">
        <v>47</v>
      </c>
      <c r="AV311" s="7" t="s">
        <v>457</v>
      </c>
      <c r="AW311" s="7" t="s">
        <v>47</v>
      </c>
      <c r="AX311" s="12" t="s">
        <v>78</v>
      </c>
      <c r="AY311" s="12" t="s">
        <v>47</v>
      </c>
      <c r="BC311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1" s="7">
        <f>SUM(cna_product_database_catalog_website[[#This Row],[Box CBM]]*35.3147)</f>
        <v>0</v>
      </c>
      <c r="BE311" s="7" t="s">
        <v>47</v>
      </c>
      <c r="BI311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1" s="7">
        <f>SUM(cna_product_database_catalog_website[[#This Row],[Carton CFT]]/61024)</f>
        <v>0</v>
      </c>
      <c r="BM311" s="7" t="s">
        <v>47</v>
      </c>
      <c r="BN311" s="7" t="s">
        <v>47</v>
      </c>
      <c r="BO311" s="7" t="s">
        <v>47</v>
      </c>
      <c r="BP311" s="7" t="s">
        <v>47</v>
      </c>
      <c r="BQ311" s="7" t="s">
        <v>47</v>
      </c>
      <c r="BS311" s="7" t="s">
        <v>47</v>
      </c>
      <c r="BT311" s="7" t="s">
        <v>47</v>
      </c>
      <c r="BU311" s="7" t="s">
        <v>47</v>
      </c>
      <c r="BW311" s="7" t="s">
        <v>47</v>
      </c>
      <c r="BX311" s="7" t="s">
        <v>47</v>
      </c>
      <c r="BY311" s="7" t="s">
        <v>47</v>
      </c>
      <c r="BZ311" s="7" t="s">
        <v>47</v>
      </c>
      <c r="CA311" s="7" t="s">
        <v>47</v>
      </c>
      <c r="CB311" s="7" t="s">
        <v>47</v>
      </c>
      <c r="CC311" s="7" t="s">
        <v>47</v>
      </c>
      <c r="CD311" s="7" t="s">
        <v>47</v>
      </c>
      <c r="CE311" s="7" t="s">
        <v>47</v>
      </c>
      <c r="CF311" s="7" t="s">
        <v>47</v>
      </c>
      <c r="CG311" s="7" t="s">
        <v>47</v>
      </c>
      <c r="CH311" s="7" t="s">
        <v>47</v>
      </c>
      <c r="CI311" s="7" t="s">
        <v>47</v>
      </c>
      <c r="CJ311" s="7" t="s">
        <v>47</v>
      </c>
    </row>
    <row r="312" spans="1:88" s="7" customFormat="1" x14ac:dyDescent="0.25">
      <c r="A312" t="s">
        <v>930</v>
      </c>
      <c r="B312" t="s">
        <v>704</v>
      </c>
      <c r="C312" t="s">
        <v>1212</v>
      </c>
      <c r="D312" t="s">
        <v>2019</v>
      </c>
      <c r="E312">
        <v>3600</v>
      </c>
      <c r="F312" t="s">
        <v>458</v>
      </c>
      <c r="G312">
        <v>138</v>
      </c>
      <c r="H312" s="9">
        <v>2.2000000000000002</v>
      </c>
      <c r="I312" t="s">
        <v>458</v>
      </c>
      <c r="J312" t="s">
        <v>458</v>
      </c>
      <c r="K312" t="s">
        <v>2205</v>
      </c>
      <c r="L312" t="s">
        <v>45</v>
      </c>
      <c r="M312" s="10"/>
      <c r="N312" s="7" t="s">
        <v>46</v>
      </c>
      <c r="O312" s="8">
        <v>1</v>
      </c>
      <c r="P312" s="8">
        <v>1</v>
      </c>
      <c r="Q312" s="7" t="s">
        <v>92</v>
      </c>
      <c r="R312" s="7" t="s">
        <v>451</v>
      </c>
      <c r="S312" s="7" t="s">
        <v>47</v>
      </c>
      <c r="T312" s="7" t="s">
        <v>47</v>
      </c>
      <c r="U312" s="7" t="s">
        <v>47</v>
      </c>
      <c r="V312" s="7" t="s">
        <v>47</v>
      </c>
      <c r="W312" s="7" t="s">
        <v>47</v>
      </c>
      <c r="X312" s="7" t="s">
        <v>47</v>
      </c>
      <c r="Y312" s="8" t="s">
        <v>47</v>
      </c>
      <c r="Z312" s="8" t="s">
        <v>47</v>
      </c>
      <c r="AA312" s="8" t="s">
        <v>47</v>
      </c>
      <c r="AB312" s="11" t="s">
        <v>47</v>
      </c>
      <c r="AC312" s="11" t="s">
        <v>47</v>
      </c>
      <c r="AD312" s="7" t="s">
        <v>47</v>
      </c>
      <c r="AF312" s="7" t="s">
        <v>47</v>
      </c>
      <c r="AG312" s="7" t="s">
        <v>47</v>
      </c>
      <c r="AH312" s="7" t="s">
        <v>47</v>
      </c>
      <c r="AI312" s="7" t="s">
        <v>47</v>
      </c>
      <c r="AL312" s="7" t="s">
        <v>47</v>
      </c>
      <c r="AO312" s="7" t="s">
        <v>47</v>
      </c>
      <c r="AP312" s="7" t="s">
        <v>47</v>
      </c>
      <c r="AQ312" s="7" t="s">
        <v>47</v>
      </c>
      <c r="AV312" s="7" t="s">
        <v>459</v>
      </c>
      <c r="AW312" s="7" t="s">
        <v>47</v>
      </c>
      <c r="AX312" s="12" t="s">
        <v>78</v>
      </c>
      <c r="AY312" s="12" t="s">
        <v>109</v>
      </c>
      <c r="BC312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2" s="7">
        <f>SUM(cna_product_database_catalog_website[[#This Row],[Box CBM]]*35.3147)</f>
        <v>0</v>
      </c>
      <c r="BE312" s="7" t="s">
        <v>47</v>
      </c>
      <c r="BI312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2" s="7">
        <f>SUM(cna_product_database_catalog_website[[#This Row],[Carton CFT]]/61024)</f>
        <v>0</v>
      </c>
      <c r="BM312" s="7" t="s">
        <v>47</v>
      </c>
      <c r="BN312" s="7" t="s">
        <v>47</v>
      </c>
      <c r="BO312" s="7" t="s">
        <v>47</v>
      </c>
      <c r="BP312" s="7" t="s">
        <v>47</v>
      </c>
      <c r="BQ312" s="7" t="s">
        <v>47</v>
      </c>
      <c r="BS312" s="7" t="s">
        <v>47</v>
      </c>
      <c r="BT312" s="7" t="s">
        <v>47</v>
      </c>
      <c r="BU312" s="7" t="s">
        <v>47</v>
      </c>
      <c r="BW312" s="7" t="s">
        <v>47</v>
      </c>
      <c r="BX312" s="7" t="s">
        <v>47</v>
      </c>
      <c r="BY312" s="7" t="s">
        <v>47</v>
      </c>
      <c r="BZ312" s="7" t="s">
        <v>47</v>
      </c>
      <c r="CA312" s="7" t="s">
        <v>47</v>
      </c>
      <c r="CB312" s="7" t="s">
        <v>47</v>
      </c>
      <c r="CC312" s="7" t="s">
        <v>47</v>
      </c>
      <c r="CD312" s="7" t="s">
        <v>47</v>
      </c>
      <c r="CE312" s="7" t="s">
        <v>47</v>
      </c>
      <c r="CF312" s="7" t="s">
        <v>47</v>
      </c>
      <c r="CG312" s="7" t="s">
        <v>47</v>
      </c>
      <c r="CH312" s="7" t="s">
        <v>47</v>
      </c>
      <c r="CI312" s="7" t="s">
        <v>47</v>
      </c>
      <c r="CJ312" s="7" t="s">
        <v>47</v>
      </c>
    </row>
    <row r="313" spans="1:88" s="7" customFormat="1" x14ac:dyDescent="0.25">
      <c r="A313" t="s">
        <v>930</v>
      </c>
      <c r="B313" t="s">
        <v>704</v>
      </c>
      <c r="C313" t="s">
        <v>1213</v>
      </c>
      <c r="D313" t="s">
        <v>2020</v>
      </c>
      <c r="E313">
        <v>3605</v>
      </c>
      <c r="F313" t="s">
        <v>460</v>
      </c>
      <c r="G313">
        <v>161</v>
      </c>
      <c r="H313" s="9">
        <v>2.2000000000000002</v>
      </c>
      <c r="I313" t="s">
        <v>460</v>
      </c>
      <c r="J313" t="s">
        <v>460</v>
      </c>
      <c r="K313" t="s">
        <v>2205</v>
      </c>
      <c r="L313" t="s">
        <v>45</v>
      </c>
      <c r="M313" s="10"/>
      <c r="N313" s="7" t="s">
        <v>46</v>
      </c>
      <c r="O313" s="8">
        <v>1</v>
      </c>
      <c r="P313" s="8">
        <v>1</v>
      </c>
      <c r="Q313" s="7" t="s">
        <v>92</v>
      </c>
      <c r="R313" s="7" t="s">
        <v>451</v>
      </c>
      <c r="S313" s="7" t="s">
        <v>47</v>
      </c>
      <c r="T313" s="7" t="s">
        <v>47</v>
      </c>
      <c r="U313" s="7" t="s">
        <v>47</v>
      </c>
      <c r="V313" s="7" t="s">
        <v>47</v>
      </c>
      <c r="W313" s="7" t="s">
        <v>47</v>
      </c>
      <c r="X313" s="7" t="s">
        <v>47</v>
      </c>
      <c r="Y313" s="8" t="s">
        <v>47</v>
      </c>
      <c r="Z313" s="8" t="s">
        <v>47</v>
      </c>
      <c r="AA313" s="8" t="s">
        <v>47</v>
      </c>
      <c r="AB313" s="11" t="s">
        <v>47</v>
      </c>
      <c r="AC313" s="11" t="s">
        <v>47</v>
      </c>
      <c r="AD313" s="7" t="s">
        <v>47</v>
      </c>
      <c r="AF313" s="7" t="s">
        <v>47</v>
      </c>
      <c r="AG313" s="7" t="s">
        <v>47</v>
      </c>
      <c r="AH313" s="7" t="s">
        <v>47</v>
      </c>
      <c r="AI313" s="7" t="s">
        <v>47</v>
      </c>
      <c r="AL313" s="7" t="s">
        <v>47</v>
      </c>
      <c r="AO313" s="7" t="s">
        <v>47</v>
      </c>
      <c r="AP313" s="7" t="s">
        <v>47</v>
      </c>
      <c r="AQ313" s="7" t="s">
        <v>47</v>
      </c>
      <c r="AV313" s="7" t="s">
        <v>459</v>
      </c>
      <c r="AW313" s="7" t="s">
        <v>47</v>
      </c>
      <c r="AX313" s="12" t="s">
        <v>78</v>
      </c>
      <c r="AY313" s="12" t="s">
        <v>109</v>
      </c>
      <c r="BC313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3" s="7">
        <f>SUM(cna_product_database_catalog_website[[#This Row],[Box CBM]]*35.3147)</f>
        <v>0</v>
      </c>
      <c r="BE313" s="7" t="s">
        <v>47</v>
      </c>
      <c r="BI313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3" s="7">
        <f>SUM(cna_product_database_catalog_website[[#This Row],[Carton CFT]]/61024)</f>
        <v>0</v>
      </c>
      <c r="BM313" s="7" t="s">
        <v>47</v>
      </c>
      <c r="BN313" s="7" t="s">
        <v>47</v>
      </c>
      <c r="BO313" s="7" t="s">
        <v>47</v>
      </c>
      <c r="BP313" s="7" t="s">
        <v>47</v>
      </c>
      <c r="BQ313" s="7" t="s">
        <v>47</v>
      </c>
      <c r="BS313" s="7" t="s">
        <v>47</v>
      </c>
      <c r="BT313" s="7" t="s">
        <v>47</v>
      </c>
      <c r="BU313" s="7" t="s">
        <v>47</v>
      </c>
      <c r="BW313" s="7" t="s">
        <v>47</v>
      </c>
      <c r="BX313" s="7" t="s">
        <v>47</v>
      </c>
      <c r="BY313" s="7" t="s">
        <v>47</v>
      </c>
      <c r="BZ313" s="7" t="s">
        <v>47</v>
      </c>
      <c r="CA313" s="7" t="s">
        <v>47</v>
      </c>
      <c r="CB313" s="7" t="s">
        <v>47</v>
      </c>
      <c r="CC313" s="7" t="s">
        <v>47</v>
      </c>
      <c r="CD313" s="7" t="s">
        <v>47</v>
      </c>
      <c r="CE313" s="7" t="s">
        <v>47</v>
      </c>
      <c r="CF313" s="7" t="s">
        <v>47</v>
      </c>
      <c r="CG313" s="7" t="s">
        <v>47</v>
      </c>
      <c r="CH313" s="7" t="s">
        <v>47</v>
      </c>
      <c r="CI313" s="7" t="s">
        <v>47</v>
      </c>
      <c r="CJ313" s="7" t="s">
        <v>47</v>
      </c>
    </row>
    <row r="314" spans="1:88" s="7" customFormat="1" x14ac:dyDescent="0.25">
      <c r="A314" t="s">
        <v>930</v>
      </c>
      <c r="B314" t="s">
        <v>704</v>
      </c>
      <c r="C314" t="s">
        <v>1214</v>
      </c>
      <c r="D314" t="s">
        <v>2021</v>
      </c>
      <c r="E314">
        <v>3610</v>
      </c>
      <c r="F314" t="s">
        <v>461</v>
      </c>
      <c r="G314">
        <v>162</v>
      </c>
      <c r="H314" s="9">
        <v>2.2000000000000002</v>
      </c>
      <c r="I314" t="s">
        <v>461</v>
      </c>
      <c r="J314" t="s">
        <v>461</v>
      </c>
      <c r="K314" t="s">
        <v>2205</v>
      </c>
      <c r="L314" t="s">
        <v>45</v>
      </c>
      <c r="M314" s="10"/>
      <c r="N314" s="7" t="s">
        <v>46</v>
      </c>
      <c r="O314" s="8">
        <v>1</v>
      </c>
      <c r="P314" s="8">
        <v>1</v>
      </c>
      <c r="Q314" s="7" t="s">
        <v>92</v>
      </c>
      <c r="R314" s="7" t="s">
        <v>451</v>
      </c>
      <c r="S314" s="7" t="s">
        <v>47</v>
      </c>
      <c r="T314" s="7" t="s">
        <v>47</v>
      </c>
      <c r="U314" s="7" t="s">
        <v>47</v>
      </c>
      <c r="V314" s="7" t="s">
        <v>47</v>
      </c>
      <c r="W314" s="7" t="s">
        <v>47</v>
      </c>
      <c r="X314" s="7" t="s">
        <v>47</v>
      </c>
      <c r="Y314" s="8" t="s">
        <v>47</v>
      </c>
      <c r="Z314" s="8" t="s">
        <v>47</v>
      </c>
      <c r="AA314" s="8" t="s">
        <v>47</v>
      </c>
      <c r="AB314" s="11" t="s">
        <v>47</v>
      </c>
      <c r="AC314" s="11" t="s">
        <v>47</v>
      </c>
      <c r="AD314" s="7" t="s">
        <v>47</v>
      </c>
      <c r="AF314" s="7" t="s">
        <v>47</v>
      </c>
      <c r="AG314" s="7" t="s">
        <v>47</v>
      </c>
      <c r="AH314" s="7" t="s">
        <v>47</v>
      </c>
      <c r="AI314" s="7" t="s">
        <v>47</v>
      </c>
      <c r="AL314" s="7" t="s">
        <v>47</v>
      </c>
      <c r="AO314" s="7" t="s">
        <v>47</v>
      </c>
      <c r="AP314" s="7" t="s">
        <v>47</v>
      </c>
      <c r="AQ314" s="7" t="s">
        <v>47</v>
      </c>
      <c r="AV314" s="7" t="s">
        <v>459</v>
      </c>
      <c r="AW314" s="7" t="s">
        <v>47</v>
      </c>
      <c r="AX314" s="12" t="s">
        <v>78</v>
      </c>
      <c r="AY314" s="12" t="s">
        <v>109</v>
      </c>
      <c r="BC314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4" s="7">
        <f>SUM(cna_product_database_catalog_website[[#This Row],[Box CBM]]*35.3147)</f>
        <v>0</v>
      </c>
      <c r="BE314" s="7" t="s">
        <v>47</v>
      </c>
      <c r="BI314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4" s="7">
        <f>SUM(cna_product_database_catalog_website[[#This Row],[Carton CFT]]/61024)</f>
        <v>0</v>
      </c>
      <c r="BM314" s="7" t="s">
        <v>47</v>
      </c>
      <c r="BN314" s="7" t="s">
        <v>47</v>
      </c>
      <c r="BO314" s="7" t="s">
        <v>47</v>
      </c>
      <c r="BP314" s="7" t="s">
        <v>47</v>
      </c>
      <c r="BQ314" s="7" t="s">
        <v>47</v>
      </c>
      <c r="BS314" s="7" t="s">
        <v>47</v>
      </c>
      <c r="BT314" s="7" t="s">
        <v>47</v>
      </c>
      <c r="BU314" s="7" t="s">
        <v>47</v>
      </c>
      <c r="BW314" s="7" t="s">
        <v>47</v>
      </c>
      <c r="BX314" s="7" t="s">
        <v>47</v>
      </c>
      <c r="BY314" s="7" t="s">
        <v>47</v>
      </c>
      <c r="BZ314" s="7" t="s">
        <v>47</v>
      </c>
      <c r="CA314" s="7" t="s">
        <v>47</v>
      </c>
      <c r="CB314" s="7" t="s">
        <v>47</v>
      </c>
      <c r="CC314" s="7" t="s">
        <v>47</v>
      </c>
      <c r="CD314" s="7" t="s">
        <v>47</v>
      </c>
      <c r="CE314" s="7" t="s">
        <v>47</v>
      </c>
      <c r="CF314" s="7" t="s">
        <v>47</v>
      </c>
      <c r="CG314" s="7" t="s">
        <v>47</v>
      </c>
      <c r="CH314" s="7" t="s">
        <v>47</v>
      </c>
      <c r="CI314" s="7" t="s">
        <v>47</v>
      </c>
      <c r="CJ314" s="7" t="s">
        <v>47</v>
      </c>
    </row>
    <row r="315" spans="1:88" s="7" customFormat="1" x14ac:dyDescent="0.25">
      <c r="A315" t="s">
        <v>930</v>
      </c>
      <c r="B315" t="s">
        <v>704</v>
      </c>
      <c r="C315" t="s">
        <v>1215</v>
      </c>
      <c r="D315" t="s">
        <v>2022</v>
      </c>
      <c r="E315">
        <v>3615</v>
      </c>
      <c r="F315" t="s">
        <v>462</v>
      </c>
      <c r="G315">
        <v>226</v>
      </c>
      <c r="H315" s="9">
        <v>2.2000000000000002</v>
      </c>
      <c r="I315" t="s">
        <v>462</v>
      </c>
      <c r="J315" t="s">
        <v>462</v>
      </c>
      <c r="K315" t="s">
        <v>2205</v>
      </c>
      <c r="L315" t="s">
        <v>45</v>
      </c>
      <c r="M315" s="10"/>
      <c r="N315" s="7" t="s">
        <v>46</v>
      </c>
      <c r="O315" s="8">
        <v>1</v>
      </c>
      <c r="P315" s="8">
        <v>1</v>
      </c>
      <c r="Q315" s="7" t="s">
        <v>218</v>
      </c>
      <c r="R315" s="7" t="s">
        <v>451</v>
      </c>
      <c r="S315" s="7" t="s">
        <v>47</v>
      </c>
      <c r="T315" s="7" t="s">
        <v>47</v>
      </c>
      <c r="U315" s="7" t="s">
        <v>47</v>
      </c>
      <c r="V315" s="7" t="s">
        <v>47</v>
      </c>
      <c r="W315" s="7" t="s">
        <v>47</v>
      </c>
      <c r="X315" s="7" t="s">
        <v>47</v>
      </c>
      <c r="Y315" s="8" t="s">
        <v>47</v>
      </c>
      <c r="Z315" s="8" t="s">
        <v>47</v>
      </c>
      <c r="AA315" s="8" t="s">
        <v>47</v>
      </c>
      <c r="AB315" s="11" t="s">
        <v>47</v>
      </c>
      <c r="AC315" s="11" t="s">
        <v>47</v>
      </c>
      <c r="AD315" s="7" t="s">
        <v>47</v>
      </c>
      <c r="AF315" s="7" t="s">
        <v>47</v>
      </c>
      <c r="AG315" s="7" t="s">
        <v>47</v>
      </c>
      <c r="AH315" s="7" t="s">
        <v>47</v>
      </c>
      <c r="AI315" s="7" t="s">
        <v>47</v>
      </c>
      <c r="AL315" s="7" t="s">
        <v>47</v>
      </c>
      <c r="AO315" s="7" t="s">
        <v>47</v>
      </c>
      <c r="AP315" s="7" t="s">
        <v>47</v>
      </c>
      <c r="AQ315" s="7" t="s">
        <v>47</v>
      </c>
      <c r="AV315" s="7" t="s">
        <v>463</v>
      </c>
      <c r="AW315" s="7" t="s">
        <v>47</v>
      </c>
      <c r="AX315" s="12" t="s">
        <v>64</v>
      </c>
      <c r="AY315" s="12" t="s">
        <v>57</v>
      </c>
      <c r="BC315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5" s="7">
        <f>SUM(cna_product_database_catalog_website[[#This Row],[Box CBM]]*35.3147)</f>
        <v>0</v>
      </c>
      <c r="BE315" s="7" t="s">
        <v>47</v>
      </c>
      <c r="BI315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5" s="7">
        <f>SUM(cna_product_database_catalog_website[[#This Row],[Carton CFT]]/61024)</f>
        <v>0</v>
      </c>
      <c r="BM315" s="7" t="s">
        <v>47</v>
      </c>
      <c r="BN315" s="7" t="s">
        <v>47</v>
      </c>
      <c r="BO315" s="7" t="s">
        <v>47</v>
      </c>
      <c r="BP315" s="7" t="s">
        <v>47</v>
      </c>
      <c r="BQ315" s="7" t="s">
        <v>47</v>
      </c>
      <c r="BS315" s="7" t="s">
        <v>47</v>
      </c>
      <c r="BT315" s="7" t="s">
        <v>47</v>
      </c>
      <c r="BU315" s="7" t="s">
        <v>47</v>
      </c>
      <c r="BW315" s="7" t="s">
        <v>47</v>
      </c>
      <c r="BX315" s="7" t="s">
        <v>47</v>
      </c>
      <c r="BY315" s="7" t="s">
        <v>47</v>
      </c>
      <c r="BZ315" s="7" t="s">
        <v>47</v>
      </c>
      <c r="CA315" s="7" t="s">
        <v>47</v>
      </c>
      <c r="CB315" s="7" t="s">
        <v>47</v>
      </c>
      <c r="CC315" s="7" t="s">
        <v>47</v>
      </c>
      <c r="CD315" s="7" t="s">
        <v>47</v>
      </c>
      <c r="CE315" s="7" t="s">
        <v>47</v>
      </c>
      <c r="CF315" s="7" t="s">
        <v>47</v>
      </c>
      <c r="CG315" s="7" t="s">
        <v>47</v>
      </c>
      <c r="CH315" s="7" t="s">
        <v>47</v>
      </c>
      <c r="CI315" s="7" t="s">
        <v>47</v>
      </c>
      <c r="CJ315" s="7" t="s">
        <v>47</v>
      </c>
    </row>
    <row r="316" spans="1:88" s="7" customFormat="1" x14ac:dyDescent="0.25">
      <c r="A316" t="s">
        <v>930</v>
      </c>
      <c r="B316" t="s">
        <v>704</v>
      </c>
      <c r="C316" t="s">
        <v>1216</v>
      </c>
      <c r="D316" t="s">
        <v>2023</v>
      </c>
      <c r="E316">
        <v>3620</v>
      </c>
      <c r="F316" t="s">
        <v>464</v>
      </c>
      <c r="G316">
        <v>351</v>
      </c>
      <c r="H316" s="9">
        <v>2.2000000000000002</v>
      </c>
      <c r="I316" t="s">
        <v>464</v>
      </c>
      <c r="J316" t="s">
        <v>464</v>
      </c>
      <c r="K316" t="s">
        <v>2205</v>
      </c>
      <c r="L316" t="s">
        <v>45</v>
      </c>
      <c r="M316" s="10"/>
      <c r="N316" s="7" t="s">
        <v>46</v>
      </c>
      <c r="O316" s="8">
        <v>1</v>
      </c>
      <c r="P316" s="8">
        <v>1</v>
      </c>
      <c r="Q316" s="7" t="s">
        <v>218</v>
      </c>
      <c r="R316" s="7" t="s">
        <v>451</v>
      </c>
      <c r="S316" s="7" t="s">
        <v>47</v>
      </c>
      <c r="T316" s="7" t="s">
        <v>47</v>
      </c>
      <c r="U316" s="7" t="s">
        <v>47</v>
      </c>
      <c r="V316" s="7" t="s">
        <v>47</v>
      </c>
      <c r="W316" s="7" t="s">
        <v>47</v>
      </c>
      <c r="X316" s="7" t="s">
        <v>47</v>
      </c>
      <c r="Y316" s="8" t="s">
        <v>47</v>
      </c>
      <c r="Z316" s="8" t="s">
        <v>47</v>
      </c>
      <c r="AA316" s="8" t="s">
        <v>47</v>
      </c>
      <c r="AB316" s="11" t="s">
        <v>47</v>
      </c>
      <c r="AC316" s="11" t="s">
        <v>47</v>
      </c>
      <c r="AD316" s="7" t="s">
        <v>47</v>
      </c>
      <c r="AF316" s="7" t="s">
        <v>47</v>
      </c>
      <c r="AG316" s="7" t="s">
        <v>47</v>
      </c>
      <c r="AH316" s="7" t="s">
        <v>47</v>
      </c>
      <c r="AI316" s="7" t="s">
        <v>47</v>
      </c>
      <c r="AL316" s="7" t="s">
        <v>47</v>
      </c>
      <c r="AO316" s="7" t="s">
        <v>47</v>
      </c>
      <c r="AP316" s="7" t="s">
        <v>47</v>
      </c>
      <c r="AQ316" s="7" t="s">
        <v>47</v>
      </c>
      <c r="AV316" s="7" t="s">
        <v>463</v>
      </c>
      <c r="AW316" s="7" t="s">
        <v>47</v>
      </c>
      <c r="AX316" s="12" t="s">
        <v>64</v>
      </c>
      <c r="AY316" s="12" t="s">
        <v>57</v>
      </c>
      <c r="BC316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6" s="7">
        <f>SUM(cna_product_database_catalog_website[[#This Row],[Box CBM]]*35.3147)</f>
        <v>0</v>
      </c>
      <c r="BE316" s="7" t="s">
        <v>47</v>
      </c>
      <c r="BI316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6" s="7">
        <f>SUM(cna_product_database_catalog_website[[#This Row],[Carton CFT]]/61024)</f>
        <v>0</v>
      </c>
      <c r="BM316" s="7" t="s">
        <v>47</v>
      </c>
      <c r="BN316" s="7" t="s">
        <v>47</v>
      </c>
      <c r="BO316" s="7" t="s">
        <v>47</v>
      </c>
      <c r="BP316" s="7" t="s">
        <v>47</v>
      </c>
      <c r="BQ316" s="7" t="s">
        <v>47</v>
      </c>
      <c r="BS316" s="7" t="s">
        <v>47</v>
      </c>
      <c r="BT316" s="7" t="s">
        <v>47</v>
      </c>
      <c r="BU316" s="7" t="s">
        <v>47</v>
      </c>
      <c r="BW316" s="7" t="s">
        <v>47</v>
      </c>
      <c r="BX316" s="7" t="s">
        <v>47</v>
      </c>
      <c r="BY316" s="7" t="s">
        <v>47</v>
      </c>
      <c r="BZ316" s="7" t="s">
        <v>47</v>
      </c>
      <c r="CA316" s="7" t="s">
        <v>47</v>
      </c>
      <c r="CB316" s="7" t="s">
        <v>47</v>
      </c>
      <c r="CC316" s="7" t="s">
        <v>47</v>
      </c>
      <c r="CD316" s="7" t="s">
        <v>47</v>
      </c>
      <c r="CE316" s="7" t="s">
        <v>47</v>
      </c>
      <c r="CF316" s="7" t="s">
        <v>47</v>
      </c>
      <c r="CG316" s="7" t="s">
        <v>47</v>
      </c>
      <c r="CH316" s="7" t="s">
        <v>47</v>
      </c>
      <c r="CI316" s="7" t="s">
        <v>47</v>
      </c>
      <c r="CJ316" s="7" t="s">
        <v>47</v>
      </c>
    </row>
    <row r="317" spans="1:88" s="7" customFormat="1" x14ac:dyDescent="0.25">
      <c r="A317" t="s">
        <v>930</v>
      </c>
      <c r="B317" t="s">
        <v>705</v>
      </c>
      <c r="C317" t="s">
        <v>1217</v>
      </c>
      <c r="D317" t="s">
        <v>2024</v>
      </c>
      <c r="E317">
        <v>3700</v>
      </c>
      <c r="F317" t="s">
        <v>465</v>
      </c>
      <c r="G317">
        <v>219</v>
      </c>
      <c r="H317" s="9">
        <v>2.4500000000000002</v>
      </c>
      <c r="I317" t="s">
        <v>465</v>
      </c>
      <c r="J317" t="s">
        <v>465</v>
      </c>
      <c r="K317" t="s">
        <v>2206</v>
      </c>
      <c r="L317" t="s">
        <v>45</v>
      </c>
      <c r="M317" s="10"/>
      <c r="N317" s="7" t="s">
        <v>46</v>
      </c>
      <c r="O317" s="8">
        <v>1</v>
      </c>
      <c r="P317" s="8">
        <v>1</v>
      </c>
      <c r="Q317" s="7" t="s">
        <v>125</v>
      </c>
      <c r="R317" s="7" t="s">
        <v>451</v>
      </c>
      <c r="S317" s="7" t="s">
        <v>47</v>
      </c>
      <c r="T317" s="7" t="s">
        <v>47</v>
      </c>
      <c r="U317" s="7" t="s">
        <v>47</v>
      </c>
      <c r="V317" s="7" t="s">
        <v>47</v>
      </c>
      <c r="W317" s="7" t="s">
        <v>47</v>
      </c>
      <c r="X317" s="7" t="s">
        <v>47</v>
      </c>
      <c r="Y317" s="8" t="s">
        <v>47</v>
      </c>
      <c r="Z317" s="8" t="s">
        <v>47</v>
      </c>
      <c r="AA317" s="8" t="s">
        <v>47</v>
      </c>
      <c r="AB317" s="11" t="s">
        <v>47</v>
      </c>
      <c r="AC317" s="11" t="s">
        <v>47</v>
      </c>
      <c r="AD317" s="7" t="s">
        <v>47</v>
      </c>
      <c r="AF317" s="7" t="s">
        <v>47</v>
      </c>
      <c r="AG317" s="7" t="s">
        <v>47</v>
      </c>
      <c r="AH317" s="7" t="s">
        <v>47</v>
      </c>
      <c r="AI317" s="7" t="s">
        <v>47</v>
      </c>
      <c r="AL317" s="7" t="s">
        <v>47</v>
      </c>
      <c r="AO317" s="7" t="s">
        <v>47</v>
      </c>
      <c r="AP317" s="7" t="s">
        <v>47</v>
      </c>
      <c r="AQ317" s="7" t="s">
        <v>47</v>
      </c>
      <c r="AV317" s="7" t="s">
        <v>466</v>
      </c>
      <c r="AW317" s="7" t="s">
        <v>47</v>
      </c>
      <c r="AX317" s="12" t="s">
        <v>64</v>
      </c>
      <c r="AY317" s="12" t="s">
        <v>57</v>
      </c>
      <c r="BC317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7" s="7">
        <f>SUM(cna_product_database_catalog_website[[#This Row],[Box CBM]]*35.3147)</f>
        <v>0</v>
      </c>
      <c r="BE317" s="7" t="s">
        <v>47</v>
      </c>
      <c r="BI317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7" s="7">
        <f>SUM(cna_product_database_catalog_website[[#This Row],[Carton CFT]]/61024)</f>
        <v>0</v>
      </c>
      <c r="BM317" s="7" t="s">
        <v>47</v>
      </c>
      <c r="BN317" s="7" t="s">
        <v>47</v>
      </c>
      <c r="BO317" s="7" t="s">
        <v>47</v>
      </c>
      <c r="BP317" s="7" t="s">
        <v>47</v>
      </c>
      <c r="BQ317" s="7" t="s">
        <v>47</v>
      </c>
      <c r="BS317" s="7" t="s">
        <v>47</v>
      </c>
      <c r="BT317" s="7" t="s">
        <v>47</v>
      </c>
      <c r="BU317" s="7" t="s">
        <v>47</v>
      </c>
      <c r="BW317" s="7" t="s">
        <v>47</v>
      </c>
      <c r="BX317" s="7" t="s">
        <v>47</v>
      </c>
      <c r="BY317" s="7" t="s">
        <v>47</v>
      </c>
      <c r="BZ317" s="7" t="s">
        <v>47</v>
      </c>
      <c r="CA317" s="7" t="s">
        <v>47</v>
      </c>
      <c r="CB317" s="7" t="s">
        <v>47</v>
      </c>
      <c r="CC317" s="7" t="s">
        <v>47</v>
      </c>
      <c r="CD317" s="7" t="s">
        <v>47</v>
      </c>
      <c r="CE317" s="7" t="s">
        <v>47</v>
      </c>
      <c r="CF317" s="7" t="s">
        <v>47</v>
      </c>
      <c r="CG317" s="7" t="s">
        <v>47</v>
      </c>
      <c r="CH317" s="7" t="s">
        <v>47</v>
      </c>
      <c r="CI317" s="7" t="s">
        <v>47</v>
      </c>
      <c r="CJ317" s="7" t="s">
        <v>47</v>
      </c>
    </row>
    <row r="318" spans="1:88" s="7" customFormat="1" x14ac:dyDescent="0.25">
      <c r="A318" t="s">
        <v>930</v>
      </c>
      <c r="B318" t="s">
        <v>706</v>
      </c>
      <c r="C318" t="s">
        <v>1218</v>
      </c>
      <c r="D318" t="s">
        <v>2025</v>
      </c>
      <c r="E318">
        <v>3710</v>
      </c>
      <c r="F318" t="s">
        <v>467</v>
      </c>
      <c r="G318">
        <v>222</v>
      </c>
      <c r="H318" s="9">
        <v>3.05</v>
      </c>
      <c r="I318" t="s">
        <v>467</v>
      </c>
      <c r="J318" t="s">
        <v>467</v>
      </c>
      <c r="K318" t="s">
        <v>2207</v>
      </c>
      <c r="L318" t="s">
        <v>45</v>
      </c>
      <c r="M318" s="10"/>
      <c r="N318" s="7" t="s">
        <v>46</v>
      </c>
      <c r="O318" s="8">
        <v>1</v>
      </c>
      <c r="P318" s="8">
        <v>1</v>
      </c>
      <c r="Q318" s="7" t="s">
        <v>218</v>
      </c>
      <c r="R318" s="7" t="s">
        <v>451</v>
      </c>
      <c r="S318" s="7" t="s">
        <v>47</v>
      </c>
      <c r="T318" s="7" t="s">
        <v>47</v>
      </c>
      <c r="U318" s="7" t="s">
        <v>47</v>
      </c>
      <c r="V318" s="7" t="s">
        <v>47</v>
      </c>
      <c r="W318" s="7" t="s">
        <v>47</v>
      </c>
      <c r="X318" s="7" t="s">
        <v>47</v>
      </c>
      <c r="Y318" s="8" t="s">
        <v>47</v>
      </c>
      <c r="Z318" s="8" t="s">
        <v>47</v>
      </c>
      <c r="AA318" s="8" t="s">
        <v>47</v>
      </c>
      <c r="AB318" s="11" t="s">
        <v>47</v>
      </c>
      <c r="AC318" s="11" t="s">
        <v>47</v>
      </c>
      <c r="AD318" s="7" t="s">
        <v>47</v>
      </c>
      <c r="AF318" s="7" t="s">
        <v>47</v>
      </c>
      <c r="AG318" s="7" t="s">
        <v>47</v>
      </c>
      <c r="AH318" s="7" t="s">
        <v>47</v>
      </c>
      <c r="AI318" s="7" t="s">
        <v>47</v>
      </c>
      <c r="AL318" s="7" t="s">
        <v>47</v>
      </c>
      <c r="AO318" s="7" t="s">
        <v>47</v>
      </c>
      <c r="AP318" s="7" t="s">
        <v>47</v>
      </c>
      <c r="AQ318" s="7" t="s">
        <v>47</v>
      </c>
      <c r="AV318" s="7" t="s">
        <v>468</v>
      </c>
      <c r="AW318" s="7" t="s">
        <v>47</v>
      </c>
      <c r="AX318" s="12" t="s">
        <v>64</v>
      </c>
      <c r="AY318" s="12" t="s">
        <v>57</v>
      </c>
      <c r="BC318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8" s="7">
        <f>SUM(cna_product_database_catalog_website[[#This Row],[Box CBM]]*35.3147)</f>
        <v>0</v>
      </c>
      <c r="BE318" s="7" t="s">
        <v>47</v>
      </c>
      <c r="BI318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8" s="7">
        <f>SUM(cna_product_database_catalog_website[[#This Row],[Carton CFT]]/61024)</f>
        <v>0</v>
      </c>
      <c r="BM318" s="7" t="s">
        <v>47</v>
      </c>
      <c r="BN318" s="7" t="s">
        <v>47</v>
      </c>
      <c r="BO318" s="7" t="s">
        <v>47</v>
      </c>
      <c r="BP318" s="7" t="s">
        <v>47</v>
      </c>
      <c r="BQ318" s="7" t="s">
        <v>47</v>
      </c>
      <c r="BS318" s="7" t="s">
        <v>47</v>
      </c>
      <c r="BT318" s="7" t="s">
        <v>47</v>
      </c>
      <c r="BU318" s="7" t="s">
        <v>47</v>
      </c>
      <c r="BW318" s="7" t="s">
        <v>47</v>
      </c>
      <c r="BX318" s="7" t="s">
        <v>47</v>
      </c>
      <c r="BY318" s="7" t="s">
        <v>47</v>
      </c>
      <c r="BZ318" s="7" t="s">
        <v>47</v>
      </c>
      <c r="CA318" s="7" t="s">
        <v>47</v>
      </c>
      <c r="CB318" s="7" t="s">
        <v>47</v>
      </c>
      <c r="CC318" s="7" t="s">
        <v>47</v>
      </c>
      <c r="CD318" s="7" t="s">
        <v>47</v>
      </c>
      <c r="CE318" s="7" t="s">
        <v>47</v>
      </c>
      <c r="CF318" s="7" t="s">
        <v>47</v>
      </c>
      <c r="CG318" s="7" t="s">
        <v>47</v>
      </c>
      <c r="CH318" s="7" t="s">
        <v>47</v>
      </c>
      <c r="CI318" s="7" t="s">
        <v>47</v>
      </c>
      <c r="CJ318" s="7" t="s">
        <v>47</v>
      </c>
    </row>
    <row r="319" spans="1:88" s="7" customFormat="1" x14ac:dyDescent="0.25">
      <c r="A319" t="s">
        <v>930</v>
      </c>
      <c r="B319" t="s">
        <v>706</v>
      </c>
      <c r="C319" t="s">
        <v>1219</v>
      </c>
      <c r="D319" t="s">
        <v>2026</v>
      </c>
      <c r="E319">
        <v>3715</v>
      </c>
      <c r="F319" t="s">
        <v>469</v>
      </c>
      <c r="G319">
        <v>496</v>
      </c>
      <c r="H319" s="9">
        <v>3.05</v>
      </c>
      <c r="I319" t="s">
        <v>469</v>
      </c>
      <c r="J319" t="s">
        <v>469</v>
      </c>
      <c r="K319" t="s">
        <v>2207</v>
      </c>
      <c r="L319" t="s">
        <v>45</v>
      </c>
      <c r="M319" s="10"/>
      <c r="N319" s="7" t="s">
        <v>46</v>
      </c>
      <c r="O319" s="8">
        <v>1</v>
      </c>
      <c r="P319" s="8">
        <v>1</v>
      </c>
      <c r="Q319" s="7" t="s">
        <v>218</v>
      </c>
      <c r="R319" s="7" t="s">
        <v>451</v>
      </c>
      <c r="S319" s="7" t="s">
        <v>47</v>
      </c>
      <c r="T319" s="7" t="s">
        <v>47</v>
      </c>
      <c r="U319" s="7" t="s">
        <v>47</v>
      </c>
      <c r="V319" s="7" t="s">
        <v>47</v>
      </c>
      <c r="W319" s="7" t="s">
        <v>47</v>
      </c>
      <c r="X319" s="7" t="s">
        <v>47</v>
      </c>
      <c r="Y319" s="8" t="s">
        <v>47</v>
      </c>
      <c r="Z319" s="8" t="s">
        <v>47</v>
      </c>
      <c r="AA319" s="8" t="s">
        <v>47</v>
      </c>
      <c r="AB319" s="11" t="s">
        <v>47</v>
      </c>
      <c r="AC319" s="11" t="s">
        <v>47</v>
      </c>
      <c r="AD319" s="7" t="s">
        <v>47</v>
      </c>
      <c r="AF319" s="7" t="s">
        <v>47</v>
      </c>
      <c r="AG319" s="7" t="s">
        <v>47</v>
      </c>
      <c r="AH319" s="7" t="s">
        <v>47</v>
      </c>
      <c r="AI319" s="7" t="s">
        <v>47</v>
      </c>
      <c r="AL319" s="7" t="s">
        <v>47</v>
      </c>
      <c r="AO319" s="7" t="s">
        <v>47</v>
      </c>
      <c r="AP319" s="7" t="s">
        <v>47</v>
      </c>
      <c r="AQ319" s="7" t="s">
        <v>47</v>
      </c>
      <c r="AV319" s="7" t="s">
        <v>468</v>
      </c>
      <c r="AW319" s="7" t="s">
        <v>47</v>
      </c>
      <c r="AX319" s="12" t="s">
        <v>64</v>
      </c>
      <c r="AY319" s="12" t="s">
        <v>57</v>
      </c>
      <c r="BC319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19" s="7">
        <f>SUM(cna_product_database_catalog_website[[#This Row],[Box CBM]]*35.3147)</f>
        <v>0</v>
      </c>
      <c r="BE319" s="7" t="s">
        <v>47</v>
      </c>
      <c r="BI319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19" s="7">
        <f>SUM(cna_product_database_catalog_website[[#This Row],[Carton CFT]]/61024)</f>
        <v>0</v>
      </c>
      <c r="BM319" s="7" t="s">
        <v>47</v>
      </c>
      <c r="BN319" s="7" t="s">
        <v>47</v>
      </c>
      <c r="BO319" s="7" t="s">
        <v>47</v>
      </c>
      <c r="BP319" s="7" t="s">
        <v>47</v>
      </c>
      <c r="BQ319" s="7" t="s">
        <v>47</v>
      </c>
      <c r="BS319" s="7" t="s">
        <v>47</v>
      </c>
      <c r="BT319" s="7" t="s">
        <v>47</v>
      </c>
      <c r="BU319" s="7" t="s">
        <v>47</v>
      </c>
      <c r="BW319" s="7" t="s">
        <v>47</v>
      </c>
      <c r="BX319" s="7" t="s">
        <v>47</v>
      </c>
      <c r="BY319" s="7" t="s">
        <v>47</v>
      </c>
      <c r="BZ319" s="7" t="s">
        <v>47</v>
      </c>
      <c r="CA319" s="7" t="s">
        <v>47</v>
      </c>
      <c r="CB319" s="7" t="s">
        <v>47</v>
      </c>
      <c r="CC319" s="7" t="s">
        <v>47</v>
      </c>
      <c r="CD319" s="7" t="s">
        <v>47</v>
      </c>
      <c r="CE319" s="7" t="s">
        <v>47</v>
      </c>
      <c r="CF319" s="7" t="s">
        <v>47</v>
      </c>
      <c r="CG319" s="7" t="s">
        <v>47</v>
      </c>
      <c r="CH319" s="7" t="s">
        <v>47</v>
      </c>
      <c r="CI319" s="7" t="s">
        <v>47</v>
      </c>
      <c r="CJ319" s="7" t="s">
        <v>47</v>
      </c>
    </row>
    <row r="320" spans="1:88" s="7" customFormat="1" x14ac:dyDescent="0.25">
      <c r="A320" t="s">
        <v>930</v>
      </c>
      <c r="B320" t="s">
        <v>706</v>
      </c>
      <c r="C320" t="s">
        <v>1220</v>
      </c>
      <c r="D320" t="s">
        <v>2027</v>
      </c>
      <c r="E320">
        <v>3720</v>
      </c>
      <c r="F320" t="s">
        <v>470</v>
      </c>
      <c r="G320">
        <v>497</v>
      </c>
      <c r="H320" s="9">
        <v>3.05</v>
      </c>
      <c r="I320" t="s">
        <v>470</v>
      </c>
      <c r="J320" t="s">
        <v>470</v>
      </c>
      <c r="K320" t="s">
        <v>2207</v>
      </c>
      <c r="L320" t="s">
        <v>45</v>
      </c>
      <c r="M320" s="10"/>
      <c r="N320" s="7" t="s">
        <v>46</v>
      </c>
      <c r="O320" s="8">
        <v>1</v>
      </c>
      <c r="P320" s="8">
        <v>1</v>
      </c>
      <c r="Q320" s="7" t="s">
        <v>218</v>
      </c>
      <c r="R320" s="7" t="s">
        <v>451</v>
      </c>
      <c r="S320" s="7" t="s">
        <v>47</v>
      </c>
      <c r="T320" s="7" t="s">
        <v>47</v>
      </c>
      <c r="U320" s="7" t="s">
        <v>47</v>
      </c>
      <c r="V320" s="7" t="s">
        <v>47</v>
      </c>
      <c r="W320" s="7" t="s">
        <v>47</v>
      </c>
      <c r="X320" s="7" t="s">
        <v>47</v>
      </c>
      <c r="Y320" s="8" t="s">
        <v>47</v>
      </c>
      <c r="Z320" s="8" t="s">
        <v>47</v>
      </c>
      <c r="AA320" s="8" t="s">
        <v>47</v>
      </c>
      <c r="AB320" s="11" t="s">
        <v>47</v>
      </c>
      <c r="AC320" s="11" t="s">
        <v>47</v>
      </c>
      <c r="AD320" s="7" t="s">
        <v>47</v>
      </c>
      <c r="AF320" s="7" t="s">
        <v>47</v>
      </c>
      <c r="AG320" s="7" t="s">
        <v>47</v>
      </c>
      <c r="AH320" s="7" t="s">
        <v>47</v>
      </c>
      <c r="AI320" s="7" t="s">
        <v>47</v>
      </c>
      <c r="AL320" s="7" t="s">
        <v>47</v>
      </c>
      <c r="AO320" s="7" t="s">
        <v>47</v>
      </c>
      <c r="AP320" s="7" t="s">
        <v>47</v>
      </c>
      <c r="AQ320" s="7" t="s">
        <v>47</v>
      </c>
      <c r="AV320" s="7" t="s">
        <v>468</v>
      </c>
      <c r="AW320" s="7" t="s">
        <v>47</v>
      </c>
      <c r="AX320" s="12" t="s">
        <v>64</v>
      </c>
      <c r="AY320" s="12" t="s">
        <v>57</v>
      </c>
      <c r="BC320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0" s="7">
        <f>SUM(cna_product_database_catalog_website[[#This Row],[Box CBM]]*35.3147)</f>
        <v>0</v>
      </c>
      <c r="BE320" s="7" t="s">
        <v>47</v>
      </c>
      <c r="BI320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0" s="7">
        <f>SUM(cna_product_database_catalog_website[[#This Row],[Carton CFT]]/61024)</f>
        <v>0</v>
      </c>
      <c r="BM320" s="7" t="s">
        <v>47</v>
      </c>
      <c r="BN320" s="7" t="s">
        <v>47</v>
      </c>
      <c r="BO320" s="7" t="s">
        <v>47</v>
      </c>
      <c r="BP320" s="7" t="s">
        <v>47</v>
      </c>
      <c r="BQ320" s="7" t="s">
        <v>47</v>
      </c>
      <c r="BS320" s="7" t="s">
        <v>47</v>
      </c>
      <c r="BT320" s="7" t="s">
        <v>47</v>
      </c>
      <c r="BU320" s="7" t="s">
        <v>47</v>
      </c>
      <c r="BW320" s="7" t="s">
        <v>47</v>
      </c>
      <c r="BX320" s="7" t="s">
        <v>47</v>
      </c>
      <c r="BY320" s="7" t="s">
        <v>47</v>
      </c>
      <c r="BZ320" s="7" t="s">
        <v>47</v>
      </c>
      <c r="CA320" s="7" t="s">
        <v>47</v>
      </c>
      <c r="CB320" s="7" t="s">
        <v>47</v>
      </c>
      <c r="CC320" s="7" t="s">
        <v>47</v>
      </c>
      <c r="CD320" s="7" t="s">
        <v>47</v>
      </c>
      <c r="CE320" s="7" t="s">
        <v>47</v>
      </c>
      <c r="CF320" s="7" t="s">
        <v>47</v>
      </c>
      <c r="CG320" s="7" t="s">
        <v>47</v>
      </c>
      <c r="CH320" s="7" t="s">
        <v>47</v>
      </c>
      <c r="CI320" s="7" t="s">
        <v>47</v>
      </c>
      <c r="CJ320" s="7" t="s">
        <v>47</v>
      </c>
    </row>
    <row r="321" spans="1:88" s="7" customFormat="1" x14ac:dyDescent="0.25">
      <c r="A321" t="s">
        <v>930</v>
      </c>
      <c r="B321" t="s">
        <v>706</v>
      </c>
      <c r="C321" t="s">
        <v>1221</v>
      </c>
      <c r="D321" t="s">
        <v>2028</v>
      </c>
      <c r="E321">
        <v>3725</v>
      </c>
      <c r="F321" t="s">
        <v>471</v>
      </c>
      <c r="G321">
        <v>223</v>
      </c>
      <c r="H321" s="9">
        <v>3.2</v>
      </c>
      <c r="I321" t="s">
        <v>471</v>
      </c>
      <c r="J321" t="s">
        <v>471</v>
      </c>
      <c r="K321" t="s">
        <v>2207</v>
      </c>
      <c r="L321" t="s">
        <v>45</v>
      </c>
      <c r="M321" s="10"/>
      <c r="N321" s="7" t="s">
        <v>46</v>
      </c>
      <c r="O321" s="8">
        <v>1</v>
      </c>
      <c r="P321" s="8">
        <v>1</v>
      </c>
      <c r="Q321" s="7" t="s">
        <v>472</v>
      </c>
      <c r="R321" s="7" t="s">
        <v>451</v>
      </c>
      <c r="S321" s="7" t="s">
        <v>47</v>
      </c>
      <c r="T321" s="7" t="s">
        <v>47</v>
      </c>
      <c r="U321" s="7" t="s">
        <v>47</v>
      </c>
      <c r="V321" s="7" t="s">
        <v>47</v>
      </c>
      <c r="W321" s="7" t="s">
        <v>47</v>
      </c>
      <c r="X321" s="7" t="s">
        <v>47</v>
      </c>
      <c r="Y321" s="8" t="s">
        <v>47</v>
      </c>
      <c r="Z321" s="8" t="s">
        <v>47</v>
      </c>
      <c r="AA321" s="8" t="s">
        <v>47</v>
      </c>
      <c r="AB321" s="11" t="s">
        <v>47</v>
      </c>
      <c r="AC321" s="11" t="s">
        <v>47</v>
      </c>
      <c r="AD321" s="7" t="s">
        <v>47</v>
      </c>
      <c r="AF321" s="7" t="s">
        <v>47</v>
      </c>
      <c r="AG321" s="7" t="s">
        <v>47</v>
      </c>
      <c r="AH321" s="7" t="s">
        <v>47</v>
      </c>
      <c r="AI321" s="7" t="s">
        <v>47</v>
      </c>
      <c r="AL321" s="7" t="s">
        <v>47</v>
      </c>
      <c r="AO321" s="7" t="s">
        <v>47</v>
      </c>
      <c r="AP321" s="7" t="s">
        <v>47</v>
      </c>
      <c r="AQ321" s="7" t="s">
        <v>47</v>
      </c>
      <c r="AV321" s="7" t="s">
        <v>473</v>
      </c>
      <c r="AW321" s="7" t="s">
        <v>47</v>
      </c>
      <c r="AX321" s="12" t="s">
        <v>64</v>
      </c>
      <c r="AY321" s="12" t="s">
        <v>57</v>
      </c>
      <c r="BC321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1" s="7">
        <f>SUM(cna_product_database_catalog_website[[#This Row],[Box CBM]]*35.3147)</f>
        <v>0</v>
      </c>
      <c r="BE321" s="7" t="s">
        <v>47</v>
      </c>
      <c r="BI321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1" s="7">
        <f>SUM(cna_product_database_catalog_website[[#This Row],[Carton CFT]]/61024)</f>
        <v>0</v>
      </c>
      <c r="BM321" s="7" t="s">
        <v>47</v>
      </c>
      <c r="BN321" s="7" t="s">
        <v>47</v>
      </c>
      <c r="BO321" s="7" t="s">
        <v>47</v>
      </c>
      <c r="BP321" s="7" t="s">
        <v>47</v>
      </c>
      <c r="BQ321" s="7" t="s">
        <v>47</v>
      </c>
      <c r="BS321" s="7" t="s">
        <v>47</v>
      </c>
      <c r="BT321" s="7" t="s">
        <v>47</v>
      </c>
      <c r="BU321" s="7" t="s">
        <v>47</v>
      </c>
      <c r="BW321" s="7" t="s">
        <v>47</v>
      </c>
      <c r="BX321" s="7" t="s">
        <v>47</v>
      </c>
      <c r="BY321" s="7" t="s">
        <v>47</v>
      </c>
      <c r="BZ321" s="7" t="s">
        <v>47</v>
      </c>
      <c r="CA321" s="7" t="s">
        <v>47</v>
      </c>
      <c r="CB321" s="7" t="s">
        <v>47</v>
      </c>
      <c r="CC321" s="7" t="s">
        <v>47</v>
      </c>
      <c r="CD321" s="7" t="s">
        <v>47</v>
      </c>
      <c r="CE321" s="7" t="s">
        <v>47</v>
      </c>
      <c r="CF321" s="7" t="s">
        <v>47</v>
      </c>
      <c r="CG321" s="7" t="s">
        <v>47</v>
      </c>
      <c r="CH321" s="7" t="s">
        <v>47</v>
      </c>
      <c r="CI321" s="7" t="s">
        <v>47</v>
      </c>
      <c r="CJ321" s="7" t="s">
        <v>47</v>
      </c>
    </row>
    <row r="322" spans="1:88" s="7" customFormat="1" x14ac:dyDescent="0.25">
      <c r="A322" t="s">
        <v>930</v>
      </c>
      <c r="B322" t="s">
        <v>706</v>
      </c>
      <c r="C322" t="s">
        <v>1222</v>
      </c>
      <c r="D322" t="s">
        <v>2029</v>
      </c>
      <c r="E322">
        <v>3730</v>
      </c>
      <c r="F322" t="s">
        <v>474</v>
      </c>
      <c r="G322">
        <v>498</v>
      </c>
      <c r="H322" s="9">
        <v>3.2</v>
      </c>
      <c r="I322" t="s">
        <v>474</v>
      </c>
      <c r="J322" t="s">
        <v>474</v>
      </c>
      <c r="K322" t="s">
        <v>2207</v>
      </c>
      <c r="L322" t="s">
        <v>45</v>
      </c>
      <c r="M322" s="10"/>
      <c r="N322" s="7" t="s">
        <v>46</v>
      </c>
      <c r="O322" s="8">
        <v>1</v>
      </c>
      <c r="P322" s="8">
        <v>1</v>
      </c>
      <c r="Q322" s="7" t="s">
        <v>472</v>
      </c>
      <c r="R322" s="7" t="s">
        <v>451</v>
      </c>
      <c r="S322" s="7" t="s">
        <v>47</v>
      </c>
      <c r="T322" s="7" t="s">
        <v>47</v>
      </c>
      <c r="U322" s="7" t="s">
        <v>47</v>
      </c>
      <c r="V322" s="7" t="s">
        <v>47</v>
      </c>
      <c r="W322" s="7" t="s">
        <v>47</v>
      </c>
      <c r="X322" s="7" t="s">
        <v>47</v>
      </c>
      <c r="Y322" s="8" t="s">
        <v>47</v>
      </c>
      <c r="Z322" s="8" t="s">
        <v>47</v>
      </c>
      <c r="AA322" s="8" t="s">
        <v>47</v>
      </c>
      <c r="AB322" s="11" t="s">
        <v>47</v>
      </c>
      <c r="AC322" s="11" t="s">
        <v>47</v>
      </c>
      <c r="AD322" s="7" t="s">
        <v>47</v>
      </c>
      <c r="AF322" s="7" t="s">
        <v>47</v>
      </c>
      <c r="AG322" s="7" t="s">
        <v>47</v>
      </c>
      <c r="AH322" s="7" t="s">
        <v>47</v>
      </c>
      <c r="AI322" s="7" t="s">
        <v>47</v>
      </c>
      <c r="AL322" s="7" t="s">
        <v>47</v>
      </c>
      <c r="AO322" s="7" t="s">
        <v>47</v>
      </c>
      <c r="AP322" s="7" t="s">
        <v>47</v>
      </c>
      <c r="AQ322" s="7" t="s">
        <v>47</v>
      </c>
      <c r="AV322" s="7" t="s">
        <v>473</v>
      </c>
      <c r="AW322" s="7" t="s">
        <v>47</v>
      </c>
      <c r="AX322" s="12" t="s">
        <v>64</v>
      </c>
      <c r="AY322" s="12" t="s">
        <v>57</v>
      </c>
      <c r="BC322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2" s="7">
        <f>SUM(cna_product_database_catalog_website[[#This Row],[Box CBM]]*35.3147)</f>
        <v>0</v>
      </c>
      <c r="BE322" s="7" t="s">
        <v>47</v>
      </c>
      <c r="BI322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2" s="7">
        <f>SUM(cna_product_database_catalog_website[[#This Row],[Carton CFT]]/61024)</f>
        <v>0</v>
      </c>
      <c r="BM322" s="7" t="s">
        <v>47</v>
      </c>
      <c r="BN322" s="7" t="s">
        <v>47</v>
      </c>
      <c r="BO322" s="7" t="s">
        <v>47</v>
      </c>
      <c r="BP322" s="7" t="s">
        <v>47</v>
      </c>
      <c r="BQ322" s="7" t="s">
        <v>47</v>
      </c>
      <c r="BS322" s="7" t="s">
        <v>47</v>
      </c>
      <c r="BT322" s="7" t="s">
        <v>47</v>
      </c>
      <c r="BU322" s="7" t="s">
        <v>47</v>
      </c>
      <c r="BW322" s="7" t="s">
        <v>47</v>
      </c>
      <c r="BX322" s="7" t="s">
        <v>47</v>
      </c>
      <c r="BY322" s="7" t="s">
        <v>47</v>
      </c>
      <c r="BZ322" s="7" t="s">
        <v>47</v>
      </c>
      <c r="CA322" s="7" t="s">
        <v>47</v>
      </c>
      <c r="CB322" s="7" t="s">
        <v>47</v>
      </c>
      <c r="CC322" s="7" t="s">
        <v>47</v>
      </c>
      <c r="CD322" s="7" t="s">
        <v>47</v>
      </c>
      <c r="CE322" s="7" t="s">
        <v>47</v>
      </c>
      <c r="CF322" s="7" t="s">
        <v>47</v>
      </c>
      <c r="CG322" s="7" t="s">
        <v>47</v>
      </c>
      <c r="CH322" s="7" t="s">
        <v>47</v>
      </c>
      <c r="CI322" s="7" t="s">
        <v>47</v>
      </c>
      <c r="CJ322" s="7" t="s">
        <v>47</v>
      </c>
    </row>
    <row r="323" spans="1:88" s="7" customFormat="1" x14ac:dyDescent="0.25">
      <c r="A323" t="s">
        <v>930</v>
      </c>
      <c r="B323" t="s">
        <v>706</v>
      </c>
      <c r="C323" t="s">
        <v>1223</v>
      </c>
      <c r="D323" t="s">
        <v>2030</v>
      </c>
      <c r="E323">
        <v>3735</v>
      </c>
      <c r="F323" t="s">
        <v>475</v>
      </c>
      <c r="G323">
        <v>501</v>
      </c>
      <c r="H323" s="9">
        <v>3.45</v>
      </c>
      <c r="I323" t="s">
        <v>475</v>
      </c>
      <c r="J323" t="s">
        <v>475</v>
      </c>
      <c r="K323" t="s">
        <v>2207</v>
      </c>
      <c r="L323" t="s">
        <v>45</v>
      </c>
      <c r="M323" s="10"/>
      <c r="N323" s="7" t="s">
        <v>46</v>
      </c>
      <c r="O323" s="8">
        <v>1</v>
      </c>
      <c r="P323" s="8">
        <v>1</v>
      </c>
      <c r="Q323" s="7" t="s">
        <v>361</v>
      </c>
      <c r="R323" s="7" t="s">
        <v>451</v>
      </c>
      <c r="S323" s="7" t="s">
        <v>47</v>
      </c>
      <c r="T323" s="7" t="s">
        <v>47</v>
      </c>
      <c r="U323" s="7" t="s">
        <v>47</v>
      </c>
      <c r="V323" s="7" t="s">
        <v>47</v>
      </c>
      <c r="W323" s="7" t="s">
        <v>47</v>
      </c>
      <c r="X323" s="7" t="s">
        <v>47</v>
      </c>
      <c r="Y323" s="8" t="s">
        <v>47</v>
      </c>
      <c r="Z323" s="8" t="s">
        <v>47</v>
      </c>
      <c r="AA323" s="8" t="s">
        <v>47</v>
      </c>
      <c r="AB323" s="11" t="s">
        <v>47</v>
      </c>
      <c r="AC323" s="11" t="s">
        <v>47</v>
      </c>
      <c r="AD323" s="7" t="s">
        <v>47</v>
      </c>
      <c r="AF323" s="7" t="s">
        <v>47</v>
      </c>
      <c r="AG323" s="7" t="s">
        <v>47</v>
      </c>
      <c r="AH323" s="7" t="s">
        <v>47</v>
      </c>
      <c r="AI323" s="7" t="s">
        <v>47</v>
      </c>
      <c r="AL323" s="7" t="s">
        <v>47</v>
      </c>
      <c r="AO323" s="7" t="s">
        <v>47</v>
      </c>
      <c r="AP323" s="7" t="s">
        <v>47</v>
      </c>
      <c r="AQ323" s="7" t="s">
        <v>47</v>
      </c>
      <c r="AV323" s="7" t="s">
        <v>476</v>
      </c>
      <c r="AW323" s="7" t="s">
        <v>47</v>
      </c>
      <c r="AX323" s="12" t="s">
        <v>64</v>
      </c>
      <c r="AY323" s="12" t="s">
        <v>57</v>
      </c>
      <c r="BC323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3" s="7">
        <f>SUM(cna_product_database_catalog_website[[#This Row],[Box CBM]]*35.3147)</f>
        <v>0</v>
      </c>
      <c r="BE323" s="7" t="s">
        <v>47</v>
      </c>
      <c r="BI323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3" s="7">
        <f>SUM(cna_product_database_catalog_website[[#This Row],[Carton CFT]]/61024)</f>
        <v>0</v>
      </c>
      <c r="BM323" s="7" t="s">
        <v>47</v>
      </c>
      <c r="BN323" s="7" t="s">
        <v>47</v>
      </c>
      <c r="BO323" s="7" t="s">
        <v>47</v>
      </c>
      <c r="BP323" s="7" t="s">
        <v>47</v>
      </c>
      <c r="BQ323" s="7" t="s">
        <v>47</v>
      </c>
      <c r="BS323" s="7" t="s">
        <v>47</v>
      </c>
      <c r="BT323" s="7" t="s">
        <v>47</v>
      </c>
      <c r="BU323" s="7" t="s">
        <v>47</v>
      </c>
      <c r="BW323" s="7" t="s">
        <v>47</v>
      </c>
      <c r="BX323" s="7" t="s">
        <v>47</v>
      </c>
      <c r="BY323" s="7" t="s">
        <v>47</v>
      </c>
      <c r="BZ323" s="7" t="s">
        <v>47</v>
      </c>
      <c r="CA323" s="7" t="s">
        <v>47</v>
      </c>
      <c r="CB323" s="7" t="s">
        <v>47</v>
      </c>
      <c r="CC323" s="7" t="s">
        <v>47</v>
      </c>
      <c r="CD323" s="7" t="s">
        <v>47</v>
      </c>
      <c r="CE323" s="7" t="s">
        <v>47</v>
      </c>
      <c r="CF323" s="7" t="s">
        <v>47</v>
      </c>
      <c r="CG323" s="7" t="s">
        <v>47</v>
      </c>
      <c r="CH323" s="7" t="s">
        <v>47</v>
      </c>
      <c r="CI323" s="7" t="s">
        <v>47</v>
      </c>
      <c r="CJ323" s="7" t="s">
        <v>47</v>
      </c>
    </row>
    <row r="324" spans="1:88" s="7" customFormat="1" x14ac:dyDescent="0.25">
      <c r="A324" t="s">
        <v>1488</v>
      </c>
      <c r="B324" t="s">
        <v>707</v>
      </c>
      <c r="C324" t="s">
        <v>1224</v>
      </c>
      <c r="D324" t="s">
        <v>2031</v>
      </c>
      <c r="E324">
        <v>3800</v>
      </c>
      <c r="F324" t="s">
        <v>477</v>
      </c>
      <c r="G324">
        <v>545</v>
      </c>
      <c r="H324" s="9">
        <v>1.5</v>
      </c>
      <c r="I324" t="s">
        <v>477</v>
      </c>
      <c r="J324" t="s">
        <v>477</v>
      </c>
      <c r="K324" t="s">
        <v>2208</v>
      </c>
      <c r="L324" t="s">
        <v>2209</v>
      </c>
      <c r="M324" s="10" t="str">
        <f>HYPERLINK(cna_product_database_catalog_website[[#This Row],[Spec Sheet Link]], cna_product_database_catalog_website[[#Headers],[Spec Sheet Link]])</f>
        <v>Spec Sheet Link</v>
      </c>
      <c r="N324" s="7" t="s">
        <v>46</v>
      </c>
      <c r="O324" s="8">
        <v>1</v>
      </c>
      <c r="P324" s="8">
        <v>1</v>
      </c>
      <c r="Q324" s="7" t="s">
        <v>478</v>
      </c>
      <c r="R324" s="7" t="s">
        <v>451</v>
      </c>
      <c r="S324" s="7" t="s">
        <v>479</v>
      </c>
      <c r="T324" s="7" t="s">
        <v>47</v>
      </c>
      <c r="U324" s="7" t="s">
        <v>480</v>
      </c>
      <c r="V324" s="7" t="s">
        <v>47</v>
      </c>
      <c r="W324" s="7" t="s">
        <v>481</v>
      </c>
      <c r="X324" s="7" t="s">
        <v>441</v>
      </c>
      <c r="Y324" s="8" t="s">
        <v>47</v>
      </c>
      <c r="Z324" s="8" t="s">
        <v>552</v>
      </c>
      <c r="AA324" s="8" t="s">
        <v>47</v>
      </c>
      <c r="AB324" s="11" t="s">
        <v>47</v>
      </c>
      <c r="AC324" s="11" t="s">
        <v>47</v>
      </c>
      <c r="AD324" s="7" t="s">
        <v>47</v>
      </c>
      <c r="AF324" s="7" t="s">
        <v>482</v>
      </c>
      <c r="AG324" s="7" t="s">
        <v>47</v>
      </c>
      <c r="AH324" s="7" t="s">
        <v>47</v>
      </c>
      <c r="AI324" s="7" t="s">
        <v>47</v>
      </c>
      <c r="AL324" s="7" t="s">
        <v>47</v>
      </c>
      <c r="AO324" s="7" t="s">
        <v>47</v>
      </c>
      <c r="AP324" s="7" t="s">
        <v>47</v>
      </c>
      <c r="AQ324" s="7" t="s">
        <v>47</v>
      </c>
      <c r="AV324" s="7" t="s">
        <v>483</v>
      </c>
      <c r="AW324" s="7" t="s">
        <v>47</v>
      </c>
      <c r="AX324" s="12" t="s">
        <v>78</v>
      </c>
      <c r="AY324" s="12" t="s">
        <v>78</v>
      </c>
      <c r="BC324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4" s="7">
        <f>SUM(cna_product_database_catalog_website[[#This Row],[Box CBM]]*35.3147)</f>
        <v>0</v>
      </c>
      <c r="BE324" s="7" t="s">
        <v>47</v>
      </c>
      <c r="BI324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4" s="7">
        <f>SUM(cna_product_database_catalog_website[[#This Row],[Carton CFT]]/61024)</f>
        <v>0</v>
      </c>
      <c r="BM324" s="7" t="s">
        <v>47</v>
      </c>
      <c r="BN324" s="7" t="s">
        <v>47</v>
      </c>
      <c r="BO324" s="7" t="s">
        <v>47</v>
      </c>
      <c r="BP324" s="7" t="s">
        <v>47</v>
      </c>
      <c r="BQ324" s="7" t="s">
        <v>47</v>
      </c>
      <c r="BS324" s="7" t="s">
        <v>47</v>
      </c>
      <c r="BT324" s="7" t="s">
        <v>47</v>
      </c>
      <c r="BU324" s="7" t="s">
        <v>47</v>
      </c>
      <c r="BW324" s="7" t="s">
        <v>47</v>
      </c>
      <c r="BX324" s="7" t="s">
        <v>47</v>
      </c>
      <c r="BY324" s="7" t="s">
        <v>47</v>
      </c>
      <c r="BZ324" s="7" t="s">
        <v>47</v>
      </c>
      <c r="CA324" s="7" t="s">
        <v>47</v>
      </c>
      <c r="CB324" s="7" t="s">
        <v>47</v>
      </c>
      <c r="CC324" s="7" t="s">
        <v>47</v>
      </c>
      <c r="CD324" s="7" t="s">
        <v>47</v>
      </c>
      <c r="CE324" s="7" t="s">
        <v>47</v>
      </c>
      <c r="CF324" s="7" t="s">
        <v>47</v>
      </c>
      <c r="CG324" s="7" t="s">
        <v>47</v>
      </c>
      <c r="CH324" s="7" t="s">
        <v>47</v>
      </c>
      <c r="CI324" s="7" t="s">
        <v>47</v>
      </c>
      <c r="CJ324" s="7" t="s">
        <v>47</v>
      </c>
    </row>
    <row r="325" spans="1:88" s="7" customFormat="1" x14ac:dyDescent="0.25">
      <c r="A325" t="s">
        <v>1488</v>
      </c>
      <c r="B325" t="s">
        <v>708</v>
      </c>
      <c r="C325" t="s">
        <v>1225</v>
      </c>
      <c r="D325" t="s">
        <v>2032</v>
      </c>
      <c r="E325">
        <v>3805</v>
      </c>
      <c r="F325" t="s">
        <v>484</v>
      </c>
      <c r="G325">
        <v>546</v>
      </c>
      <c r="H325" s="9">
        <v>1.5</v>
      </c>
      <c r="I325" t="s">
        <v>484</v>
      </c>
      <c r="J325" t="s">
        <v>484</v>
      </c>
      <c r="K325" t="s">
        <v>2208</v>
      </c>
      <c r="L325" t="s">
        <v>2209</v>
      </c>
      <c r="M325" s="10" t="str">
        <f>HYPERLINK(cna_product_database_catalog_website[[#This Row],[Spec Sheet Link]], cna_product_database_catalog_website[[#Headers],[Spec Sheet Link]])</f>
        <v>Spec Sheet Link</v>
      </c>
      <c r="N325" s="7" t="s">
        <v>46</v>
      </c>
      <c r="O325" s="8">
        <v>1</v>
      </c>
      <c r="P325" s="8">
        <v>1</v>
      </c>
      <c r="Q325" s="7" t="s">
        <v>485</v>
      </c>
      <c r="R325" s="7" t="s">
        <v>451</v>
      </c>
      <c r="S325" s="7" t="s">
        <v>486</v>
      </c>
      <c r="T325" s="7" t="s">
        <v>47</v>
      </c>
      <c r="U325" s="7" t="s">
        <v>480</v>
      </c>
      <c r="V325" s="7" t="s">
        <v>47</v>
      </c>
      <c r="W325" s="7" t="s">
        <v>481</v>
      </c>
      <c r="X325" s="7" t="s">
        <v>441</v>
      </c>
      <c r="Y325" s="8" t="s">
        <v>47</v>
      </c>
      <c r="Z325" s="8" t="s">
        <v>552</v>
      </c>
      <c r="AA325" s="8" t="s">
        <v>47</v>
      </c>
      <c r="AB325" s="11" t="s">
        <v>47</v>
      </c>
      <c r="AC325" s="11" t="s">
        <v>47</v>
      </c>
      <c r="AD325" s="7" t="s">
        <v>47</v>
      </c>
      <c r="AF325" s="7" t="s">
        <v>487</v>
      </c>
      <c r="AG325" s="7" t="s">
        <v>47</v>
      </c>
      <c r="AH325" s="7" t="s">
        <v>47</v>
      </c>
      <c r="AI325" s="7" t="s">
        <v>47</v>
      </c>
      <c r="AL325" s="7" t="s">
        <v>47</v>
      </c>
      <c r="AO325" s="7" t="s">
        <v>47</v>
      </c>
      <c r="AP325" s="7" t="s">
        <v>47</v>
      </c>
      <c r="AQ325" s="7" t="s">
        <v>47</v>
      </c>
      <c r="AV325" s="7" t="s">
        <v>488</v>
      </c>
      <c r="AW325" s="7" t="s">
        <v>47</v>
      </c>
      <c r="AX325" s="12" t="s">
        <v>78</v>
      </c>
      <c r="AY325" s="12" t="s">
        <v>78</v>
      </c>
      <c r="BC325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5" s="7">
        <f>SUM(cna_product_database_catalog_website[[#This Row],[Box CBM]]*35.3147)</f>
        <v>0</v>
      </c>
      <c r="BE325" s="7" t="s">
        <v>47</v>
      </c>
      <c r="BI325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5" s="7">
        <f>SUM(cna_product_database_catalog_website[[#This Row],[Carton CFT]]/61024)</f>
        <v>0</v>
      </c>
      <c r="BM325" s="7" t="s">
        <v>47</v>
      </c>
      <c r="BN325" s="7" t="s">
        <v>47</v>
      </c>
      <c r="BO325" s="7" t="s">
        <v>47</v>
      </c>
      <c r="BP325" s="7" t="s">
        <v>47</v>
      </c>
      <c r="BQ325" s="7" t="s">
        <v>47</v>
      </c>
      <c r="BS325" s="7" t="s">
        <v>47</v>
      </c>
      <c r="BT325" s="7" t="s">
        <v>47</v>
      </c>
      <c r="BU325" s="7" t="s">
        <v>47</v>
      </c>
      <c r="BW325" s="7" t="s">
        <v>47</v>
      </c>
      <c r="BX325" s="7" t="s">
        <v>47</v>
      </c>
      <c r="BY325" s="7" t="s">
        <v>47</v>
      </c>
      <c r="BZ325" s="7" t="s">
        <v>47</v>
      </c>
      <c r="CA325" s="7" t="s">
        <v>47</v>
      </c>
      <c r="CB325" s="7" t="s">
        <v>47</v>
      </c>
      <c r="CC325" s="7" t="s">
        <v>47</v>
      </c>
      <c r="CD325" s="7" t="s">
        <v>47</v>
      </c>
      <c r="CE325" s="7" t="s">
        <v>47</v>
      </c>
      <c r="CF325" s="7" t="s">
        <v>47</v>
      </c>
      <c r="CG325" s="7" t="s">
        <v>47</v>
      </c>
      <c r="CH325" s="7" t="s">
        <v>47</v>
      </c>
      <c r="CI325" s="7" t="s">
        <v>47</v>
      </c>
      <c r="CJ325" s="7" t="s">
        <v>47</v>
      </c>
    </row>
    <row r="326" spans="1:88" s="7" customFormat="1" x14ac:dyDescent="0.25">
      <c r="A326" t="s">
        <v>1488</v>
      </c>
      <c r="B326" t="s">
        <v>709</v>
      </c>
      <c r="C326" t="s">
        <v>1226</v>
      </c>
      <c r="D326" t="s">
        <v>2033</v>
      </c>
      <c r="E326">
        <v>3810</v>
      </c>
      <c r="F326" t="s">
        <v>489</v>
      </c>
      <c r="G326">
        <v>326</v>
      </c>
      <c r="H326" s="9">
        <v>1.8</v>
      </c>
      <c r="I326" t="s">
        <v>489</v>
      </c>
      <c r="J326" t="s">
        <v>489</v>
      </c>
      <c r="K326" t="s">
        <v>2210</v>
      </c>
      <c r="L326" t="s">
        <v>2211</v>
      </c>
      <c r="M326" s="10" t="str">
        <f>HYPERLINK(cna_product_database_catalog_website[[#This Row],[Spec Sheet Link]], cna_product_database_catalog_website[[#Headers],[Spec Sheet Link]])</f>
        <v>Spec Sheet Link</v>
      </c>
      <c r="N326" s="7" t="s">
        <v>46</v>
      </c>
      <c r="O326" s="8">
        <v>1</v>
      </c>
      <c r="P326" s="8">
        <v>1</v>
      </c>
      <c r="Q326" s="7" t="s">
        <v>485</v>
      </c>
      <c r="R326" s="7" t="s">
        <v>451</v>
      </c>
      <c r="S326" s="7" t="s">
        <v>490</v>
      </c>
      <c r="T326" s="7" t="s">
        <v>47</v>
      </c>
      <c r="U326" s="7" t="s">
        <v>491</v>
      </c>
      <c r="V326" s="7" t="s">
        <v>47</v>
      </c>
      <c r="W326" s="7" t="s">
        <v>492</v>
      </c>
      <c r="X326" s="7" t="s">
        <v>370</v>
      </c>
      <c r="Y326" s="8" t="s">
        <v>47</v>
      </c>
      <c r="Z326" s="8" t="s">
        <v>552</v>
      </c>
      <c r="AA326" s="8" t="s">
        <v>47</v>
      </c>
      <c r="AB326" s="11" t="s">
        <v>47</v>
      </c>
      <c r="AC326" s="11" t="s">
        <v>47</v>
      </c>
      <c r="AD326" s="7" t="s">
        <v>47</v>
      </c>
      <c r="AF326" s="7" t="s">
        <v>487</v>
      </c>
      <c r="AG326" s="7" t="s">
        <v>47</v>
      </c>
      <c r="AH326" s="7" t="s">
        <v>47</v>
      </c>
      <c r="AI326" s="7" t="s">
        <v>47</v>
      </c>
      <c r="AL326" s="7" t="s">
        <v>47</v>
      </c>
      <c r="AO326" s="7" t="s">
        <v>47</v>
      </c>
      <c r="AP326" s="7" t="s">
        <v>47</v>
      </c>
      <c r="AQ326" s="7" t="s">
        <v>47</v>
      </c>
      <c r="AV326" s="7" t="s">
        <v>494</v>
      </c>
      <c r="AW326" s="7" t="s">
        <v>47</v>
      </c>
      <c r="AX326" s="12" t="s">
        <v>493</v>
      </c>
      <c r="AY326" s="12" t="s">
        <v>493</v>
      </c>
      <c r="BC326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6" s="7">
        <f>SUM(cna_product_database_catalog_website[[#This Row],[Box CBM]]*35.3147)</f>
        <v>0</v>
      </c>
      <c r="BE326" s="7" t="s">
        <v>47</v>
      </c>
      <c r="BI326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6" s="7">
        <f>SUM(cna_product_database_catalog_website[[#This Row],[Carton CFT]]/61024)</f>
        <v>0</v>
      </c>
      <c r="BM326" s="7" t="s">
        <v>47</v>
      </c>
      <c r="BN326" s="7" t="s">
        <v>47</v>
      </c>
      <c r="BO326" s="7" t="s">
        <v>47</v>
      </c>
      <c r="BP326" s="7" t="s">
        <v>47</v>
      </c>
      <c r="BQ326" s="7" t="s">
        <v>47</v>
      </c>
      <c r="BS326" s="7" t="s">
        <v>47</v>
      </c>
      <c r="BT326" s="7" t="s">
        <v>47</v>
      </c>
      <c r="BU326" s="7" t="s">
        <v>47</v>
      </c>
      <c r="BW326" s="7" t="s">
        <v>47</v>
      </c>
      <c r="BX326" s="7" t="s">
        <v>47</v>
      </c>
      <c r="BY326" s="7" t="s">
        <v>47</v>
      </c>
      <c r="BZ326" s="7" t="s">
        <v>47</v>
      </c>
      <c r="CA326" s="7" t="s">
        <v>47</v>
      </c>
      <c r="CB326" s="7" t="s">
        <v>47</v>
      </c>
      <c r="CC326" s="7" t="s">
        <v>47</v>
      </c>
      <c r="CD326" s="7" t="s">
        <v>47</v>
      </c>
      <c r="CE326" s="7" t="s">
        <v>47</v>
      </c>
      <c r="CF326" s="7" t="s">
        <v>47</v>
      </c>
      <c r="CG326" s="7" t="s">
        <v>47</v>
      </c>
      <c r="CH326" s="7" t="s">
        <v>47</v>
      </c>
      <c r="CI326" s="7" t="s">
        <v>47</v>
      </c>
      <c r="CJ326" s="7" t="s">
        <v>47</v>
      </c>
    </row>
    <row r="327" spans="1:88" s="7" customFormat="1" x14ac:dyDescent="0.25">
      <c r="A327" t="s">
        <v>931</v>
      </c>
      <c r="B327" t="s">
        <v>710</v>
      </c>
      <c r="C327" t="s">
        <v>901</v>
      </c>
      <c r="D327" t="s">
        <v>2034</v>
      </c>
      <c r="E327">
        <v>4000</v>
      </c>
      <c r="F327" t="s">
        <v>495</v>
      </c>
      <c r="G327">
        <v>133</v>
      </c>
      <c r="H327" s="9">
        <v>16</v>
      </c>
      <c r="I327" t="s">
        <v>495</v>
      </c>
      <c r="J327" t="s">
        <v>495</v>
      </c>
      <c r="K327" t="s">
        <v>2212</v>
      </c>
      <c r="L327" t="s">
        <v>45</v>
      </c>
      <c r="M327" s="10"/>
      <c r="N327" s="7" t="s">
        <v>46</v>
      </c>
      <c r="O327" s="8">
        <v>1</v>
      </c>
      <c r="P327" s="8">
        <v>1</v>
      </c>
      <c r="Q327" s="7" t="s">
        <v>343</v>
      </c>
      <c r="R327" s="7" t="s">
        <v>451</v>
      </c>
      <c r="S327" s="7" t="s">
        <v>496</v>
      </c>
      <c r="T327" s="7" t="s">
        <v>47</v>
      </c>
      <c r="U327" s="7" t="s">
        <v>434</v>
      </c>
      <c r="V327" s="7" t="s">
        <v>47</v>
      </c>
      <c r="W327" s="7" t="s">
        <v>68</v>
      </c>
      <c r="X327" s="7" t="s">
        <v>497</v>
      </c>
      <c r="Y327" s="8" t="s">
        <v>47</v>
      </c>
      <c r="Z327" s="8" t="s">
        <v>498</v>
      </c>
      <c r="AA327" s="8" t="s">
        <v>47</v>
      </c>
      <c r="AB327" s="11" t="s">
        <v>47</v>
      </c>
      <c r="AC327" s="11" t="s">
        <v>47</v>
      </c>
      <c r="AD327" s="7" t="s">
        <v>47</v>
      </c>
      <c r="AF327" s="7" t="s">
        <v>47</v>
      </c>
      <c r="AG327" s="7" t="s">
        <v>47</v>
      </c>
      <c r="AH327" s="7" t="s">
        <v>47</v>
      </c>
      <c r="AI327" s="7" t="s">
        <v>47</v>
      </c>
      <c r="AL327" s="7" t="s">
        <v>47</v>
      </c>
      <c r="AO327" s="7" t="s">
        <v>47</v>
      </c>
      <c r="AP327" s="7" t="s">
        <v>47</v>
      </c>
      <c r="AQ327" s="7" t="s">
        <v>47</v>
      </c>
      <c r="AV327" s="7" t="s">
        <v>499</v>
      </c>
      <c r="AW327" s="7" t="s">
        <v>47</v>
      </c>
      <c r="AX327" s="12" t="s">
        <v>262</v>
      </c>
      <c r="AY327" s="12" t="s">
        <v>262</v>
      </c>
      <c r="BC327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7" s="7">
        <f>SUM(cna_product_database_catalog_website[[#This Row],[Box CBM]]*35.3147)</f>
        <v>0</v>
      </c>
      <c r="BE327" s="7" t="s">
        <v>47</v>
      </c>
      <c r="BI327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7" s="7">
        <f>SUM(cna_product_database_catalog_website[[#This Row],[Carton CFT]]/61024)</f>
        <v>0</v>
      </c>
      <c r="BM327" s="7" t="s">
        <v>47</v>
      </c>
      <c r="BN327" s="7" t="s">
        <v>47</v>
      </c>
      <c r="BO327" s="7" t="s">
        <v>47</v>
      </c>
      <c r="BP327" s="7" t="s">
        <v>47</v>
      </c>
      <c r="BQ327" s="7" t="s">
        <v>47</v>
      </c>
      <c r="BS327" s="7" t="s">
        <v>47</v>
      </c>
      <c r="BT327" s="7" t="s">
        <v>47</v>
      </c>
      <c r="BU327" s="7" t="s">
        <v>47</v>
      </c>
      <c r="BW327" s="7" t="s">
        <v>47</v>
      </c>
      <c r="BX327" s="7" t="s">
        <v>47</v>
      </c>
      <c r="BY327" s="7" t="s">
        <v>47</v>
      </c>
      <c r="BZ327" s="7" t="s">
        <v>47</v>
      </c>
      <c r="CA327" s="7" t="s">
        <v>47</v>
      </c>
      <c r="CB327" s="7" t="s">
        <v>47</v>
      </c>
      <c r="CC327" s="7" t="s">
        <v>47</v>
      </c>
      <c r="CD327" s="7" t="s">
        <v>47</v>
      </c>
      <c r="CE327" s="7" t="s">
        <v>47</v>
      </c>
      <c r="CF327" s="7" t="s">
        <v>47</v>
      </c>
      <c r="CG327" s="7" t="s">
        <v>47</v>
      </c>
      <c r="CH327" s="7" t="s">
        <v>47</v>
      </c>
      <c r="CI327" s="7" t="s">
        <v>47</v>
      </c>
      <c r="CJ327" s="7" t="s">
        <v>47</v>
      </c>
    </row>
    <row r="328" spans="1:88" s="7" customFormat="1" x14ac:dyDescent="0.25">
      <c r="A328" t="s">
        <v>931</v>
      </c>
      <c r="B328" t="s">
        <v>710</v>
      </c>
      <c r="C328" t="s">
        <v>902</v>
      </c>
      <c r="D328" t="s">
        <v>2035</v>
      </c>
      <c r="E328">
        <v>4005</v>
      </c>
      <c r="F328" t="s">
        <v>501</v>
      </c>
      <c r="G328">
        <v>478</v>
      </c>
      <c r="H328" s="9">
        <v>16</v>
      </c>
      <c r="I328" t="s">
        <v>501</v>
      </c>
      <c r="J328" t="s">
        <v>501</v>
      </c>
      <c r="K328" t="s">
        <v>2212</v>
      </c>
      <c r="L328" t="s">
        <v>45</v>
      </c>
      <c r="M328" s="10"/>
      <c r="N328" s="7" t="s">
        <v>46</v>
      </c>
      <c r="O328" s="8">
        <v>1</v>
      </c>
      <c r="P328" s="8">
        <v>1</v>
      </c>
      <c r="Q328" s="7" t="s">
        <v>379</v>
      </c>
      <c r="R328" s="7" t="s">
        <v>451</v>
      </c>
      <c r="S328" s="7" t="s">
        <v>502</v>
      </c>
      <c r="T328" s="7" t="s">
        <v>47</v>
      </c>
      <c r="U328" s="7" t="s">
        <v>434</v>
      </c>
      <c r="V328" s="7" t="s">
        <v>47</v>
      </c>
      <c r="W328" s="7" t="s">
        <v>68</v>
      </c>
      <c r="X328" s="7" t="s">
        <v>497</v>
      </c>
      <c r="Y328" s="8" t="s">
        <v>47</v>
      </c>
      <c r="Z328" s="8" t="s">
        <v>498</v>
      </c>
      <c r="AA328" s="8" t="s">
        <v>47</v>
      </c>
      <c r="AB328" s="11" t="s">
        <v>47</v>
      </c>
      <c r="AC328" s="11" t="s">
        <v>47</v>
      </c>
      <c r="AD328" s="7" t="s">
        <v>47</v>
      </c>
      <c r="AF328" s="7" t="s">
        <v>47</v>
      </c>
      <c r="AG328" s="7" t="s">
        <v>47</v>
      </c>
      <c r="AH328" s="7" t="s">
        <v>47</v>
      </c>
      <c r="AI328" s="7" t="s">
        <v>47</v>
      </c>
      <c r="AL328" s="7" t="s">
        <v>47</v>
      </c>
      <c r="AO328" s="7" t="s">
        <v>47</v>
      </c>
      <c r="AP328" s="7" t="s">
        <v>47</v>
      </c>
      <c r="AQ328" s="7" t="s">
        <v>47</v>
      </c>
      <c r="AV328" s="7" t="s">
        <v>499</v>
      </c>
      <c r="AW328" s="7" t="s">
        <v>47</v>
      </c>
      <c r="AX328" s="12" t="s">
        <v>262</v>
      </c>
      <c r="AY328" s="12" t="s">
        <v>262</v>
      </c>
      <c r="BC328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8" s="7">
        <f>SUM(cna_product_database_catalog_website[[#This Row],[Box CBM]]*35.3147)</f>
        <v>0</v>
      </c>
      <c r="BE328" s="7" t="s">
        <v>47</v>
      </c>
      <c r="BI328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8" s="7">
        <f>SUM(cna_product_database_catalog_website[[#This Row],[Carton CFT]]/61024)</f>
        <v>0</v>
      </c>
      <c r="BM328" s="7" t="s">
        <v>47</v>
      </c>
      <c r="BN328" s="7" t="s">
        <v>47</v>
      </c>
      <c r="BO328" s="7" t="s">
        <v>47</v>
      </c>
      <c r="BP328" s="7" t="s">
        <v>47</v>
      </c>
      <c r="BQ328" s="7" t="s">
        <v>47</v>
      </c>
      <c r="BS328" s="7" t="s">
        <v>47</v>
      </c>
      <c r="BT328" s="7" t="s">
        <v>47</v>
      </c>
      <c r="BU328" s="7" t="s">
        <v>47</v>
      </c>
      <c r="BW328" s="7" t="s">
        <v>47</v>
      </c>
      <c r="BX328" s="7" t="s">
        <v>47</v>
      </c>
      <c r="BY328" s="7" t="s">
        <v>47</v>
      </c>
      <c r="BZ328" s="7" t="s">
        <v>47</v>
      </c>
      <c r="CA328" s="7" t="s">
        <v>47</v>
      </c>
      <c r="CB328" s="7" t="s">
        <v>47</v>
      </c>
      <c r="CC328" s="7" t="s">
        <v>47</v>
      </c>
      <c r="CD328" s="7" t="s">
        <v>47</v>
      </c>
      <c r="CE328" s="7" t="s">
        <v>47</v>
      </c>
      <c r="CF328" s="7" t="s">
        <v>47</v>
      </c>
      <c r="CG328" s="7" t="s">
        <v>47</v>
      </c>
      <c r="CH328" s="7" t="s">
        <v>47</v>
      </c>
      <c r="CI328" s="7" t="s">
        <v>47</v>
      </c>
      <c r="CJ328" s="7" t="s">
        <v>47</v>
      </c>
    </row>
    <row r="329" spans="1:88" s="7" customFormat="1" x14ac:dyDescent="0.25">
      <c r="A329" t="s">
        <v>931</v>
      </c>
      <c r="B329" t="s">
        <v>710</v>
      </c>
      <c r="C329" t="s">
        <v>903</v>
      </c>
      <c r="D329" t="s">
        <v>2036</v>
      </c>
      <c r="E329">
        <v>4010</v>
      </c>
      <c r="F329" t="s">
        <v>503</v>
      </c>
      <c r="G329">
        <v>111</v>
      </c>
      <c r="H329" s="9">
        <v>16</v>
      </c>
      <c r="I329" t="s">
        <v>503</v>
      </c>
      <c r="J329" t="s">
        <v>503</v>
      </c>
      <c r="K329" t="s">
        <v>2212</v>
      </c>
      <c r="L329" t="s">
        <v>45</v>
      </c>
      <c r="M329" s="10"/>
      <c r="N329" s="7" t="s">
        <v>46</v>
      </c>
      <c r="O329" s="8">
        <v>1</v>
      </c>
      <c r="P329" s="8">
        <v>1</v>
      </c>
      <c r="Q329" s="7" t="s">
        <v>504</v>
      </c>
      <c r="R329" s="7" t="s">
        <v>451</v>
      </c>
      <c r="S329" s="7" t="s">
        <v>505</v>
      </c>
      <c r="T329" s="7" t="s">
        <v>47</v>
      </c>
      <c r="U329" s="7" t="s">
        <v>434</v>
      </c>
      <c r="V329" s="7" t="s">
        <v>47</v>
      </c>
      <c r="W329" s="7" t="s">
        <v>68</v>
      </c>
      <c r="X329" s="7" t="s">
        <v>497</v>
      </c>
      <c r="Y329" s="8" t="s">
        <v>47</v>
      </c>
      <c r="Z329" s="8" t="s">
        <v>498</v>
      </c>
      <c r="AA329" s="8" t="s">
        <v>47</v>
      </c>
      <c r="AB329" s="11" t="s">
        <v>47</v>
      </c>
      <c r="AC329" s="11" t="s">
        <v>47</v>
      </c>
      <c r="AD329" s="7" t="s">
        <v>47</v>
      </c>
      <c r="AF329" s="7" t="s">
        <v>47</v>
      </c>
      <c r="AG329" s="7" t="s">
        <v>47</v>
      </c>
      <c r="AH329" s="7" t="s">
        <v>47</v>
      </c>
      <c r="AI329" s="7" t="s">
        <v>47</v>
      </c>
      <c r="AL329" s="7" t="s">
        <v>47</v>
      </c>
      <c r="AO329" s="7" t="s">
        <v>47</v>
      </c>
      <c r="AP329" s="7" t="s">
        <v>47</v>
      </c>
      <c r="AQ329" s="7" t="s">
        <v>47</v>
      </c>
      <c r="AV329" s="7" t="s">
        <v>499</v>
      </c>
      <c r="AW329" s="7" t="s">
        <v>47</v>
      </c>
      <c r="AX329" s="12" t="s">
        <v>262</v>
      </c>
      <c r="AY329" s="12" t="s">
        <v>262</v>
      </c>
      <c r="BC329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29" s="7">
        <f>SUM(cna_product_database_catalog_website[[#This Row],[Box CBM]]*35.3147)</f>
        <v>0</v>
      </c>
      <c r="BE329" s="7" t="s">
        <v>47</v>
      </c>
      <c r="BI329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29" s="7">
        <f>SUM(cna_product_database_catalog_website[[#This Row],[Carton CFT]]/61024)</f>
        <v>0</v>
      </c>
      <c r="BM329" s="7" t="s">
        <v>47</v>
      </c>
      <c r="BN329" s="7" t="s">
        <v>47</v>
      </c>
      <c r="BO329" s="7" t="s">
        <v>47</v>
      </c>
      <c r="BP329" s="7" t="s">
        <v>47</v>
      </c>
      <c r="BQ329" s="7" t="s">
        <v>47</v>
      </c>
      <c r="BS329" s="7" t="s">
        <v>47</v>
      </c>
      <c r="BT329" s="7" t="s">
        <v>47</v>
      </c>
      <c r="BU329" s="7" t="s">
        <v>47</v>
      </c>
      <c r="BW329" s="7" t="s">
        <v>47</v>
      </c>
      <c r="BX329" s="7" t="s">
        <v>47</v>
      </c>
      <c r="BY329" s="7" t="s">
        <v>47</v>
      </c>
      <c r="BZ329" s="7" t="s">
        <v>47</v>
      </c>
      <c r="CA329" s="7" t="s">
        <v>47</v>
      </c>
      <c r="CB329" s="7" t="s">
        <v>47</v>
      </c>
      <c r="CC329" s="7" t="s">
        <v>47</v>
      </c>
      <c r="CD329" s="7" t="s">
        <v>47</v>
      </c>
      <c r="CE329" s="7" t="s">
        <v>47</v>
      </c>
      <c r="CF329" s="7" t="s">
        <v>47</v>
      </c>
      <c r="CG329" s="7" t="s">
        <v>47</v>
      </c>
      <c r="CH329" s="7" t="s">
        <v>47</v>
      </c>
      <c r="CI329" s="7" t="s">
        <v>47</v>
      </c>
      <c r="CJ329" s="7" t="s">
        <v>47</v>
      </c>
    </row>
    <row r="330" spans="1:88" s="7" customFormat="1" x14ac:dyDescent="0.25">
      <c r="A330" t="s">
        <v>931</v>
      </c>
      <c r="B330" t="s">
        <v>710</v>
      </c>
      <c r="C330" t="s">
        <v>904</v>
      </c>
      <c r="D330" t="s">
        <v>2037</v>
      </c>
      <c r="E330">
        <v>4015</v>
      </c>
      <c r="F330" t="s">
        <v>506</v>
      </c>
      <c r="G330">
        <v>366</v>
      </c>
      <c r="H330" s="9">
        <v>16</v>
      </c>
      <c r="I330" t="s">
        <v>506</v>
      </c>
      <c r="J330" t="s">
        <v>506</v>
      </c>
      <c r="K330" t="s">
        <v>2212</v>
      </c>
      <c r="L330" t="s">
        <v>45</v>
      </c>
      <c r="M330" s="10"/>
      <c r="N330" s="7" t="s">
        <v>46</v>
      </c>
      <c r="O330" s="8">
        <v>1</v>
      </c>
      <c r="P330" s="8">
        <v>1</v>
      </c>
      <c r="Q330" s="7" t="s">
        <v>504</v>
      </c>
      <c r="R330" s="7" t="s">
        <v>451</v>
      </c>
      <c r="S330" s="7" t="s">
        <v>505</v>
      </c>
      <c r="T330" s="7" t="s">
        <v>47</v>
      </c>
      <c r="U330" s="7" t="s">
        <v>434</v>
      </c>
      <c r="V330" s="7" t="s">
        <v>47</v>
      </c>
      <c r="W330" s="7" t="s">
        <v>68</v>
      </c>
      <c r="X330" s="7" t="s">
        <v>497</v>
      </c>
      <c r="Y330" s="8" t="s">
        <v>47</v>
      </c>
      <c r="Z330" s="8" t="s">
        <v>498</v>
      </c>
      <c r="AA330" s="8" t="s">
        <v>47</v>
      </c>
      <c r="AB330" s="11" t="s">
        <v>47</v>
      </c>
      <c r="AC330" s="11" t="s">
        <v>47</v>
      </c>
      <c r="AD330" s="7" t="s">
        <v>47</v>
      </c>
      <c r="AF330" s="7" t="s">
        <v>47</v>
      </c>
      <c r="AG330" s="7" t="s">
        <v>47</v>
      </c>
      <c r="AH330" s="7" t="s">
        <v>47</v>
      </c>
      <c r="AI330" s="7" t="s">
        <v>47</v>
      </c>
      <c r="AL330" s="7" t="s">
        <v>47</v>
      </c>
      <c r="AO330" s="7" t="s">
        <v>47</v>
      </c>
      <c r="AP330" s="7" t="s">
        <v>47</v>
      </c>
      <c r="AQ330" s="7" t="s">
        <v>47</v>
      </c>
      <c r="AV330" s="7" t="s">
        <v>499</v>
      </c>
      <c r="AW330" s="7" t="s">
        <v>47</v>
      </c>
      <c r="AX330" s="12" t="s">
        <v>262</v>
      </c>
      <c r="AY330" s="12" t="s">
        <v>262</v>
      </c>
      <c r="BC330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0" s="7">
        <f>SUM(cna_product_database_catalog_website[[#This Row],[Box CBM]]*35.3147)</f>
        <v>0</v>
      </c>
      <c r="BE330" s="7" t="s">
        <v>47</v>
      </c>
      <c r="BI330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0" s="7">
        <f>SUM(cna_product_database_catalog_website[[#This Row],[Carton CFT]]/61024)</f>
        <v>0</v>
      </c>
      <c r="BM330" s="7" t="s">
        <v>47</v>
      </c>
      <c r="BN330" s="7" t="s">
        <v>47</v>
      </c>
      <c r="BO330" s="7" t="s">
        <v>47</v>
      </c>
      <c r="BP330" s="7" t="s">
        <v>47</v>
      </c>
      <c r="BQ330" s="7" t="s">
        <v>47</v>
      </c>
      <c r="BS330" s="7" t="s">
        <v>47</v>
      </c>
      <c r="BT330" s="7" t="s">
        <v>47</v>
      </c>
      <c r="BU330" s="7" t="s">
        <v>47</v>
      </c>
      <c r="BW330" s="7" t="s">
        <v>47</v>
      </c>
      <c r="BX330" s="7" t="s">
        <v>47</v>
      </c>
      <c r="BY330" s="7" t="s">
        <v>47</v>
      </c>
      <c r="BZ330" s="7" t="s">
        <v>47</v>
      </c>
      <c r="CA330" s="7" t="s">
        <v>47</v>
      </c>
      <c r="CB330" s="7" t="s">
        <v>47</v>
      </c>
      <c r="CC330" s="7" t="s">
        <v>47</v>
      </c>
      <c r="CD330" s="7" t="s">
        <v>47</v>
      </c>
      <c r="CE330" s="7" t="s">
        <v>47</v>
      </c>
      <c r="CF330" s="7" t="s">
        <v>47</v>
      </c>
      <c r="CG330" s="7" t="s">
        <v>47</v>
      </c>
      <c r="CH330" s="7" t="s">
        <v>47</v>
      </c>
      <c r="CI330" s="7" t="s">
        <v>47</v>
      </c>
      <c r="CJ330" s="7" t="s">
        <v>47</v>
      </c>
    </row>
    <row r="331" spans="1:88" s="7" customFormat="1" x14ac:dyDescent="0.25">
      <c r="A331" t="s">
        <v>931</v>
      </c>
      <c r="B331" t="s">
        <v>711</v>
      </c>
      <c r="C331" t="s">
        <v>905</v>
      </c>
      <c r="D331" t="s">
        <v>2038</v>
      </c>
      <c r="E331">
        <v>4030</v>
      </c>
      <c r="F331" t="s">
        <v>511</v>
      </c>
      <c r="G331">
        <v>289</v>
      </c>
      <c r="H331" s="9">
        <v>16</v>
      </c>
      <c r="I331" t="s">
        <v>511</v>
      </c>
      <c r="J331" t="s">
        <v>511</v>
      </c>
      <c r="K331" t="s">
        <v>2212</v>
      </c>
      <c r="L331" t="s">
        <v>45</v>
      </c>
      <c r="M331" s="10"/>
      <c r="N331" s="7" t="s">
        <v>46</v>
      </c>
      <c r="O331" s="8">
        <v>1</v>
      </c>
      <c r="P331" s="8">
        <v>1</v>
      </c>
      <c r="Q331" s="7" t="s">
        <v>512</v>
      </c>
      <c r="R331" s="7" t="s">
        <v>451</v>
      </c>
      <c r="S331" s="7" t="s">
        <v>513</v>
      </c>
      <c r="T331" s="7" t="s">
        <v>47</v>
      </c>
      <c r="U331" s="7" t="s">
        <v>510</v>
      </c>
      <c r="V331" s="7" t="s">
        <v>47</v>
      </c>
      <c r="W331" s="7" t="s">
        <v>507</v>
      </c>
      <c r="X331" s="7" t="s">
        <v>497</v>
      </c>
      <c r="Y331" s="8" t="s">
        <v>47</v>
      </c>
      <c r="Z331" s="8" t="s">
        <v>498</v>
      </c>
      <c r="AA331" s="8" t="s">
        <v>47</v>
      </c>
      <c r="AB331" s="11" t="s">
        <v>47</v>
      </c>
      <c r="AC331" s="11" t="s">
        <v>47</v>
      </c>
      <c r="AD331" s="7" t="s">
        <v>47</v>
      </c>
      <c r="AF331" s="7" t="s">
        <v>47</v>
      </c>
      <c r="AG331" s="7" t="s">
        <v>47</v>
      </c>
      <c r="AH331" s="7" t="s">
        <v>47</v>
      </c>
      <c r="AI331" s="7" t="s">
        <v>47</v>
      </c>
      <c r="AL331" s="7" t="s">
        <v>47</v>
      </c>
      <c r="AO331" s="7" t="s">
        <v>47</v>
      </c>
      <c r="AP331" s="7" t="s">
        <v>47</v>
      </c>
      <c r="AQ331" s="7" t="s">
        <v>47</v>
      </c>
      <c r="AV331" s="7" t="s">
        <v>514</v>
      </c>
      <c r="AW331" s="7" t="s">
        <v>47</v>
      </c>
      <c r="AX331" s="12" t="s">
        <v>48</v>
      </c>
      <c r="AY331" s="12" t="s">
        <v>48</v>
      </c>
      <c r="BC331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1" s="7">
        <f>SUM(cna_product_database_catalog_website[[#This Row],[Box CBM]]*35.3147)</f>
        <v>0</v>
      </c>
      <c r="BE331" s="7" t="s">
        <v>47</v>
      </c>
      <c r="BI331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1" s="7">
        <f>SUM(cna_product_database_catalog_website[[#This Row],[Carton CFT]]/61024)</f>
        <v>0</v>
      </c>
      <c r="BM331" s="7" t="s">
        <v>47</v>
      </c>
      <c r="BN331" s="7" t="s">
        <v>47</v>
      </c>
      <c r="BO331" s="7" t="s">
        <v>47</v>
      </c>
      <c r="BP331" s="7" t="s">
        <v>47</v>
      </c>
      <c r="BQ331" s="7" t="s">
        <v>47</v>
      </c>
      <c r="BS331" s="7" t="s">
        <v>47</v>
      </c>
      <c r="BT331" s="7" t="s">
        <v>47</v>
      </c>
      <c r="BU331" s="7" t="s">
        <v>47</v>
      </c>
      <c r="BW331" s="7" t="s">
        <v>47</v>
      </c>
      <c r="BX331" s="7" t="s">
        <v>47</v>
      </c>
      <c r="BY331" s="7" t="s">
        <v>47</v>
      </c>
      <c r="BZ331" s="7" t="s">
        <v>47</v>
      </c>
      <c r="CA331" s="7" t="s">
        <v>47</v>
      </c>
      <c r="CB331" s="7" t="s">
        <v>47</v>
      </c>
      <c r="CC331" s="7" t="s">
        <v>47</v>
      </c>
      <c r="CD331" s="7" t="s">
        <v>47</v>
      </c>
      <c r="CE331" s="7" t="s">
        <v>47</v>
      </c>
      <c r="CF331" s="7" t="s">
        <v>47</v>
      </c>
      <c r="CG331" s="7" t="s">
        <v>47</v>
      </c>
      <c r="CH331" s="7" t="s">
        <v>47</v>
      </c>
      <c r="CI331" s="7" t="s">
        <v>47</v>
      </c>
      <c r="CJ331" s="7" t="s">
        <v>47</v>
      </c>
    </row>
    <row r="332" spans="1:88" s="7" customFormat="1" x14ac:dyDescent="0.25">
      <c r="A332" t="s">
        <v>931</v>
      </c>
      <c r="B332" t="s">
        <v>711</v>
      </c>
      <c r="C332" t="s">
        <v>906</v>
      </c>
      <c r="D332" t="s">
        <v>2039</v>
      </c>
      <c r="E332">
        <v>4035</v>
      </c>
      <c r="F332" t="s">
        <v>515</v>
      </c>
      <c r="G332">
        <v>726</v>
      </c>
      <c r="H332" s="9">
        <v>16</v>
      </c>
      <c r="I332" t="s">
        <v>515</v>
      </c>
      <c r="J332" t="s">
        <v>515</v>
      </c>
      <c r="K332" t="s">
        <v>2212</v>
      </c>
      <c r="L332" t="s">
        <v>45</v>
      </c>
      <c r="M332" s="10"/>
      <c r="N332" s="7" t="s">
        <v>46</v>
      </c>
      <c r="O332" s="8">
        <v>1</v>
      </c>
      <c r="P332" s="8">
        <v>1</v>
      </c>
      <c r="Q332" s="7" t="s">
        <v>504</v>
      </c>
      <c r="R332" s="7" t="s">
        <v>451</v>
      </c>
      <c r="S332" s="7" t="s">
        <v>516</v>
      </c>
      <c r="T332" s="7" t="s">
        <v>47</v>
      </c>
      <c r="U332" s="7" t="s">
        <v>510</v>
      </c>
      <c r="V332" s="7" t="s">
        <v>47</v>
      </c>
      <c r="W332" s="7" t="s">
        <v>507</v>
      </c>
      <c r="X332" s="7" t="s">
        <v>497</v>
      </c>
      <c r="Y332" s="8" t="s">
        <v>47</v>
      </c>
      <c r="Z332" s="8" t="s">
        <v>498</v>
      </c>
      <c r="AA332" s="8" t="s">
        <v>47</v>
      </c>
      <c r="AB332" s="11" t="s">
        <v>47</v>
      </c>
      <c r="AC332" s="11" t="s">
        <v>47</v>
      </c>
      <c r="AD332" s="7" t="s">
        <v>47</v>
      </c>
      <c r="AF332" s="7" t="s">
        <v>47</v>
      </c>
      <c r="AG332" s="7" t="s">
        <v>47</v>
      </c>
      <c r="AH332" s="7" t="s">
        <v>47</v>
      </c>
      <c r="AI332" s="7" t="s">
        <v>47</v>
      </c>
      <c r="AL332" s="7" t="s">
        <v>47</v>
      </c>
      <c r="AO332" s="7" t="s">
        <v>47</v>
      </c>
      <c r="AP332" s="7" t="s">
        <v>47</v>
      </c>
      <c r="AQ332" s="7" t="s">
        <v>47</v>
      </c>
      <c r="AV332" s="7" t="s">
        <v>508</v>
      </c>
      <c r="AW332" s="7" t="s">
        <v>47</v>
      </c>
      <c r="AX332" s="12" t="s">
        <v>48</v>
      </c>
      <c r="AY332" s="12" t="s">
        <v>48</v>
      </c>
      <c r="BC332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2" s="7">
        <f>SUM(cna_product_database_catalog_website[[#This Row],[Box CBM]]*35.3147)</f>
        <v>0</v>
      </c>
      <c r="BE332" s="7" t="s">
        <v>47</v>
      </c>
      <c r="BI332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2" s="7">
        <f>SUM(cna_product_database_catalog_website[[#This Row],[Carton CFT]]/61024)</f>
        <v>0</v>
      </c>
      <c r="BM332" s="7" t="s">
        <v>47</v>
      </c>
      <c r="BN332" s="7" t="s">
        <v>47</v>
      </c>
      <c r="BO332" s="7" t="s">
        <v>47</v>
      </c>
      <c r="BP332" s="7" t="s">
        <v>47</v>
      </c>
      <c r="BQ332" s="7" t="s">
        <v>47</v>
      </c>
      <c r="BS332" s="7" t="s">
        <v>47</v>
      </c>
      <c r="BT332" s="7" t="s">
        <v>47</v>
      </c>
      <c r="BU332" s="7" t="s">
        <v>47</v>
      </c>
      <c r="BW332" s="7" t="s">
        <v>47</v>
      </c>
      <c r="BX332" s="7" t="s">
        <v>47</v>
      </c>
      <c r="BY332" s="7" t="s">
        <v>47</v>
      </c>
      <c r="BZ332" s="7" t="s">
        <v>47</v>
      </c>
      <c r="CA332" s="7" t="s">
        <v>47</v>
      </c>
      <c r="CB332" s="7" t="s">
        <v>47</v>
      </c>
      <c r="CC332" s="7" t="s">
        <v>47</v>
      </c>
      <c r="CD332" s="7" t="s">
        <v>47</v>
      </c>
      <c r="CE332" s="7" t="s">
        <v>47</v>
      </c>
      <c r="CF332" s="7" t="s">
        <v>47</v>
      </c>
      <c r="CG332" s="7" t="s">
        <v>47</v>
      </c>
      <c r="CH332" s="7" t="s">
        <v>47</v>
      </c>
      <c r="CI332" s="7" t="s">
        <v>47</v>
      </c>
      <c r="CJ332" s="7" t="s">
        <v>47</v>
      </c>
    </row>
    <row r="333" spans="1:88" s="7" customFormat="1" x14ac:dyDescent="0.25">
      <c r="A333" t="s">
        <v>931</v>
      </c>
      <c r="B333" t="s">
        <v>711</v>
      </c>
      <c r="C333" t="s">
        <v>907</v>
      </c>
      <c r="D333" t="s">
        <v>2040</v>
      </c>
      <c r="E333">
        <v>4040</v>
      </c>
      <c r="F333" t="s">
        <v>517</v>
      </c>
      <c r="G333">
        <v>727</v>
      </c>
      <c r="H333" s="9">
        <v>16</v>
      </c>
      <c r="I333" t="s">
        <v>517</v>
      </c>
      <c r="J333" t="s">
        <v>517</v>
      </c>
      <c r="K333" t="s">
        <v>2212</v>
      </c>
      <c r="L333" t="s">
        <v>45</v>
      </c>
      <c r="M333" s="10"/>
      <c r="N333" s="7" t="s">
        <v>46</v>
      </c>
      <c r="O333" s="8">
        <v>1</v>
      </c>
      <c r="P333" s="8">
        <v>1</v>
      </c>
      <c r="Q333" s="7" t="s">
        <v>383</v>
      </c>
      <c r="R333" s="7" t="s">
        <v>451</v>
      </c>
      <c r="S333" s="7" t="s">
        <v>518</v>
      </c>
      <c r="T333" s="7" t="s">
        <v>47</v>
      </c>
      <c r="U333" s="7" t="s">
        <v>51</v>
      </c>
      <c r="V333" s="7" t="s">
        <v>47</v>
      </c>
      <c r="W333" s="7" t="s">
        <v>507</v>
      </c>
      <c r="X333" s="7" t="s">
        <v>497</v>
      </c>
      <c r="Y333" s="8" t="s">
        <v>47</v>
      </c>
      <c r="Z333" s="8" t="s">
        <v>498</v>
      </c>
      <c r="AA333" s="8" t="s">
        <v>47</v>
      </c>
      <c r="AB333" s="11" t="s">
        <v>47</v>
      </c>
      <c r="AC333" s="11" t="s">
        <v>47</v>
      </c>
      <c r="AD333" s="7" t="s">
        <v>47</v>
      </c>
      <c r="AF333" s="7" t="s">
        <v>47</v>
      </c>
      <c r="AG333" s="7" t="s">
        <v>47</v>
      </c>
      <c r="AH333" s="7" t="s">
        <v>47</v>
      </c>
      <c r="AI333" s="7" t="s">
        <v>47</v>
      </c>
      <c r="AL333" s="7" t="s">
        <v>47</v>
      </c>
      <c r="AO333" s="7" t="s">
        <v>47</v>
      </c>
      <c r="AP333" s="7" t="s">
        <v>47</v>
      </c>
      <c r="AQ333" s="7" t="s">
        <v>47</v>
      </c>
      <c r="AV333" s="7" t="s">
        <v>508</v>
      </c>
      <c r="AW333" s="7" t="s">
        <v>47</v>
      </c>
      <c r="AX333" s="12" t="s">
        <v>48</v>
      </c>
      <c r="AY333" s="12" t="s">
        <v>48</v>
      </c>
      <c r="BC333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3" s="7">
        <f>SUM(cna_product_database_catalog_website[[#This Row],[Box CBM]]*35.3147)</f>
        <v>0</v>
      </c>
      <c r="BE333" s="7" t="s">
        <v>47</v>
      </c>
      <c r="BI333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3" s="7">
        <f>SUM(cna_product_database_catalog_website[[#This Row],[Carton CFT]]/61024)</f>
        <v>0</v>
      </c>
      <c r="BM333" s="7" t="s">
        <v>47</v>
      </c>
      <c r="BN333" s="7" t="s">
        <v>47</v>
      </c>
      <c r="BO333" s="7" t="s">
        <v>47</v>
      </c>
      <c r="BP333" s="7" t="s">
        <v>47</v>
      </c>
      <c r="BQ333" s="7" t="s">
        <v>47</v>
      </c>
      <c r="BS333" s="7" t="s">
        <v>47</v>
      </c>
      <c r="BT333" s="7" t="s">
        <v>47</v>
      </c>
      <c r="BU333" s="7" t="s">
        <v>47</v>
      </c>
      <c r="BW333" s="7" t="s">
        <v>47</v>
      </c>
      <c r="BX333" s="7" t="s">
        <v>47</v>
      </c>
      <c r="BY333" s="7" t="s">
        <v>47</v>
      </c>
      <c r="BZ333" s="7" t="s">
        <v>47</v>
      </c>
      <c r="CA333" s="7" t="s">
        <v>47</v>
      </c>
      <c r="CB333" s="7" t="s">
        <v>47</v>
      </c>
      <c r="CC333" s="7" t="s">
        <v>47</v>
      </c>
      <c r="CD333" s="7" t="s">
        <v>47</v>
      </c>
      <c r="CE333" s="7" t="s">
        <v>47</v>
      </c>
      <c r="CF333" s="7" t="s">
        <v>47</v>
      </c>
      <c r="CG333" s="7" t="s">
        <v>47</v>
      </c>
      <c r="CH333" s="7" t="s">
        <v>47</v>
      </c>
      <c r="CI333" s="7" t="s">
        <v>47</v>
      </c>
      <c r="CJ333" s="7" t="s">
        <v>47</v>
      </c>
    </row>
    <row r="334" spans="1:88" s="7" customFormat="1" x14ac:dyDescent="0.25">
      <c r="A334" t="s">
        <v>931</v>
      </c>
      <c r="B334" t="s">
        <v>711</v>
      </c>
      <c r="C334" t="s">
        <v>908</v>
      </c>
      <c r="D334" t="s">
        <v>2041</v>
      </c>
      <c r="E334">
        <v>4045</v>
      </c>
      <c r="F334" t="s">
        <v>519</v>
      </c>
      <c r="G334">
        <v>728</v>
      </c>
      <c r="H334" s="9">
        <v>16</v>
      </c>
      <c r="I334" t="s">
        <v>519</v>
      </c>
      <c r="J334" t="s">
        <v>519</v>
      </c>
      <c r="K334" t="s">
        <v>2212</v>
      </c>
      <c r="L334" t="s">
        <v>45</v>
      </c>
      <c r="M334" s="10"/>
      <c r="N334" s="7" t="s">
        <v>46</v>
      </c>
      <c r="O334" s="8">
        <v>1</v>
      </c>
      <c r="P334" s="8">
        <v>1</v>
      </c>
      <c r="Q334" s="7" t="s">
        <v>520</v>
      </c>
      <c r="R334" s="7" t="s">
        <v>451</v>
      </c>
      <c r="S334" s="7" t="s">
        <v>521</v>
      </c>
      <c r="T334" s="7" t="s">
        <v>47</v>
      </c>
      <c r="U334" s="7" t="s">
        <v>522</v>
      </c>
      <c r="V334" s="7" t="s">
        <v>47</v>
      </c>
      <c r="W334" s="7" t="s">
        <v>507</v>
      </c>
      <c r="X334" s="7" t="s">
        <v>497</v>
      </c>
      <c r="Y334" s="8" t="s">
        <v>47</v>
      </c>
      <c r="Z334" s="8" t="s">
        <v>498</v>
      </c>
      <c r="AA334" s="8" t="s">
        <v>47</v>
      </c>
      <c r="AB334" s="11" t="s">
        <v>47</v>
      </c>
      <c r="AC334" s="11" t="s">
        <v>47</v>
      </c>
      <c r="AD334" s="7" t="s">
        <v>47</v>
      </c>
      <c r="AF334" s="7" t="s">
        <v>47</v>
      </c>
      <c r="AG334" s="7" t="s">
        <v>47</v>
      </c>
      <c r="AH334" s="7" t="s">
        <v>47</v>
      </c>
      <c r="AI334" s="7" t="s">
        <v>47</v>
      </c>
      <c r="AL334" s="7" t="s">
        <v>47</v>
      </c>
      <c r="AO334" s="7" t="s">
        <v>47</v>
      </c>
      <c r="AP334" s="7" t="s">
        <v>47</v>
      </c>
      <c r="AQ334" s="7" t="s">
        <v>47</v>
      </c>
      <c r="AV334" s="7" t="s">
        <v>514</v>
      </c>
      <c r="AW334" s="7" t="s">
        <v>47</v>
      </c>
      <c r="AX334" s="12" t="s">
        <v>48</v>
      </c>
      <c r="AY334" s="12" t="s">
        <v>48</v>
      </c>
      <c r="BC334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4" s="7">
        <f>SUM(cna_product_database_catalog_website[[#This Row],[Box CBM]]*35.3147)</f>
        <v>0</v>
      </c>
      <c r="BE334" s="7" t="s">
        <v>47</v>
      </c>
      <c r="BI334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4" s="7">
        <f>SUM(cna_product_database_catalog_website[[#This Row],[Carton CFT]]/61024)</f>
        <v>0</v>
      </c>
      <c r="BM334" s="7" t="s">
        <v>47</v>
      </c>
      <c r="BN334" s="7" t="s">
        <v>47</v>
      </c>
      <c r="BO334" s="7" t="s">
        <v>47</v>
      </c>
      <c r="BP334" s="7" t="s">
        <v>47</v>
      </c>
      <c r="BQ334" s="7" t="s">
        <v>47</v>
      </c>
      <c r="BS334" s="7" t="s">
        <v>47</v>
      </c>
      <c r="BT334" s="7" t="s">
        <v>47</v>
      </c>
      <c r="BU334" s="7" t="s">
        <v>47</v>
      </c>
      <c r="BW334" s="7" t="s">
        <v>47</v>
      </c>
      <c r="BX334" s="7" t="s">
        <v>47</v>
      </c>
      <c r="BY334" s="7" t="s">
        <v>47</v>
      </c>
      <c r="BZ334" s="7" t="s">
        <v>47</v>
      </c>
      <c r="CA334" s="7" t="s">
        <v>47</v>
      </c>
      <c r="CB334" s="7" t="s">
        <v>47</v>
      </c>
      <c r="CC334" s="7" t="s">
        <v>47</v>
      </c>
      <c r="CD334" s="7" t="s">
        <v>47</v>
      </c>
      <c r="CE334" s="7" t="s">
        <v>47</v>
      </c>
      <c r="CF334" s="7" t="s">
        <v>47</v>
      </c>
      <c r="CG334" s="7" t="s">
        <v>47</v>
      </c>
      <c r="CH334" s="7" t="s">
        <v>47</v>
      </c>
      <c r="CI334" s="7" t="s">
        <v>47</v>
      </c>
      <c r="CJ334" s="7" t="s">
        <v>47</v>
      </c>
    </row>
    <row r="335" spans="1:88" s="7" customFormat="1" x14ac:dyDescent="0.25">
      <c r="A335" t="s">
        <v>931</v>
      </c>
      <c r="B335" t="s">
        <v>711</v>
      </c>
      <c r="C335" t="s">
        <v>898</v>
      </c>
      <c r="D335" t="s">
        <v>2042</v>
      </c>
      <c r="E335">
        <v>4050</v>
      </c>
      <c r="F335" t="s">
        <v>523</v>
      </c>
      <c r="G335">
        <v>519</v>
      </c>
      <c r="H335" s="9">
        <v>16</v>
      </c>
      <c r="I335" t="s">
        <v>523</v>
      </c>
      <c r="J335" t="s">
        <v>523</v>
      </c>
      <c r="K335" t="s">
        <v>2212</v>
      </c>
      <c r="L335" t="s">
        <v>45</v>
      </c>
      <c r="M335" s="10"/>
      <c r="N335" s="7" t="s">
        <v>46</v>
      </c>
      <c r="O335" s="8">
        <v>1</v>
      </c>
      <c r="P335" s="8">
        <v>1</v>
      </c>
      <c r="Q335" s="7" t="s">
        <v>390</v>
      </c>
      <c r="R335" s="7" t="s">
        <v>451</v>
      </c>
      <c r="S335" s="7" t="s">
        <v>509</v>
      </c>
      <c r="T335" s="7" t="s">
        <v>47</v>
      </c>
      <c r="U335" s="7" t="s">
        <v>434</v>
      </c>
      <c r="V335" s="7" t="s">
        <v>47</v>
      </c>
      <c r="W335" s="7" t="s">
        <v>507</v>
      </c>
      <c r="X335" s="7" t="s">
        <v>497</v>
      </c>
      <c r="Y335" s="8" t="s">
        <v>47</v>
      </c>
      <c r="Z335" s="8" t="s">
        <v>498</v>
      </c>
      <c r="AA335" s="8" t="s">
        <v>47</v>
      </c>
      <c r="AB335" s="11" t="s">
        <v>47</v>
      </c>
      <c r="AC335" s="11" t="s">
        <v>47</v>
      </c>
      <c r="AD335" s="7" t="s">
        <v>47</v>
      </c>
      <c r="AF335" s="7" t="s">
        <v>47</v>
      </c>
      <c r="AG335" s="7" t="s">
        <v>47</v>
      </c>
      <c r="AH335" s="7" t="s">
        <v>47</v>
      </c>
      <c r="AI335" s="7" t="s">
        <v>47</v>
      </c>
      <c r="AL335" s="7" t="s">
        <v>47</v>
      </c>
      <c r="AO335" s="7" t="s">
        <v>47</v>
      </c>
      <c r="AP335" s="7" t="s">
        <v>47</v>
      </c>
      <c r="AQ335" s="7" t="s">
        <v>47</v>
      </c>
      <c r="AV335" s="7" t="s">
        <v>508</v>
      </c>
      <c r="AW335" s="7" t="s">
        <v>47</v>
      </c>
      <c r="AX335" s="12" t="s">
        <v>48</v>
      </c>
      <c r="AY335" s="12" t="s">
        <v>48</v>
      </c>
      <c r="BC335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5" s="7">
        <f>SUM(cna_product_database_catalog_website[[#This Row],[Box CBM]]*35.3147)</f>
        <v>0</v>
      </c>
      <c r="BE335" s="7" t="s">
        <v>47</v>
      </c>
      <c r="BI335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5" s="7">
        <f>SUM(cna_product_database_catalog_website[[#This Row],[Carton CFT]]/61024)</f>
        <v>0</v>
      </c>
      <c r="BM335" s="7" t="s">
        <v>47</v>
      </c>
      <c r="BN335" s="7" t="s">
        <v>47</v>
      </c>
      <c r="BO335" s="7" t="s">
        <v>47</v>
      </c>
      <c r="BP335" s="7" t="s">
        <v>47</v>
      </c>
      <c r="BQ335" s="7" t="s">
        <v>47</v>
      </c>
      <c r="BS335" s="7" t="s">
        <v>47</v>
      </c>
      <c r="BT335" s="7" t="s">
        <v>47</v>
      </c>
      <c r="BU335" s="7" t="s">
        <v>47</v>
      </c>
      <c r="BW335" s="7" t="s">
        <v>47</v>
      </c>
      <c r="BX335" s="7" t="s">
        <v>47</v>
      </c>
      <c r="BY335" s="7" t="s">
        <v>47</v>
      </c>
      <c r="BZ335" s="7" t="s">
        <v>47</v>
      </c>
      <c r="CA335" s="7" t="s">
        <v>47</v>
      </c>
      <c r="CB335" s="7" t="s">
        <v>47</v>
      </c>
      <c r="CC335" s="7" t="s">
        <v>47</v>
      </c>
      <c r="CD335" s="7" t="s">
        <v>47</v>
      </c>
      <c r="CE335" s="7" t="s">
        <v>47</v>
      </c>
      <c r="CF335" s="7" t="s">
        <v>47</v>
      </c>
      <c r="CG335" s="7" t="s">
        <v>47</v>
      </c>
      <c r="CH335" s="7" t="s">
        <v>47</v>
      </c>
      <c r="CI335" s="7" t="s">
        <v>47</v>
      </c>
      <c r="CJ335" s="7" t="s">
        <v>47</v>
      </c>
    </row>
    <row r="336" spans="1:88" s="7" customFormat="1" x14ac:dyDescent="0.25">
      <c r="A336" t="s">
        <v>931</v>
      </c>
      <c r="B336" t="s">
        <v>711</v>
      </c>
      <c r="C336" t="s">
        <v>899</v>
      </c>
      <c r="D336" t="s">
        <v>2043</v>
      </c>
      <c r="E336">
        <v>4055</v>
      </c>
      <c r="F336" t="s">
        <v>524</v>
      </c>
      <c r="G336">
        <v>395</v>
      </c>
      <c r="H336" s="9">
        <v>16</v>
      </c>
      <c r="I336" t="s">
        <v>524</v>
      </c>
      <c r="J336" t="s">
        <v>524</v>
      </c>
      <c r="K336" t="s">
        <v>2212</v>
      </c>
      <c r="L336" t="s">
        <v>45</v>
      </c>
      <c r="M336" s="10"/>
      <c r="N336" s="7" t="s">
        <v>46</v>
      </c>
      <c r="O336" s="8">
        <v>1</v>
      </c>
      <c r="P336" s="8">
        <v>1</v>
      </c>
      <c r="Q336" s="7" t="s">
        <v>512</v>
      </c>
      <c r="R336" s="7" t="s">
        <v>451</v>
      </c>
      <c r="S336" s="7" t="s">
        <v>513</v>
      </c>
      <c r="T336" s="7" t="s">
        <v>47</v>
      </c>
      <c r="U336" s="7" t="s">
        <v>434</v>
      </c>
      <c r="V336" s="7" t="s">
        <v>47</v>
      </c>
      <c r="W336" s="7" t="s">
        <v>507</v>
      </c>
      <c r="X336" s="7" t="s">
        <v>497</v>
      </c>
      <c r="Y336" s="8" t="s">
        <v>47</v>
      </c>
      <c r="Z336" s="8" t="s">
        <v>498</v>
      </c>
      <c r="AA336" s="8" t="s">
        <v>47</v>
      </c>
      <c r="AB336" s="11" t="s">
        <v>47</v>
      </c>
      <c r="AC336" s="11" t="s">
        <v>47</v>
      </c>
      <c r="AD336" s="7" t="s">
        <v>47</v>
      </c>
      <c r="AF336" s="7" t="s">
        <v>47</v>
      </c>
      <c r="AG336" s="7" t="s">
        <v>47</v>
      </c>
      <c r="AH336" s="7" t="s">
        <v>47</v>
      </c>
      <c r="AI336" s="7" t="s">
        <v>47</v>
      </c>
      <c r="AL336" s="7" t="s">
        <v>47</v>
      </c>
      <c r="AO336" s="7" t="s">
        <v>47</v>
      </c>
      <c r="AP336" s="7" t="s">
        <v>47</v>
      </c>
      <c r="AQ336" s="7" t="s">
        <v>47</v>
      </c>
      <c r="AV336" s="7" t="s">
        <v>514</v>
      </c>
      <c r="AW336" s="7" t="s">
        <v>47</v>
      </c>
      <c r="AX336" s="12" t="s">
        <v>48</v>
      </c>
      <c r="AY336" s="12" t="s">
        <v>48</v>
      </c>
      <c r="BC336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6" s="7">
        <f>SUM(cna_product_database_catalog_website[[#This Row],[Box CBM]]*35.3147)</f>
        <v>0</v>
      </c>
      <c r="BE336" s="7" t="s">
        <v>47</v>
      </c>
      <c r="BI336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6" s="7">
        <f>SUM(cna_product_database_catalog_website[[#This Row],[Carton CFT]]/61024)</f>
        <v>0</v>
      </c>
      <c r="BM336" s="7" t="s">
        <v>47</v>
      </c>
      <c r="BN336" s="7" t="s">
        <v>47</v>
      </c>
      <c r="BO336" s="7" t="s">
        <v>47</v>
      </c>
      <c r="BP336" s="7" t="s">
        <v>47</v>
      </c>
      <c r="BQ336" s="7" t="s">
        <v>47</v>
      </c>
      <c r="BS336" s="7" t="s">
        <v>47</v>
      </c>
      <c r="BT336" s="7" t="s">
        <v>47</v>
      </c>
      <c r="BU336" s="7" t="s">
        <v>47</v>
      </c>
      <c r="BW336" s="7" t="s">
        <v>47</v>
      </c>
      <c r="BX336" s="7" t="s">
        <v>47</v>
      </c>
      <c r="BY336" s="7" t="s">
        <v>47</v>
      </c>
      <c r="BZ336" s="7" t="s">
        <v>47</v>
      </c>
      <c r="CA336" s="7" t="s">
        <v>47</v>
      </c>
      <c r="CB336" s="7" t="s">
        <v>47</v>
      </c>
      <c r="CC336" s="7" t="s">
        <v>47</v>
      </c>
      <c r="CD336" s="7" t="s">
        <v>47</v>
      </c>
      <c r="CE336" s="7" t="s">
        <v>47</v>
      </c>
      <c r="CF336" s="7" t="s">
        <v>47</v>
      </c>
      <c r="CG336" s="7" t="s">
        <v>47</v>
      </c>
      <c r="CH336" s="7" t="s">
        <v>47</v>
      </c>
      <c r="CI336" s="7" t="s">
        <v>47</v>
      </c>
      <c r="CJ336" s="7" t="s">
        <v>47</v>
      </c>
    </row>
    <row r="337" spans="1:88" s="7" customFormat="1" x14ac:dyDescent="0.25">
      <c r="A337" t="s">
        <v>931</v>
      </c>
      <c r="B337" t="s">
        <v>711</v>
      </c>
      <c r="C337" t="s">
        <v>900</v>
      </c>
      <c r="D337" t="s">
        <v>2044</v>
      </c>
      <c r="E337">
        <v>4060</v>
      </c>
      <c r="F337" t="s">
        <v>525</v>
      </c>
      <c r="G337">
        <v>396</v>
      </c>
      <c r="H337" s="9">
        <v>16</v>
      </c>
      <c r="I337" t="s">
        <v>525</v>
      </c>
      <c r="J337" t="s">
        <v>525</v>
      </c>
      <c r="K337" t="s">
        <v>2212</v>
      </c>
      <c r="L337" t="s">
        <v>45</v>
      </c>
      <c r="M337" s="10"/>
      <c r="N337" s="7" t="s">
        <v>46</v>
      </c>
      <c r="O337" s="8">
        <v>1</v>
      </c>
      <c r="P337" s="8">
        <v>1</v>
      </c>
      <c r="Q337" s="7" t="s">
        <v>526</v>
      </c>
      <c r="R337" s="7" t="s">
        <v>451</v>
      </c>
      <c r="S337" s="7" t="s">
        <v>527</v>
      </c>
      <c r="T337" s="7" t="s">
        <v>47</v>
      </c>
      <c r="U337" s="7" t="s">
        <v>434</v>
      </c>
      <c r="V337" s="7" t="s">
        <v>47</v>
      </c>
      <c r="W337" s="7" t="s">
        <v>507</v>
      </c>
      <c r="X337" s="7" t="s">
        <v>497</v>
      </c>
      <c r="Y337" s="8" t="s">
        <v>47</v>
      </c>
      <c r="Z337" s="8" t="s">
        <v>498</v>
      </c>
      <c r="AA337" s="8" t="s">
        <v>47</v>
      </c>
      <c r="AB337" s="11" t="s">
        <v>47</v>
      </c>
      <c r="AC337" s="11" t="s">
        <v>47</v>
      </c>
      <c r="AD337" s="7" t="s">
        <v>47</v>
      </c>
      <c r="AF337" s="7" t="s">
        <v>47</v>
      </c>
      <c r="AG337" s="7" t="s">
        <v>47</v>
      </c>
      <c r="AH337" s="7" t="s">
        <v>47</v>
      </c>
      <c r="AI337" s="7" t="s">
        <v>47</v>
      </c>
      <c r="AL337" s="7" t="s">
        <v>47</v>
      </c>
      <c r="AO337" s="7" t="s">
        <v>47</v>
      </c>
      <c r="AP337" s="7" t="s">
        <v>47</v>
      </c>
      <c r="AQ337" s="7" t="s">
        <v>47</v>
      </c>
      <c r="AV337" s="7" t="s">
        <v>528</v>
      </c>
      <c r="AW337" s="7" t="s">
        <v>47</v>
      </c>
      <c r="AX337" s="12" t="s">
        <v>48</v>
      </c>
      <c r="AY337" s="12" t="s">
        <v>48</v>
      </c>
      <c r="BC337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7" s="7">
        <f>SUM(cna_product_database_catalog_website[[#This Row],[Box CBM]]*35.3147)</f>
        <v>0</v>
      </c>
      <c r="BE337" s="7" t="s">
        <v>47</v>
      </c>
      <c r="BI337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7" s="7">
        <f>SUM(cna_product_database_catalog_website[[#This Row],[Carton CFT]]/61024)</f>
        <v>0</v>
      </c>
      <c r="BM337" s="7" t="s">
        <v>47</v>
      </c>
      <c r="BN337" s="7" t="s">
        <v>47</v>
      </c>
      <c r="BO337" s="7" t="s">
        <v>47</v>
      </c>
      <c r="BP337" s="7" t="s">
        <v>47</v>
      </c>
      <c r="BQ337" s="7" t="s">
        <v>47</v>
      </c>
      <c r="BS337" s="7" t="s">
        <v>47</v>
      </c>
      <c r="BT337" s="7" t="s">
        <v>47</v>
      </c>
      <c r="BU337" s="7" t="s">
        <v>47</v>
      </c>
      <c r="BW337" s="7" t="s">
        <v>47</v>
      </c>
      <c r="BX337" s="7" t="s">
        <v>47</v>
      </c>
      <c r="BY337" s="7" t="s">
        <v>47</v>
      </c>
      <c r="BZ337" s="7" t="s">
        <v>47</v>
      </c>
      <c r="CA337" s="7" t="s">
        <v>47</v>
      </c>
      <c r="CB337" s="7" t="s">
        <v>47</v>
      </c>
      <c r="CC337" s="7" t="s">
        <v>47</v>
      </c>
      <c r="CD337" s="7" t="s">
        <v>47</v>
      </c>
      <c r="CE337" s="7" t="s">
        <v>47</v>
      </c>
      <c r="CF337" s="7" t="s">
        <v>47</v>
      </c>
      <c r="CG337" s="7" t="s">
        <v>47</v>
      </c>
      <c r="CH337" s="7" t="s">
        <v>47</v>
      </c>
      <c r="CI337" s="7" t="s">
        <v>47</v>
      </c>
      <c r="CJ337" s="7" t="s">
        <v>47</v>
      </c>
    </row>
    <row r="338" spans="1:88" s="7" customFormat="1" x14ac:dyDescent="0.25">
      <c r="A338" t="s">
        <v>931</v>
      </c>
      <c r="B338" t="s">
        <v>712</v>
      </c>
      <c r="C338" t="s">
        <v>910</v>
      </c>
      <c r="D338" t="s">
        <v>2045</v>
      </c>
      <c r="E338">
        <v>4100</v>
      </c>
      <c r="F338" t="s">
        <v>529</v>
      </c>
      <c r="G338">
        <v>339</v>
      </c>
      <c r="H338" s="9">
        <v>8.5</v>
      </c>
      <c r="I338" t="s">
        <v>529</v>
      </c>
      <c r="J338" t="s">
        <v>529</v>
      </c>
      <c r="K338" t="s">
        <v>2213</v>
      </c>
      <c r="L338" t="s">
        <v>45</v>
      </c>
      <c r="M338" s="10"/>
      <c r="N338" s="7" t="s">
        <v>46</v>
      </c>
      <c r="O338" s="8">
        <v>1</v>
      </c>
      <c r="P338" s="8">
        <v>1</v>
      </c>
      <c r="Q338" s="7" t="s">
        <v>352</v>
      </c>
      <c r="R338" s="7" t="s">
        <v>451</v>
      </c>
      <c r="S338" s="7" t="s">
        <v>530</v>
      </c>
      <c r="T338" s="7" t="s">
        <v>47</v>
      </c>
      <c r="U338" s="7" t="s">
        <v>531</v>
      </c>
      <c r="V338" s="7" t="s">
        <v>45</v>
      </c>
      <c r="W338" s="7" t="s">
        <v>68</v>
      </c>
      <c r="X338" s="7" t="s">
        <v>532</v>
      </c>
      <c r="Y338" s="8" t="s">
        <v>47</v>
      </c>
      <c r="Z338" s="8" t="s">
        <v>533</v>
      </c>
      <c r="AA338" s="8" t="s">
        <v>47</v>
      </c>
      <c r="AB338" s="11" t="s">
        <v>47</v>
      </c>
      <c r="AC338" s="11" t="s">
        <v>47</v>
      </c>
      <c r="AD338" s="7" t="s">
        <v>47</v>
      </c>
      <c r="AF338" s="7" t="s">
        <v>47</v>
      </c>
      <c r="AG338" s="7" t="s">
        <v>47</v>
      </c>
      <c r="AH338" s="7" t="s">
        <v>47</v>
      </c>
      <c r="AI338" s="7" t="s">
        <v>47</v>
      </c>
      <c r="AL338" s="7" t="s">
        <v>47</v>
      </c>
      <c r="AO338" s="7" t="s">
        <v>47</v>
      </c>
      <c r="AP338" s="7" t="s">
        <v>47</v>
      </c>
      <c r="AQ338" s="7" t="s">
        <v>47</v>
      </c>
      <c r="AV338" s="7" t="s">
        <v>534</v>
      </c>
      <c r="AW338" s="7" t="s">
        <v>47</v>
      </c>
      <c r="AX338" s="12" t="s">
        <v>262</v>
      </c>
      <c r="AY338" s="12" t="s">
        <v>262</v>
      </c>
      <c r="BC338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8" s="7">
        <f>SUM(cna_product_database_catalog_website[[#This Row],[Box CBM]]*35.3147)</f>
        <v>0</v>
      </c>
      <c r="BE338" s="7" t="s">
        <v>47</v>
      </c>
      <c r="BI338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8" s="7">
        <f>SUM(cna_product_database_catalog_website[[#This Row],[Carton CFT]]/61024)</f>
        <v>0</v>
      </c>
      <c r="BM338" s="7" t="s">
        <v>47</v>
      </c>
      <c r="BN338" s="7" t="s">
        <v>47</v>
      </c>
      <c r="BO338" s="7" t="s">
        <v>47</v>
      </c>
      <c r="BP338" s="7" t="s">
        <v>47</v>
      </c>
      <c r="BQ338" s="7" t="s">
        <v>47</v>
      </c>
      <c r="BS338" s="7" t="s">
        <v>47</v>
      </c>
      <c r="BT338" s="7" t="s">
        <v>47</v>
      </c>
      <c r="BU338" s="7" t="s">
        <v>47</v>
      </c>
      <c r="BW338" s="7" t="s">
        <v>47</v>
      </c>
      <c r="BX338" s="7" t="s">
        <v>47</v>
      </c>
      <c r="BY338" s="7" t="s">
        <v>47</v>
      </c>
      <c r="BZ338" s="7" t="s">
        <v>47</v>
      </c>
      <c r="CA338" s="7" t="s">
        <v>47</v>
      </c>
      <c r="CB338" s="7" t="s">
        <v>47</v>
      </c>
      <c r="CC338" s="7" t="s">
        <v>47</v>
      </c>
      <c r="CD338" s="7" t="s">
        <v>47</v>
      </c>
      <c r="CE338" s="7" t="s">
        <v>47</v>
      </c>
      <c r="CF338" s="7" t="s">
        <v>47</v>
      </c>
      <c r="CG338" s="7" t="s">
        <v>47</v>
      </c>
      <c r="CH338" s="7" t="s">
        <v>47</v>
      </c>
      <c r="CI338" s="7" t="s">
        <v>47</v>
      </c>
      <c r="CJ338" s="7" t="s">
        <v>47</v>
      </c>
    </row>
    <row r="339" spans="1:88" s="7" customFormat="1" x14ac:dyDescent="0.25">
      <c r="A339" t="s">
        <v>931</v>
      </c>
      <c r="B339" t="s">
        <v>712</v>
      </c>
      <c r="C339" t="s">
        <v>909</v>
      </c>
      <c r="D339" t="s">
        <v>2046</v>
      </c>
      <c r="E339">
        <v>4105</v>
      </c>
      <c r="F339" t="s">
        <v>535</v>
      </c>
      <c r="G339">
        <v>340</v>
      </c>
      <c r="H339" s="9">
        <v>8.5</v>
      </c>
      <c r="I339" t="s">
        <v>535</v>
      </c>
      <c r="J339" t="s">
        <v>535</v>
      </c>
      <c r="K339" t="s">
        <v>2213</v>
      </c>
      <c r="L339" t="s">
        <v>45</v>
      </c>
      <c r="M339" s="10"/>
      <c r="N339" s="7" t="s">
        <v>46</v>
      </c>
      <c r="O339" s="8">
        <v>1</v>
      </c>
      <c r="P339" s="8">
        <v>1</v>
      </c>
      <c r="Q339" s="7" t="s">
        <v>343</v>
      </c>
      <c r="R339" s="7" t="s">
        <v>451</v>
      </c>
      <c r="S339" s="7" t="s">
        <v>204</v>
      </c>
      <c r="T339" s="7" t="s">
        <v>47</v>
      </c>
      <c r="U339" s="7" t="s">
        <v>531</v>
      </c>
      <c r="V339" s="7" t="s">
        <v>47</v>
      </c>
      <c r="W339" s="7" t="s">
        <v>68</v>
      </c>
      <c r="X339" s="7" t="s">
        <v>532</v>
      </c>
      <c r="Y339" s="8" t="s">
        <v>47</v>
      </c>
      <c r="Z339" s="8" t="s">
        <v>533</v>
      </c>
      <c r="AA339" s="8" t="s">
        <v>47</v>
      </c>
      <c r="AB339" s="11" t="s">
        <v>47</v>
      </c>
      <c r="AC339" s="11" t="s">
        <v>47</v>
      </c>
      <c r="AD339" s="7" t="s">
        <v>47</v>
      </c>
      <c r="AF339" s="7" t="s">
        <v>47</v>
      </c>
      <c r="AG339" s="7" t="s">
        <v>47</v>
      </c>
      <c r="AH339" s="7" t="s">
        <v>47</v>
      </c>
      <c r="AI339" s="7" t="s">
        <v>47</v>
      </c>
      <c r="AL339" s="7" t="s">
        <v>47</v>
      </c>
      <c r="AO339" s="7" t="s">
        <v>47</v>
      </c>
      <c r="AP339" s="7" t="s">
        <v>47</v>
      </c>
      <c r="AQ339" s="7" t="s">
        <v>47</v>
      </c>
      <c r="AV339" s="7" t="s">
        <v>534</v>
      </c>
      <c r="AW339" s="7" t="s">
        <v>47</v>
      </c>
      <c r="AX339" s="12" t="s">
        <v>262</v>
      </c>
      <c r="AY339" s="12" t="s">
        <v>262</v>
      </c>
      <c r="BC339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39" s="7">
        <f>SUM(cna_product_database_catalog_website[[#This Row],[Box CBM]]*35.3147)</f>
        <v>0</v>
      </c>
      <c r="BE339" s="7" t="s">
        <v>47</v>
      </c>
      <c r="BI339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39" s="7">
        <f>SUM(cna_product_database_catalog_website[[#This Row],[Carton CFT]]/61024)</f>
        <v>0</v>
      </c>
      <c r="BM339" s="7" t="s">
        <v>47</v>
      </c>
      <c r="BN339" s="7" t="s">
        <v>47</v>
      </c>
      <c r="BO339" s="7" t="s">
        <v>47</v>
      </c>
      <c r="BP339" s="7" t="s">
        <v>47</v>
      </c>
      <c r="BQ339" s="7" t="s">
        <v>47</v>
      </c>
      <c r="BS339" s="7" t="s">
        <v>47</v>
      </c>
      <c r="BT339" s="7" t="s">
        <v>47</v>
      </c>
      <c r="BU339" s="7" t="s">
        <v>47</v>
      </c>
      <c r="BW339" s="7" t="s">
        <v>47</v>
      </c>
      <c r="BX339" s="7" t="s">
        <v>47</v>
      </c>
      <c r="BY339" s="7" t="s">
        <v>47</v>
      </c>
      <c r="BZ339" s="7" t="s">
        <v>47</v>
      </c>
      <c r="CA339" s="7" t="s">
        <v>47</v>
      </c>
      <c r="CB339" s="7" t="s">
        <v>47</v>
      </c>
      <c r="CC339" s="7" t="s">
        <v>47</v>
      </c>
      <c r="CD339" s="7" t="s">
        <v>47</v>
      </c>
      <c r="CE339" s="7" t="s">
        <v>47</v>
      </c>
      <c r="CF339" s="7" t="s">
        <v>47</v>
      </c>
      <c r="CG339" s="7" t="s">
        <v>47</v>
      </c>
      <c r="CH339" s="7" t="s">
        <v>47</v>
      </c>
      <c r="CI339" s="7" t="s">
        <v>47</v>
      </c>
      <c r="CJ339" s="7" t="s">
        <v>47</v>
      </c>
    </row>
    <row r="340" spans="1:88" s="7" customFormat="1" x14ac:dyDescent="0.25">
      <c r="A340" t="s">
        <v>931</v>
      </c>
      <c r="B340" t="s">
        <v>712</v>
      </c>
      <c r="C340" t="s">
        <v>911</v>
      </c>
      <c r="D340" t="s">
        <v>2047</v>
      </c>
      <c r="E340">
        <v>4110</v>
      </c>
      <c r="F340" t="s">
        <v>536</v>
      </c>
      <c r="G340">
        <v>344</v>
      </c>
      <c r="H340" s="9">
        <v>8.5</v>
      </c>
      <c r="I340" t="s">
        <v>536</v>
      </c>
      <c r="J340" t="s">
        <v>536</v>
      </c>
      <c r="K340" t="s">
        <v>2213</v>
      </c>
      <c r="L340" t="s">
        <v>45</v>
      </c>
      <c r="M340" s="10"/>
      <c r="N340" s="7" t="s">
        <v>46</v>
      </c>
      <c r="O340" s="8">
        <v>1</v>
      </c>
      <c r="P340" s="8">
        <v>1</v>
      </c>
      <c r="Q340" s="7" t="s">
        <v>338</v>
      </c>
      <c r="R340" s="7" t="s">
        <v>451</v>
      </c>
      <c r="S340" s="7" t="s">
        <v>537</v>
      </c>
      <c r="T340" s="7" t="s">
        <v>47</v>
      </c>
      <c r="U340" s="7" t="s">
        <v>531</v>
      </c>
      <c r="V340" s="7" t="s">
        <v>47</v>
      </c>
      <c r="W340" s="7" t="s">
        <v>68</v>
      </c>
      <c r="X340" s="7" t="s">
        <v>532</v>
      </c>
      <c r="Y340" s="8" t="s">
        <v>47</v>
      </c>
      <c r="Z340" s="8" t="s">
        <v>533</v>
      </c>
      <c r="AA340" s="8" t="s">
        <v>47</v>
      </c>
      <c r="AB340" s="11" t="s">
        <v>47</v>
      </c>
      <c r="AC340" s="11" t="s">
        <v>47</v>
      </c>
      <c r="AD340" s="7" t="s">
        <v>47</v>
      </c>
      <c r="AF340" s="7" t="s">
        <v>47</v>
      </c>
      <c r="AG340" s="7" t="s">
        <v>47</v>
      </c>
      <c r="AH340" s="7" t="s">
        <v>47</v>
      </c>
      <c r="AI340" s="7" t="s">
        <v>47</v>
      </c>
      <c r="AL340" s="7" t="s">
        <v>47</v>
      </c>
      <c r="AO340" s="7" t="s">
        <v>47</v>
      </c>
      <c r="AP340" s="7" t="s">
        <v>47</v>
      </c>
      <c r="AQ340" s="7" t="s">
        <v>47</v>
      </c>
      <c r="AV340" s="7" t="s">
        <v>534</v>
      </c>
      <c r="AW340" s="7" t="s">
        <v>47</v>
      </c>
      <c r="AX340" s="12" t="s">
        <v>262</v>
      </c>
      <c r="AY340" s="12" t="s">
        <v>262</v>
      </c>
      <c r="BC340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40" s="7">
        <f>SUM(cna_product_database_catalog_website[[#This Row],[Box CBM]]*35.3147)</f>
        <v>0</v>
      </c>
      <c r="BE340" s="7" t="s">
        <v>47</v>
      </c>
      <c r="BI340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0" s="7">
        <f>SUM(cna_product_database_catalog_website[[#This Row],[Carton CFT]]/61024)</f>
        <v>0</v>
      </c>
      <c r="BM340" s="7" t="s">
        <v>47</v>
      </c>
      <c r="BN340" s="7" t="s">
        <v>47</v>
      </c>
      <c r="BO340" s="7" t="s">
        <v>47</v>
      </c>
      <c r="BP340" s="7" t="s">
        <v>47</v>
      </c>
      <c r="BQ340" s="7" t="s">
        <v>47</v>
      </c>
      <c r="BS340" s="7" t="s">
        <v>47</v>
      </c>
      <c r="BT340" s="7" t="s">
        <v>47</v>
      </c>
      <c r="BU340" s="7" t="s">
        <v>47</v>
      </c>
      <c r="BW340" s="7" t="s">
        <v>47</v>
      </c>
      <c r="BX340" s="7" t="s">
        <v>47</v>
      </c>
      <c r="BY340" s="7" t="s">
        <v>47</v>
      </c>
      <c r="BZ340" s="7" t="s">
        <v>47</v>
      </c>
      <c r="CA340" s="7" t="s">
        <v>47</v>
      </c>
      <c r="CB340" s="7" t="s">
        <v>47</v>
      </c>
      <c r="CC340" s="7" t="s">
        <v>47</v>
      </c>
      <c r="CD340" s="7" t="s">
        <v>47</v>
      </c>
      <c r="CE340" s="7" t="s">
        <v>47</v>
      </c>
      <c r="CF340" s="7" t="s">
        <v>47</v>
      </c>
      <c r="CG340" s="7" t="s">
        <v>47</v>
      </c>
      <c r="CH340" s="7" t="s">
        <v>47</v>
      </c>
      <c r="CI340" s="7" t="s">
        <v>47</v>
      </c>
      <c r="CJ340" s="7" t="s">
        <v>47</v>
      </c>
    </row>
    <row r="341" spans="1:88" s="7" customFormat="1" x14ac:dyDescent="0.25">
      <c r="A341" t="s">
        <v>931</v>
      </c>
      <c r="B341" t="s">
        <v>712</v>
      </c>
      <c r="C341" t="s">
        <v>912</v>
      </c>
      <c r="D341" t="s">
        <v>2048</v>
      </c>
      <c r="E341">
        <v>4115</v>
      </c>
      <c r="F341" t="s">
        <v>538</v>
      </c>
      <c r="G341">
        <v>346</v>
      </c>
      <c r="H341" s="9">
        <v>8.5</v>
      </c>
      <c r="I341" t="s">
        <v>538</v>
      </c>
      <c r="J341" t="s">
        <v>538</v>
      </c>
      <c r="K341" t="s">
        <v>2213</v>
      </c>
      <c r="L341" t="s">
        <v>45</v>
      </c>
      <c r="M341" s="10"/>
      <c r="N341" s="7" t="s">
        <v>46</v>
      </c>
      <c r="O341" s="8">
        <v>1</v>
      </c>
      <c r="P341" s="8">
        <v>1</v>
      </c>
      <c r="Q341" s="7" t="s">
        <v>379</v>
      </c>
      <c r="R341" s="7" t="s">
        <v>451</v>
      </c>
      <c r="S341" s="7" t="s">
        <v>539</v>
      </c>
      <c r="T341" s="7" t="s">
        <v>47</v>
      </c>
      <c r="U341" s="7" t="s">
        <v>531</v>
      </c>
      <c r="V341" s="7" t="s">
        <v>47</v>
      </c>
      <c r="W341" s="7" t="s">
        <v>68</v>
      </c>
      <c r="X341" s="7" t="s">
        <v>532</v>
      </c>
      <c r="Y341" s="8" t="s">
        <v>47</v>
      </c>
      <c r="Z341" s="8" t="s">
        <v>533</v>
      </c>
      <c r="AA341" s="8" t="s">
        <v>47</v>
      </c>
      <c r="AB341" s="11" t="s">
        <v>47</v>
      </c>
      <c r="AC341" s="11" t="s">
        <v>47</v>
      </c>
      <c r="AD341" s="7" t="s">
        <v>47</v>
      </c>
      <c r="AF341" s="7" t="s">
        <v>47</v>
      </c>
      <c r="AG341" s="7" t="s">
        <v>47</v>
      </c>
      <c r="AH341" s="7" t="s">
        <v>47</v>
      </c>
      <c r="AI341" s="7" t="s">
        <v>47</v>
      </c>
      <c r="AL341" s="7" t="s">
        <v>47</v>
      </c>
      <c r="AO341" s="7" t="s">
        <v>47</v>
      </c>
      <c r="AP341" s="7" t="s">
        <v>47</v>
      </c>
      <c r="AQ341" s="7" t="s">
        <v>47</v>
      </c>
      <c r="AV341" s="7" t="s">
        <v>534</v>
      </c>
      <c r="AW341" s="7" t="s">
        <v>47</v>
      </c>
      <c r="AX341" s="12" t="s">
        <v>262</v>
      </c>
      <c r="AY341" s="12" t="s">
        <v>262</v>
      </c>
      <c r="BC341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41" s="7">
        <f>SUM(cna_product_database_catalog_website[[#This Row],[Box CBM]]*35.3147)</f>
        <v>0</v>
      </c>
      <c r="BE341" s="7" t="s">
        <v>47</v>
      </c>
      <c r="BI341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1" s="7">
        <f>SUM(cna_product_database_catalog_website[[#This Row],[Carton CFT]]/61024)</f>
        <v>0</v>
      </c>
      <c r="BM341" s="7" t="s">
        <v>47</v>
      </c>
      <c r="BN341" s="7" t="s">
        <v>47</v>
      </c>
      <c r="BO341" s="7" t="s">
        <v>47</v>
      </c>
      <c r="BP341" s="7" t="s">
        <v>47</v>
      </c>
      <c r="BQ341" s="7" t="s">
        <v>47</v>
      </c>
      <c r="BS341" s="7" t="s">
        <v>47</v>
      </c>
      <c r="BT341" s="7" t="s">
        <v>47</v>
      </c>
      <c r="BU341" s="7" t="s">
        <v>47</v>
      </c>
      <c r="BW341" s="7" t="s">
        <v>47</v>
      </c>
      <c r="BX341" s="7" t="s">
        <v>47</v>
      </c>
      <c r="BY341" s="7" t="s">
        <v>47</v>
      </c>
      <c r="BZ341" s="7" t="s">
        <v>47</v>
      </c>
      <c r="CA341" s="7" t="s">
        <v>47</v>
      </c>
      <c r="CB341" s="7" t="s">
        <v>47</v>
      </c>
      <c r="CC341" s="7" t="s">
        <v>47</v>
      </c>
      <c r="CD341" s="7" t="s">
        <v>47</v>
      </c>
      <c r="CE341" s="7" t="s">
        <v>47</v>
      </c>
      <c r="CF341" s="7" t="s">
        <v>47</v>
      </c>
      <c r="CG341" s="7" t="s">
        <v>47</v>
      </c>
      <c r="CH341" s="7" t="s">
        <v>47</v>
      </c>
      <c r="CI341" s="7" t="s">
        <v>47</v>
      </c>
      <c r="CJ341" s="7" t="s">
        <v>47</v>
      </c>
    </row>
    <row r="342" spans="1:88" s="7" customFormat="1" x14ac:dyDescent="0.25">
      <c r="A342" t="s">
        <v>931</v>
      </c>
      <c r="B342" t="s">
        <v>713</v>
      </c>
      <c r="C342" t="s">
        <v>909</v>
      </c>
      <c r="D342" t="s">
        <v>2049</v>
      </c>
      <c r="E342">
        <v>4120</v>
      </c>
      <c r="F342" t="s">
        <v>540</v>
      </c>
      <c r="G342">
        <v>341</v>
      </c>
      <c r="H342" s="9">
        <v>8.5</v>
      </c>
      <c r="I342" t="s">
        <v>540</v>
      </c>
      <c r="J342" t="s">
        <v>540</v>
      </c>
      <c r="K342" t="s">
        <v>2213</v>
      </c>
      <c r="L342" t="s">
        <v>45</v>
      </c>
      <c r="M342" s="10"/>
      <c r="N342" s="7" t="s">
        <v>46</v>
      </c>
      <c r="O342" s="8">
        <v>1</v>
      </c>
      <c r="P342" s="8">
        <v>1</v>
      </c>
      <c r="Q342" s="7" t="s">
        <v>343</v>
      </c>
      <c r="R342" s="7" t="s">
        <v>451</v>
      </c>
      <c r="S342" s="7" t="s">
        <v>204</v>
      </c>
      <c r="T342" s="7" t="s">
        <v>47</v>
      </c>
      <c r="U342" s="7" t="s">
        <v>531</v>
      </c>
      <c r="V342" s="7" t="s">
        <v>47</v>
      </c>
      <c r="W342" s="7" t="s">
        <v>541</v>
      </c>
      <c r="X342" s="7" t="s">
        <v>532</v>
      </c>
      <c r="Y342" s="8" t="s">
        <v>47</v>
      </c>
      <c r="Z342" s="8" t="s">
        <v>533</v>
      </c>
      <c r="AA342" s="8" t="s">
        <v>47</v>
      </c>
      <c r="AB342" s="11" t="s">
        <v>47</v>
      </c>
      <c r="AC342" s="11" t="s">
        <v>47</v>
      </c>
      <c r="AD342" s="7" t="s">
        <v>47</v>
      </c>
      <c r="AF342" s="7" t="s">
        <v>47</v>
      </c>
      <c r="AG342" s="7" t="s">
        <v>47</v>
      </c>
      <c r="AH342" s="7" t="s">
        <v>47</v>
      </c>
      <c r="AI342" s="7" t="s">
        <v>47</v>
      </c>
      <c r="AL342" s="7" t="s">
        <v>47</v>
      </c>
      <c r="AO342" s="7" t="s">
        <v>47</v>
      </c>
      <c r="AP342" s="7" t="s">
        <v>47</v>
      </c>
      <c r="AQ342" s="7" t="s">
        <v>47</v>
      </c>
      <c r="AV342" s="7" t="s">
        <v>542</v>
      </c>
      <c r="AW342" s="7" t="s">
        <v>47</v>
      </c>
      <c r="AX342" s="12" t="s">
        <v>48</v>
      </c>
      <c r="AY342" s="12" t="s">
        <v>48</v>
      </c>
      <c r="BC342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42" s="7">
        <f>SUM(cna_product_database_catalog_website[[#This Row],[Box CBM]]*35.3147)</f>
        <v>0</v>
      </c>
      <c r="BE342" s="7" t="s">
        <v>47</v>
      </c>
      <c r="BI342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2" s="7">
        <f>SUM(cna_product_database_catalog_website[[#This Row],[Carton CFT]]/61024)</f>
        <v>0</v>
      </c>
      <c r="BM342" s="7" t="s">
        <v>47</v>
      </c>
      <c r="BN342" s="7" t="s">
        <v>47</v>
      </c>
      <c r="BO342" s="7" t="s">
        <v>47</v>
      </c>
      <c r="BP342" s="7" t="s">
        <v>47</v>
      </c>
      <c r="BQ342" s="7" t="s">
        <v>47</v>
      </c>
      <c r="BS342" s="7" t="s">
        <v>47</v>
      </c>
      <c r="BT342" s="7" t="s">
        <v>47</v>
      </c>
      <c r="BU342" s="7" t="s">
        <v>47</v>
      </c>
      <c r="BW342" s="7" t="s">
        <v>47</v>
      </c>
      <c r="BX342" s="7" t="s">
        <v>47</v>
      </c>
      <c r="BY342" s="7" t="s">
        <v>47</v>
      </c>
      <c r="BZ342" s="7" t="s">
        <v>47</v>
      </c>
      <c r="CA342" s="7" t="s">
        <v>47</v>
      </c>
      <c r="CB342" s="7" t="s">
        <v>47</v>
      </c>
      <c r="CC342" s="7" t="s">
        <v>47</v>
      </c>
      <c r="CD342" s="7" t="s">
        <v>47</v>
      </c>
      <c r="CE342" s="7" t="s">
        <v>47</v>
      </c>
      <c r="CF342" s="7" t="s">
        <v>47</v>
      </c>
      <c r="CG342" s="7" t="s">
        <v>47</v>
      </c>
      <c r="CH342" s="7" t="s">
        <v>47</v>
      </c>
      <c r="CI342" s="7" t="s">
        <v>47</v>
      </c>
      <c r="CJ342" s="7" t="s">
        <v>47</v>
      </c>
    </row>
    <row r="343" spans="1:88" s="7" customFormat="1" x14ac:dyDescent="0.25">
      <c r="A343" t="s">
        <v>931</v>
      </c>
      <c r="B343" t="s">
        <v>713</v>
      </c>
      <c r="C343" t="s">
        <v>913</v>
      </c>
      <c r="D343" t="s">
        <v>2050</v>
      </c>
      <c r="E343">
        <v>4125</v>
      </c>
      <c r="F343" t="s">
        <v>543</v>
      </c>
      <c r="G343">
        <v>343</v>
      </c>
      <c r="H343" s="9">
        <v>8.5</v>
      </c>
      <c r="I343" t="s">
        <v>543</v>
      </c>
      <c r="J343" t="s">
        <v>543</v>
      </c>
      <c r="K343" t="s">
        <v>2213</v>
      </c>
      <c r="L343" t="s">
        <v>45</v>
      </c>
      <c r="M343" s="10"/>
      <c r="N343" s="7" t="s">
        <v>46</v>
      </c>
      <c r="O343" s="8">
        <v>1</v>
      </c>
      <c r="P343" s="8">
        <v>1</v>
      </c>
      <c r="Q343" s="7" t="s">
        <v>500</v>
      </c>
      <c r="R343" s="7" t="s">
        <v>451</v>
      </c>
      <c r="S343" s="7" t="s">
        <v>544</v>
      </c>
      <c r="T343" s="7" t="s">
        <v>47</v>
      </c>
      <c r="U343" s="7" t="s">
        <v>531</v>
      </c>
      <c r="V343" s="7" t="s">
        <v>47</v>
      </c>
      <c r="W343" s="7" t="s">
        <v>541</v>
      </c>
      <c r="X343" s="7" t="s">
        <v>532</v>
      </c>
      <c r="Y343" s="8" t="s">
        <v>47</v>
      </c>
      <c r="Z343" s="8" t="s">
        <v>533</v>
      </c>
      <c r="AA343" s="8" t="s">
        <v>47</v>
      </c>
      <c r="AB343" s="11" t="s">
        <v>47</v>
      </c>
      <c r="AC343" s="11" t="s">
        <v>47</v>
      </c>
      <c r="AD343" s="7" t="s">
        <v>47</v>
      </c>
      <c r="AF343" s="7" t="s">
        <v>47</v>
      </c>
      <c r="AG343" s="7" t="s">
        <v>47</v>
      </c>
      <c r="AH343" s="7" t="s">
        <v>47</v>
      </c>
      <c r="AI343" s="7" t="s">
        <v>47</v>
      </c>
      <c r="AL343" s="7" t="s">
        <v>47</v>
      </c>
      <c r="AO343" s="7" t="s">
        <v>47</v>
      </c>
      <c r="AP343" s="7" t="s">
        <v>47</v>
      </c>
      <c r="AQ343" s="7" t="s">
        <v>47</v>
      </c>
      <c r="AV343" s="7" t="s">
        <v>542</v>
      </c>
      <c r="AW343" s="7" t="s">
        <v>47</v>
      </c>
      <c r="AX343" s="12" t="s">
        <v>48</v>
      </c>
      <c r="AY343" s="12" t="s">
        <v>48</v>
      </c>
      <c r="BC343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43" s="7">
        <f>SUM(cna_product_database_catalog_website[[#This Row],[Box CBM]]*35.3147)</f>
        <v>0</v>
      </c>
      <c r="BE343" s="7" t="s">
        <v>47</v>
      </c>
      <c r="BI343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3" s="7">
        <f>SUM(cna_product_database_catalog_website[[#This Row],[Carton CFT]]/61024)</f>
        <v>0</v>
      </c>
      <c r="BM343" s="7" t="s">
        <v>47</v>
      </c>
      <c r="BN343" s="7" t="s">
        <v>47</v>
      </c>
      <c r="BO343" s="7" t="s">
        <v>47</v>
      </c>
      <c r="BP343" s="7" t="s">
        <v>47</v>
      </c>
      <c r="BQ343" s="7" t="s">
        <v>47</v>
      </c>
      <c r="BS343" s="7" t="s">
        <v>47</v>
      </c>
      <c r="BT343" s="7" t="s">
        <v>47</v>
      </c>
      <c r="BU343" s="7" t="s">
        <v>47</v>
      </c>
      <c r="BW343" s="7" t="s">
        <v>47</v>
      </c>
      <c r="BX343" s="7" t="s">
        <v>47</v>
      </c>
      <c r="BY343" s="7" t="s">
        <v>47</v>
      </c>
      <c r="BZ343" s="7" t="s">
        <v>47</v>
      </c>
      <c r="CA343" s="7" t="s">
        <v>47</v>
      </c>
      <c r="CB343" s="7" t="s">
        <v>47</v>
      </c>
      <c r="CC343" s="7" t="s">
        <v>47</v>
      </c>
      <c r="CD343" s="7" t="s">
        <v>47</v>
      </c>
      <c r="CE343" s="7" t="s">
        <v>47</v>
      </c>
      <c r="CF343" s="7" t="s">
        <v>47</v>
      </c>
      <c r="CG343" s="7" t="s">
        <v>47</v>
      </c>
      <c r="CH343" s="7" t="s">
        <v>47</v>
      </c>
      <c r="CI343" s="7" t="s">
        <v>47</v>
      </c>
      <c r="CJ343" s="7" t="s">
        <v>47</v>
      </c>
    </row>
    <row r="344" spans="1:88" s="7" customFormat="1" x14ac:dyDescent="0.25">
      <c r="A344" t="s">
        <v>931</v>
      </c>
      <c r="B344" t="s">
        <v>713</v>
      </c>
      <c r="C344" t="s">
        <v>911</v>
      </c>
      <c r="D344" t="s">
        <v>2051</v>
      </c>
      <c r="E344">
        <v>4130</v>
      </c>
      <c r="F344" t="s">
        <v>545</v>
      </c>
      <c r="G344">
        <v>345</v>
      </c>
      <c r="H344" s="9">
        <v>8.5</v>
      </c>
      <c r="I344" t="s">
        <v>545</v>
      </c>
      <c r="J344" t="s">
        <v>545</v>
      </c>
      <c r="K344" t="s">
        <v>2213</v>
      </c>
      <c r="L344" t="s">
        <v>45</v>
      </c>
      <c r="M344" s="10"/>
      <c r="N344" s="7" t="s">
        <v>46</v>
      </c>
      <c r="O344" s="8">
        <v>1</v>
      </c>
      <c r="P344" s="8">
        <v>1</v>
      </c>
      <c r="Q344" s="7" t="s">
        <v>338</v>
      </c>
      <c r="R344" s="7" t="s">
        <v>451</v>
      </c>
      <c r="S344" s="7" t="s">
        <v>537</v>
      </c>
      <c r="T344" s="7" t="s">
        <v>47</v>
      </c>
      <c r="U344" s="7" t="s">
        <v>531</v>
      </c>
      <c r="V344" s="7" t="s">
        <v>47</v>
      </c>
      <c r="W344" s="7" t="s">
        <v>541</v>
      </c>
      <c r="X344" s="7" t="s">
        <v>532</v>
      </c>
      <c r="Y344" s="8" t="s">
        <v>47</v>
      </c>
      <c r="Z344" s="8" t="s">
        <v>533</v>
      </c>
      <c r="AA344" s="8" t="s">
        <v>47</v>
      </c>
      <c r="AB344" s="11" t="s">
        <v>47</v>
      </c>
      <c r="AC344" s="11" t="s">
        <v>47</v>
      </c>
      <c r="AD344" s="7" t="s">
        <v>47</v>
      </c>
      <c r="AF344" s="7" t="s">
        <v>47</v>
      </c>
      <c r="AG344" s="7" t="s">
        <v>47</v>
      </c>
      <c r="AH344" s="7" t="s">
        <v>47</v>
      </c>
      <c r="AI344" s="7" t="s">
        <v>47</v>
      </c>
      <c r="AL344" s="7" t="s">
        <v>47</v>
      </c>
      <c r="AO344" s="7" t="s">
        <v>47</v>
      </c>
      <c r="AP344" s="7" t="s">
        <v>47</v>
      </c>
      <c r="AQ344" s="7" t="s">
        <v>47</v>
      </c>
      <c r="AV344" s="7" t="s">
        <v>542</v>
      </c>
      <c r="AW344" s="7" t="s">
        <v>47</v>
      </c>
      <c r="AX344" s="12" t="s">
        <v>48</v>
      </c>
      <c r="AY344" s="12" t="s">
        <v>48</v>
      </c>
      <c r="BC344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44" s="7">
        <f>SUM(cna_product_database_catalog_website[[#This Row],[Box CBM]]*35.3147)</f>
        <v>0</v>
      </c>
      <c r="BE344" s="7" t="s">
        <v>47</v>
      </c>
      <c r="BI344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4" s="7">
        <f>SUM(cna_product_database_catalog_website[[#This Row],[Carton CFT]]/61024)</f>
        <v>0</v>
      </c>
      <c r="BM344" s="7" t="s">
        <v>47</v>
      </c>
      <c r="BN344" s="7" t="s">
        <v>47</v>
      </c>
      <c r="BO344" s="7" t="s">
        <v>47</v>
      </c>
      <c r="BP344" s="7" t="s">
        <v>47</v>
      </c>
      <c r="BQ344" s="7" t="s">
        <v>47</v>
      </c>
      <c r="BS344" s="7" t="s">
        <v>47</v>
      </c>
      <c r="BT344" s="7" t="s">
        <v>47</v>
      </c>
      <c r="BU344" s="7" t="s">
        <v>47</v>
      </c>
      <c r="BW344" s="7" t="s">
        <v>47</v>
      </c>
      <c r="BX344" s="7" t="s">
        <v>47</v>
      </c>
      <c r="BY344" s="7" t="s">
        <v>47</v>
      </c>
      <c r="BZ344" s="7" t="s">
        <v>47</v>
      </c>
      <c r="CA344" s="7" t="s">
        <v>47</v>
      </c>
      <c r="CB344" s="7" t="s">
        <v>47</v>
      </c>
      <c r="CC344" s="7" t="s">
        <v>47</v>
      </c>
      <c r="CD344" s="7" t="s">
        <v>47</v>
      </c>
      <c r="CE344" s="7" t="s">
        <v>47</v>
      </c>
      <c r="CF344" s="7" t="s">
        <v>47</v>
      </c>
      <c r="CG344" s="7" t="s">
        <v>47</v>
      </c>
      <c r="CH344" s="7" t="s">
        <v>47</v>
      </c>
      <c r="CI344" s="7" t="s">
        <v>47</v>
      </c>
      <c r="CJ344" s="7" t="s">
        <v>47</v>
      </c>
    </row>
    <row r="345" spans="1:88" s="7" customFormat="1" x14ac:dyDescent="0.25">
      <c r="A345" t="s">
        <v>931</v>
      </c>
      <c r="B345" t="s">
        <v>713</v>
      </c>
      <c r="C345" t="s">
        <v>912</v>
      </c>
      <c r="D345" t="s">
        <v>2052</v>
      </c>
      <c r="E345">
        <v>4135</v>
      </c>
      <c r="F345" t="s">
        <v>546</v>
      </c>
      <c r="G345">
        <v>347</v>
      </c>
      <c r="H345" s="9">
        <v>8.5</v>
      </c>
      <c r="I345" t="s">
        <v>546</v>
      </c>
      <c r="J345" t="s">
        <v>546</v>
      </c>
      <c r="K345" t="s">
        <v>2213</v>
      </c>
      <c r="L345" t="s">
        <v>45</v>
      </c>
      <c r="M345" s="10"/>
      <c r="N345" s="7" t="s">
        <v>46</v>
      </c>
      <c r="O345" s="8">
        <v>1</v>
      </c>
      <c r="P345" s="8">
        <v>1</v>
      </c>
      <c r="Q345" s="7" t="s">
        <v>379</v>
      </c>
      <c r="R345" s="7" t="s">
        <v>451</v>
      </c>
      <c r="S345" s="7" t="s">
        <v>539</v>
      </c>
      <c r="T345" s="7" t="s">
        <v>47</v>
      </c>
      <c r="U345" s="7" t="s">
        <v>531</v>
      </c>
      <c r="V345" s="7" t="s">
        <v>47</v>
      </c>
      <c r="W345" s="7" t="s">
        <v>541</v>
      </c>
      <c r="X345" s="7" t="s">
        <v>532</v>
      </c>
      <c r="Y345" s="8" t="s">
        <v>47</v>
      </c>
      <c r="Z345" s="8" t="s">
        <v>533</v>
      </c>
      <c r="AA345" s="8" t="s">
        <v>47</v>
      </c>
      <c r="AB345" s="11" t="s">
        <v>47</v>
      </c>
      <c r="AC345" s="11" t="s">
        <v>47</v>
      </c>
      <c r="AD345" s="7" t="s">
        <v>47</v>
      </c>
      <c r="AF345" s="7" t="s">
        <v>47</v>
      </c>
      <c r="AG345" s="7" t="s">
        <v>47</v>
      </c>
      <c r="AH345" s="7" t="s">
        <v>47</v>
      </c>
      <c r="AI345" s="7" t="s">
        <v>47</v>
      </c>
      <c r="AL345" s="7" t="s">
        <v>47</v>
      </c>
      <c r="AO345" s="7" t="s">
        <v>47</v>
      </c>
      <c r="AP345" s="7" t="s">
        <v>47</v>
      </c>
      <c r="AQ345" s="7" t="s">
        <v>47</v>
      </c>
      <c r="AV345" s="7" t="s">
        <v>542</v>
      </c>
      <c r="AW345" s="7" t="s">
        <v>47</v>
      </c>
      <c r="AX345" s="12" t="s">
        <v>48</v>
      </c>
      <c r="AY345" s="12" t="s">
        <v>48</v>
      </c>
      <c r="BC345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45" s="7">
        <f>SUM(cna_product_database_catalog_website[[#This Row],[Box CBM]]*35.3147)</f>
        <v>0</v>
      </c>
      <c r="BE345" s="7" t="s">
        <v>47</v>
      </c>
      <c r="BI345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5" s="7">
        <f>SUM(cna_product_database_catalog_website[[#This Row],[Carton CFT]]/61024)</f>
        <v>0</v>
      </c>
      <c r="BM345" s="7" t="s">
        <v>47</v>
      </c>
      <c r="BN345" s="7" t="s">
        <v>47</v>
      </c>
      <c r="BO345" s="7" t="s">
        <v>47</v>
      </c>
      <c r="BP345" s="7" t="s">
        <v>47</v>
      </c>
      <c r="BQ345" s="7" t="s">
        <v>47</v>
      </c>
      <c r="BS345" s="7" t="s">
        <v>47</v>
      </c>
      <c r="BT345" s="7" t="s">
        <v>47</v>
      </c>
      <c r="BU345" s="7" t="s">
        <v>47</v>
      </c>
      <c r="BW345" s="7" t="s">
        <v>47</v>
      </c>
      <c r="BX345" s="7" t="s">
        <v>47</v>
      </c>
      <c r="BY345" s="7" t="s">
        <v>47</v>
      </c>
      <c r="BZ345" s="7" t="s">
        <v>47</v>
      </c>
      <c r="CA345" s="7" t="s">
        <v>47</v>
      </c>
      <c r="CB345" s="7" t="s">
        <v>47</v>
      </c>
      <c r="CC345" s="7" t="s">
        <v>47</v>
      </c>
      <c r="CD345" s="7" t="s">
        <v>47</v>
      </c>
      <c r="CE345" s="7" t="s">
        <v>47</v>
      </c>
      <c r="CF345" s="7" t="s">
        <v>47</v>
      </c>
      <c r="CG345" s="7" t="s">
        <v>47</v>
      </c>
      <c r="CH345" s="7" t="s">
        <v>47</v>
      </c>
      <c r="CI345" s="7" t="s">
        <v>47</v>
      </c>
      <c r="CJ345" s="7" t="s">
        <v>47</v>
      </c>
    </row>
    <row r="346" spans="1:88" s="7" customFormat="1" x14ac:dyDescent="0.25">
      <c r="A346" t="s">
        <v>931</v>
      </c>
      <c r="B346" t="s">
        <v>713</v>
      </c>
      <c r="C346" t="s">
        <v>914</v>
      </c>
      <c r="D346" t="s">
        <v>2053</v>
      </c>
      <c r="E346">
        <v>4140</v>
      </c>
      <c r="F346" t="s">
        <v>547</v>
      </c>
      <c r="G346">
        <v>348</v>
      </c>
      <c r="H346" s="9">
        <v>8.5</v>
      </c>
      <c r="I346" t="s">
        <v>547</v>
      </c>
      <c r="J346" t="s">
        <v>547</v>
      </c>
      <c r="K346" t="s">
        <v>2213</v>
      </c>
      <c r="L346" t="s">
        <v>45</v>
      </c>
      <c r="M346" s="10"/>
      <c r="N346" s="7" t="s">
        <v>46</v>
      </c>
      <c r="O346" s="8">
        <v>1</v>
      </c>
      <c r="P346" s="8">
        <v>1</v>
      </c>
      <c r="Q346" s="7" t="s">
        <v>390</v>
      </c>
      <c r="R346" s="7" t="s">
        <v>451</v>
      </c>
      <c r="S346" s="7" t="s">
        <v>548</v>
      </c>
      <c r="T346" s="7" t="s">
        <v>47</v>
      </c>
      <c r="U346" s="7" t="s">
        <v>531</v>
      </c>
      <c r="V346" s="7" t="s">
        <v>47</v>
      </c>
      <c r="W346" s="7" t="s">
        <v>541</v>
      </c>
      <c r="X346" s="7" t="s">
        <v>532</v>
      </c>
      <c r="Y346" s="8" t="s">
        <v>47</v>
      </c>
      <c r="Z346" s="8" t="s">
        <v>533</v>
      </c>
      <c r="AA346" s="8" t="s">
        <v>47</v>
      </c>
      <c r="AB346" s="11" t="s">
        <v>47</v>
      </c>
      <c r="AC346" s="11" t="s">
        <v>47</v>
      </c>
      <c r="AD346" s="7" t="s">
        <v>47</v>
      </c>
      <c r="AF346" s="7" t="s">
        <v>47</v>
      </c>
      <c r="AG346" s="7" t="s">
        <v>47</v>
      </c>
      <c r="AH346" s="7" t="s">
        <v>47</v>
      </c>
      <c r="AI346" s="7" t="s">
        <v>47</v>
      </c>
      <c r="AL346" s="7" t="s">
        <v>47</v>
      </c>
      <c r="AO346" s="7" t="s">
        <v>47</v>
      </c>
      <c r="AP346" s="7" t="s">
        <v>47</v>
      </c>
      <c r="AQ346" s="7" t="s">
        <v>47</v>
      </c>
      <c r="AV346" s="7" t="s">
        <v>549</v>
      </c>
      <c r="AW346" s="7" t="s">
        <v>47</v>
      </c>
      <c r="AX346" s="12" t="s">
        <v>48</v>
      </c>
      <c r="AY346" s="12" t="s">
        <v>48</v>
      </c>
      <c r="BC346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46" s="7">
        <f>SUM(cna_product_database_catalog_website[[#This Row],[Box CBM]]*35.3147)</f>
        <v>0</v>
      </c>
      <c r="BE346" s="7" t="s">
        <v>47</v>
      </c>
      <c r="BI346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6" s="7">
        <f>SUM(cna_product_database_catalog_website[[#This Row],[Carton CFT]]/61024)</f>
        <v>0</v>
      </c>
      <c r="BM346" s="7" t="s">
        <v>47</v>
      </c>
      <c r="BN346" s="7" t="s">
        <v>47</v>
      </c>
      <c r="BO346" s="7" t="s">
        <v>47</v>
      </c>
      <c r="BP346" s="7" t="s">
        <v>47</v>
      </c>
      <c r="BQ346" s="7" t="s">
        <v>47</v>
      </c>
      <c r="BS346" s="7" t="s">
        <v>47</v>
      </c>
      <c r="BT346" s="7" t="s">
        <v>47</v>
      </c>
      <c r="BU346" s="7" t="s">
        <v>47</v>
      </c>
      <c r="BW346" s="7" t="s">
        <v>47</v>
      </c>
      <c r="BX346" s="7" t="s">
        <v>47</v>
      </c>
      <c r="BY346" s="7" t="s">
        <v>47</v>
      </c>
      <c r="BZ346" s="7" t="s">
        <v>47</v>
      </c>
      <c r="CA346" s="7" t="s">
        <v>47</v>
      </c>
      <c r="CB346" s="7" t="s">
        <v>47</v>
      </c>
      <c r="CC346" s="7" t="s">
        <v>47</v>
      </c>
      <c r="CD346" s="7" t="s">
        <v>47</v>
      </c>
      <c r="CE346" s="7" t="s">
        <v>47</v>
      </c>
      <c r="CF346" s="7" t="s">
        <v>47</v>
      </c>
      <c r="CG346" s="7" t="s">
        <v>47</v>
      </c>
      <c r="CH346" s="7" t="s">
        <v>47</v>
      </c>
      <c r="CI346" s="7" t="s">
        <v>47</v>
      </c>
      <c r="CJ346" s="7" t="s">
        <v>47</v>
      </c>
    </row>
    <row r="347" spans="1:88" s="7" customFormat="1" x14ac:dyDescent="0.25">
      <c r="A347" t="s">
        <v>931</v>
      </c>
      <c r="B347" t="s">
        <v>713</v>
      </c>
      <c r="C347" t="s">
        <v>915</v>
      </c>
      <c r="D347" t="s">
        <v>2054</v>
      </c>
      <c r="E347">
        <v>4145</v>
      </c>
      <c r="F347" t="s">
        <v>550</v>
      </c>
      <c r="G347">
        <v>349</v>
      </c>
      <c r="H347" s="9">
        <v>8.5</v>
      </c>
      <c r="I347" t="s">
        <v>550</v>
      </c>
      <c r="J347" t="s">
        <v>550</v>
      </c>
      <c r="K347" t="s">
        <v>2213</v>
      </c>
      <c r="L347" t="s">
        <v>45</v>
      </c>
      <c r="M347" s="10"/>
      <c r="N347" s="7" t="s">
        <v>46</v>
      </c>
      <c r="O347" s="8">
        <v>1</v>
      </c>
      <c r="P347" s="8">
        <v>1</v>
      </c>
      <c r="Q347" s="7" t="s">
        <v>512</v>
      </c>
      <c r="R347" s="7" t="s">
        <v>451</v>
      </c>
      <c r="S347" s="7" t="s">
        <v>551</v>
      </c>
      <c r="T347" s="7" t="s">
        <v>47</v>
      </c>
      <c r="U347" s="7" t="s">
        <v>531</v>
      </c>
      <c r="V347" s="7" t="s">
        <v>47</v>
      </c>
      <c r="W347" s="7" t="s">
        <v>541</v>
      </c>
      <c r="X347" s="7" t="s">
        <v>532</v>
      </c>
      <c r="Y347" s="8" t="s">
        <v>47</v>
      </c>
      <c r="Z347" s="8" t="s">
        <v>533</v>
      </c>
      <c r="AA347" s="8" t="s">
        <v>47</v>
      </c>
      <c r="AB347" s="11" t="s">
        <v>47</v>
      </c>
      <c r="AC347" s="11" t="s">
        <v>47</v>
      </c>
      <c r="AD347" s="7" t="s">
        <v>47</v>
      </c>
      <c r="AF347" s="7" t="s">
        <v>47</v>
      </c>
      <c r="AG347" s="7" t="s">
        <v>47</v>
      </c>
      <c r="AH347" s="7" t="s">
        <v>47</v>
      </c>
      <c r="AI347" s="7" t="s">
        <v>47</v>
      </c>
      <c r="AL347" s="7" t="s">
        <v>47</v>
      </c>
      <c r="AO347" s="7" t="s">
        <v>47</v>
      </c>
      <c r="AP347" s="7" t="s">
        <v>47</v>
      </c>
      <c r="AQ347" s="7" t="s">
        <v>47</v>
      </c>
      <c r="AV347" s="7" t="s">
        <v>514</v>
      </c>
      <c r="AW347" s="7" t="s">
        <v>47</v>
      </c>
      <c r="AX347" s="12" t="s">
        <v>48</v>
      </c>
      <c r="AY347" s="12" t="s">
        <v>48</v>
      </c>
      <c r="BC347" s="7">
        <f>SUM(cna_product_database_catalog_website[[#This Row],[Box Length (cm)]]*cna_product_database_catalog_website[[#This Row],[Box Width (cm)]]*cna_product_database_catalog_website[[#This Row],[Box Height (cm)]]/1000000)</f>
        <v>0</v>
      </c>
      <c r="BD347" s="7">
        <f>SUM(cna_product_database_catalog_website[[#This Row],[Box CBM]]*35.3147)</f>
        <v>0</v>
      </c>
      <c r="BE347" s="7" t="s">
        <v>47</v>
      </c>
      <c r="BI347" s="7">
        <f>SUM(cna_product_database_catalog_website[[#This Row],[Carton Length (inches)]]*cna_product_database_catalog_website[[#This Row],[Carton Width (inches)]]*cna_product_database_catalog_website[[#This Row],[Carton Height (inches)]])</f>
        <v>0</v>
      </c>
      <c r="BJ347" s="7">
        <f>SUM(cna_product_database_catalog_website[[#This Row],[Carton CFT]]/61024)</f>
        <v>0</v>
      </c>
      <c r="BM347" s="7" t="s">
        <v>47</v>
      </c>
      <c r="BN347" s="7" t="s">
        <v>47</v>
      </c>
      <c r="BO347" s="7" t="s">
        <v>47</v>
      </c>
      <c r="BP347" s="7" t="s">
        <v>47</v>
      </c>
      <c r="BQ347" s="7" t="s">
        <v>47</v>
      </c>
      <c r="BS347" s="7" t="s">
        <v>47</v>
      </c>
      <c r="BT347" s="7" t="s">
        <v>47</v>
      </c>
      <c r="BU347" s="7" t="s">
        <v>47</v>
      </c>
      <c r="BW347" s="7" t="s">
        <v>47</v>
      </c>
      <c r="BX347" s="7" t="s">
        <v>47</v>
      </c>
      <c r="BY347" s="7" t="s">
        <v>47</v>
      </c>
      <c r="BZ347" s="7" t="s">
        <v>47</v>
      </c>
      <c r="CA347" s="7" t="s">
        <v>47</v>
      </c>
      <c r="CB347" s="7" t="s">
        <v>47</v>
      </c>
      <c r="CC347" s="7" t="s">
        <v>47</v>
      </c>
      <c r="CD347" s="7" t="s">
        <v>47</v>
      </c>
      <c r="CE347" s="7" t="s">
        <v>47</v>
      </c>
      <c r="CF347" s="7" t="s">
        <v>47</v>
      </c>
      <c r="CG347" s="7" t="s">
        <v>47</v>
      </c>
      <c r="CH347" s="7" t="s">
        <v>47</v>
      </c>
      <c r="CI347" s="7" t="s">
        <v>47</v>
      </c>
      <c r="CJ347" s="7" t="s">
        <v>47</v>
      </c>
    </row>
  </sheetData>
  <phoneticPr fontId="1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75A96-B00A-4AAA-A631-F72B90CF1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cna-product-database-catalog-we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Yuet</dc:creator>
  <cp:lastModifiedBy>Allan Yuet</cp:lastModifiedBy>
  <dcterms:created xsi:type="dcterms:W3CDTF">2025-07-02T18:00:52Z</dcterms:created>
  <dcterms:modified xsi:type="dcterms:W3CDTF">2026-05-25T18:46:33Z</dcterms:modified>
</cp:coreProperties>
</file>